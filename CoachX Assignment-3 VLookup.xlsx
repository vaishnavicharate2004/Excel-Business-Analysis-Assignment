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Solved Excel assignments\"/>
    </mc:Choice>
  </mc:AlternateContent>
  <xr:revisionPtr revIDLastSave="0" documentId="13_ncr:1_{27CA7CD9-BA80-4867-8AD7-923E28D503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<sst xmlns="http://schemas.openxmlformats.org/spreadsheetml/2006/main" count="28072" uniqueCount="6223">
  <si>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</si>
  <si>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</si>
  <si>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</si>
  <si>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</si>
  <si>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</si>
  <si>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</si>
  <si>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</si>
  <si>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</si>
  <si>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</si>
  <si>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</si>
  <si>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</si>
  <si>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</si>
  <si>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</si>
  <si>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</si>
  <si>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</si>
  <si>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</si>
  <si>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</si>
  <si>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</si>
  <si>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</si>
  <si>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</si>
  <si>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</si>
  <si>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</si>
  <si>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</si>
  <si>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</si>
  <si>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</si>
  <si>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</si>
  <si>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</si>
  <si>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</si>
  <si>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</si>
  <si>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</si>
  <si>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</si>
  <si>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</si>
  <si>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</si>
  <si>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</si>
  <si>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</si>
  <si>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</si>
  <si>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</si>
  <si>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</si>
  <si>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</si>
  <si>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</si>
  <si>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</si>
  <si>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</si>
  <si>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</si>
  <si>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</si>
  <si>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</si>
  <si>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</si>
  <si>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</si>
  <si>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</si>
  <si>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</si>
  <si>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</si>
  <si>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</si>
  <si>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</si>
  <si>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</si>
  <si>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</si>
  <si>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</si>
  <si>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</si>
  <si>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</si>
  <si>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</si>
  <si>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</si>
  <si>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</si>
  <si>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</si>
  <si>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</si>
  <si>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</si>
  <si>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</si>
  <si>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</si>
  <si>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</si>
  <si>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</si>
  <si>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</si>
  <si>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</si>
  <si>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</si>
  <si>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</si>
  <si>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</si>
  <si>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</si>
  <si>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</si>
  <si>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</si>
  <si>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</si>
  <si>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</si>
  <si>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</si>
  <si>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</si>
  <si>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</si>
  <si>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</si>
  <si>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</si>
  <si>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</si>
  <si>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</si>
  <si>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</si>
  <si>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</si>
  <si>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</si>
  <si>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</si>
  <si>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</si>
  <si>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</si>
  <si>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</si>
  <si>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</si>
  <si>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</si>
  <si>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</si>
  <si>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</si>
  <si>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</si>
  <si>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</si>
  <si>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</si>
  <si>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</si>
  <si>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</si>
  <si>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</si>
  <si>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</si>
  <si>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</si>
  <si>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</si>
  <si>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</si>
  <si>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</si>
  <si>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</si>
  <si>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</si>
  <si>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</si>
  <si>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</si>
  <si>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</si>
  <si>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</si>
  <si>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</si>
  <si>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</si>
  <si>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</si>
  <si>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</si>
  <si>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</si>
  <si>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</si>
  <si>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</si>
  <si>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</si>
  <si>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</si>
  <si>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</si>
  <si>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</si>
  <si>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</si>
  <si>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</si>
  <si>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</si>
  <si>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</si>
  <si>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</si>
  <si>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</si>
  <si>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</si>
  <si>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</si>
  <si>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</si>
  <si>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</si>
  <si>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</si>
  <si>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</si>
  <si>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</si>
  <si>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</si>
  <si>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</si>
  <si>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</si>
  <si>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</si>
  <si>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</si>
  <si>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</si>
  <si>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</si>
  <si>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</si>
  <si>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</si>
  <si>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</si>
  <si>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</si>
  <si>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</si>
  <si>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</si>
  <si>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</si>
  <si>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</si>
  <si>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</si>
  <si>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</si>
  <si>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</si>
  <si>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</si>
  <si>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</si>
  <si>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</si>
  <si>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</si>
  <si>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</si>
  <si>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</si>
  <si>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</si>
  <si>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</si>
  <si>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</si>
  <si>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</si>
  <si>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</si>
  <si>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</si>
  <si>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</si>
  <si>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</si>
  <si>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</si>
  <si>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</si>
  <si>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</si>
  <si>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</si>
  <si>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</si>
  <si>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</si>
  <si>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</si>
  <si>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</si>
  <si>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</si>
  <si>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</si>
  <si>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</si>
  <si>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</si>
  <si>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</si>
  <si>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</si>
  <si>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</si>
  <si>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</si>
  <si>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</si>
  <si>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</si>
  <si>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</si>
  <si>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</si>
  <si>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</si>
  <si>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</si>
  <si>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</si>
  <si>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</si>
  <si>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</si>
  <si>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</si>
  <si>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</si>
  <si>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</si>
  <si>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</si>
  <si>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</si>
  <si>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</si>
  <si>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</si>
  <si>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</si>
  <si>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</si>
  <si>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</si>
  <si>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</si>
  <si>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</si>
  <si>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</si>
  <si>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</si>
  <si>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</si>
  <si>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</si>
  <si>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</si>
  <si>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</si>
  <si>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</si>
  <si>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</si>
  <si>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</si>
  <si>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</si>
  <si>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</si>
  <si>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</si>
  <si>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</si>
  <si>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</si>
  <si>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</si>
  <si>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</si>
  <si>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</si>
  <si>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</si>
  <si>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</si>
  <si>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</si>
  <si>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</si>
  <si>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</si>
  <si>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</si>
  <si>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</si>
  <si>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</si>
  <si>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</si>
  <si>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</si>
  <si>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</si>
  <si>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</si>
  <si>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</si>
  <si>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</si>
  <si>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</si>
  <si>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</si>
  <si>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</si>
  <si>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</si>
  <si>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</si>
  <si>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</si>
  <si>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</si>
  <si>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</si>
  <si>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</si>
  <si>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</si>
  <si>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</si>
  <si>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</si>
  <si>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</si>
  <si>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</si>
  <si>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</si>
  <si>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</si>
  <si>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</si>
  <si>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</si>
  <si>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</si>
  <si>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</si>
  <si>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</si>
  <si>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</si>
  <si>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</si>
  <si>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</si>
  <si>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</si>
  <si>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</si>
  <si>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</si>
  <si>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</si>
  <si>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</si>
  <si>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</si>
  <si>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</si>
  <si>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</si>
  <si>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</si>
  <si>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</si>
  <si>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</si>
  <si>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</si>
  <si>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</si>
  <si>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</si>
  <si>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</si>
  <si>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</si>
  <si>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</si>
  <si>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</si>
  <si>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</si>
  <si>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</si>
  <si>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</si>
  <si>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</si>
  <si>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</si>
  <si>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</si>
  <si>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</si>
  <si>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</si>
  <si>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</si>
  <si>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</si>
  <si>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</si>
  <si>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</si>
  <si>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</si>
  <si>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</si>
  <si>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</si>
  <si>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</si>
  <si>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</si>
  <si>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</si>
  <si>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</si>
  <si>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</si>
  <si>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</si>
  <si>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</si>
  <si>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</si>
  <si>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</si>
  <si>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</si>
  <si>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</si>
  <si>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</si>
  <si>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</si>
  <si>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</si>
  <si>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</si>
  <si>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</si>
  <si>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</si>
  <si>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</si>
  <si>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</si>
  <si>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</si>
  <si>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</si>
  <si>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</si>
  <si>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</si>
  <si>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</si>
  <si>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</si>
  <si>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</si>
  <si>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</si>
  <si>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</si>
  <si>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</si>
  <si>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</si>
  <si>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</si>
  <si>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</si>
  <si>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</si>
  <si>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</si>
  <si>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</si>
  <si>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</si>
  <si>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</si>
  <si>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</si>
  <si>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</si>
  <si>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</si>
  <si>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</si>
  <si>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</si>
  <si>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</si>
  <si>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</si>
  <si>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</si>
  <si>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</si>
  <si>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</si>
  <si>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</si>
  <si>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</si>
  <si>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</si>
  <si>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</si>
  <si>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</si>
  <si>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</si>
  <si>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</si>
  <si>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</si>
  <si>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</si>
  <si>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</si>
  <si>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</si>
  <si>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</si>
  <si>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</si>
  <si>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</si>
  <si>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</si>
  <si>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</si>
  <si>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</si>
  <si>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</si>
  <si>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</si>
  <si>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</si>
  <si>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</si>
  <si>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</si>
  <si>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</si>
  <si>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</si>
  <si>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</si>
  <si>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</si>
  <si>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</si>
  <si>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</si>
  <si>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</si>
  <si>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</si>
  <si>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</si>
  <si>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</si>
  <si>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</si>
  <si>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</si>
  <si>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</si>
  <si>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</si>
  <si>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</si>
  <si>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</si>
  <si>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</si>
  <si>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</si>
  <si>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</si>
  <si>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</si>
  <si>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</si>
  <si>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</si>
  <si>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</si>
  <si>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</si>
  <si>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</si>
  <si>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</si>
  <si>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</si>
  <si>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</si>
  <si>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</si>
  <si>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</si>
  <si>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</si>
  <si>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</si>
  <si>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</si>
  <si>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</si>
  <si>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</si>
  <si>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</si>
  <si>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</si>
  <si>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</si>
  <si>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</si>
  <si>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</si>
  <si>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</si>
  <si>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</si>
  <si>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</si>
  <si>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</si>
  <si>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</si>
  <si>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</si>
  <si>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</si>
  <si>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</si>
  <si>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</si>
  <si>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</si>
  <si>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</si>
  <si>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</si>
  <si>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</si>
  <si>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</si>
  <si>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</si>
  <si>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</si>
  <si>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</si>
  <si>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</si>
  <si>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</si>
  <si>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</si>
  <si>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</si>
  <si>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</si>
  <si>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</si>
  <si>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</si>
  <si>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</si>
  <si>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</si>
  <si>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</si>
  <si>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</si>
  <si>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</si>
  <si>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</si>
  <si>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</si>
  <si>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</si>
  <si>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</si>
  <si>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</si>
  <si>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</si>
  <si>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</si>
  <si>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</si>
  <si>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</si>
  <si>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</si>
  <si>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</si>
  <si>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</si>
  <si>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</si>
  <si>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</si>
  <si>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</si>
  <si>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</si>
  <si>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</si>
  <si>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</si>
  <si>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</si>
  <si>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</si>
  <si>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</si>
  <si>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</si>
  <si>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</si>
  <si>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</si>
  <si>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</si>
  <si>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</si>
  <si>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</si>
  <si>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</si>
  <si>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</si>
  <si>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</si>
  <si>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</si>
  <si>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</si>
  <si>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</si>
  <si>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</si>
  <si>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</si>
  <si>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</si>
  <si>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</si>
  <si>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</si>
  <si>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</si>
  <si>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</si>
  <si>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</si>
  <si>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</si>
  <si>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</si>
  <si>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</si>
  <si>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</si>
  <si>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</si>
  <si>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</si>
  <si>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</si>
  <si>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</si>
  <si>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</si>
  <si>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</si>
  <si>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</si>
  <si>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</si>
  <si>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</si>
  <si>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</si>
  <si>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</si>
  <si>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</si>
  <si>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</si>
  <si>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</si>
  <si>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</si>
  <si>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</si>
  <si>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</si>
  <si>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</si>
  <si>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</si>
  <si>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</si>
  <si>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</si>
  <si>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</si>
  <si>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</si>
  <si>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</si>
  <si>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</si>
  <si>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</si>
  <si>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</si>
  <si>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</si>
  <si>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</si>
  <si>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</si>
  <si>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</si>
  <si>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</si>
  <si>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</si>
  <si>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</si>
  <si>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</si>
  <si>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</si>
  <si>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</si>
  <si>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</si>
  <si>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</si>
  <si>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</si>
  <si>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</si>
  <si>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</si>
  <si>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</si>
  <si>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</si>
  <si>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</si>
  <si>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</si>
  <si>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</si>
  <si>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</si>
  <si>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</si>
  <si>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</si>
  <si>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</si>
  <si>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</si>
  <si>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</si>
  <si>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</si>
  <si>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</si>
  <si>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</si>
  <si>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</si>
  <si>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</si>
  <si>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</si>
  <si>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</si>
  <si>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</si>
  <si>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</si>
  <si>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</si>
  <si>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</si>
  <si>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</si>
  <si>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</si>
  <si>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</si>
  <si>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</si>
  <si>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</si>
  <si>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</si>
  <si>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</si>
  <si>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</si>
  <si>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</si>
  <si>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</si>
  <si>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</si>
  <si>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</si>
  <si>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</si>
  <si>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</si>
  <si>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</si>
  <si>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</si>
  <si>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</si>
  <si>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</si>
  <si>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</si>
  <si>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</si>
  <si>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</si>
  <si>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</si>
  <si>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</si>
  <si>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</si>
  <si>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</si>
  <si>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</si>
  <si>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</si>
  <si>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</si>
  <si>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</si>
  <si>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</si>
  <si>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</si>
  <si>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</si>
  <si>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</si>
  <si>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</si>
  <si>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</si>
  <si>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</si>
  <si>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</si>
  <si>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</si>
  <si>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</si>
  <si>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</si>
  <si>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</si>
  <si>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</si>
  <si>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</si>
  <si>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</si>
  <si>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</si>
  <si>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</si>
  <si>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</si>
  <si>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</si>
  <si>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</si>
  <si>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</si>
  <si>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</si>
  <si>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</si>
  <si>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</si>
  <si>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</si>
  <si>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</si>
  <si>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</si>
  <si>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</si>
  <si>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</si>
  <si>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</si>
  <si>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</si>
  <si>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</si>
  <si>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</si>
  <si>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</si>
  <si>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</si>
  <si>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</si>
  <si>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</si>
  <si>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</si>
  <si>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</si>
  <si>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</si>
  <si>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</si>
  <si>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</si>
  <si>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</si>
  <si>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</si>
  <si>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</si>
  <si>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</si>
  <si>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</si>
  <si>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</si>
  <si>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</si>
  <si>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</si>
  <si>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</si>
  <si>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</si>
  <si>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</si>
  <si>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</si>
  <si>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</si>
  <si>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</si>
  <si>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</si>
  <si>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</si>
  <si>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</si>
  <si>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</si>
  <si>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</si>
  <si>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</si>
  <si>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</si>
  <si>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</si>
  <si>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</si>
  <si>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</si>
  <si>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</si>
  <si>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</si>
  <si>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</si>
  <si>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</si>
  <si>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</si>
  <si>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</si>
  <si>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</si>
  <si>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</si>
  <si>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</si>
  <si>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</si>
  <si>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</si>
  <si>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</si>
  <si>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</si>
  <si>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</si>
  <si>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</si>
  <si>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</si>
  <si>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</si>
  <si>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</si>
  <si>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</si>
  <si>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</si>
  <si>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</si>
  <si>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</si>
  <si>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</si>
  <si>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</si>
  <si>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</si>
  <si>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</si>
  <si>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</si>
  <si>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</si>
  <si>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</si>
  <si>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</si>
  <si>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</si>
  <si>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</si>
  <si>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</si>
  <si>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</si>
  <si>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</si>
  <si>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</si>
  <si>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</si>
  <si>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</si>
  <si>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</si>
  <si>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</si>
  <si>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</si>
  <si>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</si>
  <si>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</si>
  <si>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</si>
  <si>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</si>
  <si>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</si>
  <si>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</si>
  <si>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</si>
  <si>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</si>
  <si>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</si>
  <si>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</si>
  <si>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</si>
  <si>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</si>
  <si>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</si>
  <si>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</si>
  <si>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</si>
  <si>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</si>
  <si>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</si>
  <si>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</si>
  <si>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</si>
  <si>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</si>
  <si>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</si>
  <si>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</si>
  <si>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</si>
  <si>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</si>
  <si>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</si>
  <si>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</si>
  <si>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</si>
  <si>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</si>
  <si>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</si>
  <si>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</si>
  <si>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</si>
  <si>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</si>
  <si>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</si>
  <si>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</si>
  <si>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</si>
  <si>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</si>
  <si>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</si>
  <si>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</si>
  <si>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</si>
  <si>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</si>
  <si>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</si>
  <si>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</si>
  <si>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</si>
  <si>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</si>
  <si>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</si>
  <si>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</si>
  <si>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</si>
  <si>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</si>
  <si>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</si>
  <si>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</si>
  <si>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</si>
  <si>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</si>
  <si>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</si>
  <si>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</si>
  <si>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</si>
  <si>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</si>
  <si>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</si>
  <si>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</si>
  <si>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</si>
  <si>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</si>
  <si>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</si>
  <si>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</si>
  <si>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</si>
  <si>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</si>
  <si>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</si>
  <si>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</si>
  <si>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</si>
  <si>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</si>
  <si>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</si>
  <si>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</si>
  <si>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</si>
  <si>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</si>
  <si>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</si>
  <si>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</si>
  <si>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</si>
  <si>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</si>
  <si>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</si>
  <si>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</si>
  <si>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</si>
  <si>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</si>
  <si>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</si>
  <si>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</si>
  <si>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</si>
  <si>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</si>
  <si>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</si>
  <si>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</si>
  <si>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</si>
  <si>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</si>
  <si>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</si>
  <si>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</si>
  <si>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</si>
  <si>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</si>
  <si>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</si>
  <si>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</si>
  <si>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</si>
  <si>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</si>
  <si>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</si>
  <si>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</si>
  <si>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</si>
  <si>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</si>
  <si>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</si>
  <si>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</si>
  <si>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</si>
  <si>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</si>
  <si>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</si>
  <si>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</si>
  <si>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</si>
  <si>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</si>
  <si>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</si>
  <si>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</si>
  <si>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</si>
  <si>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</si>
  <si>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</si>
  <si>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</si>
  <si>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</si>
  <si>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</si>
  <si>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</si>
  <si>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</si>
  <si>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</si>
  <si>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</si>
  <si>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</si>
  <si>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</si>
  <si>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</si>
  <si>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</si>
  <si>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</si>
  <si>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</si>
  <si>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</si>
  <si>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</si>
  <si>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</si>
  <si>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</si>
  <si>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</si>
  <si>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</si>
  <si>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</si>
  <si>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</si>
  <si>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</si>
  <si>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</si>
  <si>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</si>
  <si>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</si>
  <si>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</si>
  <si>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</si>
  <si>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</si>
  <si>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</si>
  <si>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</si>
  <si>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</si>
  <si>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</si>
  <si>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</si>
  <si>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</si>
  <si>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</si>
  <si>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</si>
  <si>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</si>
  <si>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</si>
  <si>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</si>
  <si>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</si>
  <si>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</si>
  <si>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</si>
  <si>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</si>
  <si>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</si>
  <si>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</si>
  <si>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</si>
  <si>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</si>
  <si>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</si>
  <si>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</si>
  <si>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</si>
  <si>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</si>
  <si>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</si>
  <si>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</si>
  <si>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</si>
  <si>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</si>
  <si>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</si>
  <si>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</si>
  <si>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</si>
  <si>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</si>
  <si>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</si>
  <si>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</si>
  <si>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</si>
  <si>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</si>
  <si>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</si>
  <si>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</si>
  <si>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</si>
  <si>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</si>
  <si>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</si>
  <si>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</si>
  <si>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</si>
  <si>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</si>
  <si>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</si>
  <si>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</si>
  <si>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</si>
  <si>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</si>
  <si>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</si>
  <si>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</si>
  <si>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</si>
  <si>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</si>
  <si>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</si>
  <si>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</si>
  <si>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</si>
  <si>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</si>
  <si>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</si>
  <si>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</si>
  <si>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</si>
  <si>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</si>
  <si>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</si>
  <si>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</si>
  <si>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</si>
  <si>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</si>
  <si>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</si>
  <si>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</si>
  <si>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</si>
  <si>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</si>
  <si>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</si>
  <si>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</si>
  <si>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</si>
  <si>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</si>
  <si>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</si>
  <si>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</si>
  <si>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</si>
  <si>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</si>
  <si>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</si>
  <si>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</si>
  <si>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</si>
  <si>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</si>
  <si>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</si>
  <si>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</si>
  <si>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</si>
  <si>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</si>
  <si>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</si>
  <si>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</si>
  <si>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</si>
  <si>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</si>
  <si>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</si>
  <si>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</si>
  <si>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</si>
  <si>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</si>
  <si>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</si>
  <si>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</si>
  <si>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</si>
  <si>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</si>
  <si>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</si>
  <si>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</si>
  <si>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</si>
  <si>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</si>
  <si>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</si>
  <si>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</si>
  <si>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</si>
  <si>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</si>
  <si>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</si>
  <si>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</si>
  <si>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</si>
  <si>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</si>
  <si>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</si>
  <si>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</si>
  <si>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</si>
  <si>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</si>
  <si>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</si>
  <si>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</si>
  <si>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</si>
  <si>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</si>
  <si>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</si>
  <si>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</si>
  <si>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</si>
  <si>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</si>
  <si>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</si>
  <si>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</si>
  <si>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</si>
  <si>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</si>
  <si>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</si>
  <si>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</si>
  <si>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</si>
  <si>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</si>
  <si>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</si>
  <si>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</si>
  <si>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</si>
  <si>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</si>
  <si>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</si>
  <si>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</si>
  <si>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</si>
  <si>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</si>
  <si>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</si>
  <si>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</si>
  <si>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</si>
  <si>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</si>
  <si>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</si>
  <si>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</si>
  <si>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</si>
  <si>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</si>
  <si>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</si>
  <si>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</si>
  <si>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</si>
  <si>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</si>
  <si>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</si>
  <si>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</si>
  <si>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</si>
  <si>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</si>
  <si>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</si>
  <si>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</si>
  <si>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</si>
  <si>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</si>
  <si>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</si>
  <si>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</si>
  <si>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</si>
  <si>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</si>
  <si>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</si>
  <si>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</si>
  <si>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</si>
  <si>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</si>
  <si>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</si>
  <si>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</si>
  <si>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</si>
  <si>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</si>
  <si>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</si>
  <si>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</si>
  <si>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</si>
  <si>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</si>
  <si>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</si>
  <si>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</si>
  <si>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</si>
  <si>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</si>
  <si>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</si>
  <si>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</si>
  <si>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</si>
  <si>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</si>
  <si>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</si>
  <si>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</si>
  <si>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</si>
  <si>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</si>
  <si>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</si>
  <si>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</si>
  <si>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</si>
  <si>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</si>
  <si>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</si>
  <si>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</si>
  <si>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</si>
  <si>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</si>
  <si>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</si>
  <si>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</si>
  <si>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</si>
  <si>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</si>
  <si>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</si>
  <si>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</si>
  <si>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</si>
  <si>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</si>
  <si>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</si>
  <si>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</si>
  <si>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</si>
  <si>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</si>
  <si>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</si>
  <si>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</si>
  <si>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</si>
  <si>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</si>
  <si>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</si>
  <si>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</si>
  <si>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</si>
  <si>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</si>
  <si>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</si>
  <si>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</si>
  <si>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</si>
  <si>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</si>
  <si>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</si>
  <si>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</si>
  <si>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</si>
  <si>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</si>
  <si>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</si>
  <si>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</si>
  <si>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</si>
  <si>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</si>
  <si>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</si>
  <si>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</si>
  <si>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</si>
  <si>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</si>
  <si>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</si>
  <si>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</si>
  <si>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</si>
  <si>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</si>
  <si>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</si>
  <si>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</si>
  <si>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</si>
  <si>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</si>
  <si>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</si>
  <si>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</si>
  <si>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</si>
  <si>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</si>
  <si>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</si>
  <si>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</si>
  <si>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</si>
  <si>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</si>
  <si>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</si>
  <si>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</si>
  <si>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</si>
  <si>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</si>
  <si>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</si>
  <si>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</si>
  <si>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</si>
  <si>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</si>
  <si>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</si>
  <si>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</si>
  <si>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</si>
  <si>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</si>
  <si>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</si>
  <si>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</si>
  <si>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</si>
  <si>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</si>
  <si>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</si>
  <si>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</si>
  <si>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</si>
  <si>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</si>
  <si>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</si>
  <si>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</si>
  <si>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</si>
  <si>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</si>
  <si>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</si>
  <si>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</si>
  <si>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</si>
  <si>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</si>
  <si>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</si>
  <si>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</si>
  <si>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</si>
  <si>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</si>
  <si>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</si>
  <si>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</si>
  <si>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</si>
  <si>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</si>
  <si>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</si>
  <si>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</si>
  <si>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</si>
  <si>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</si>
  <si>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</si>
  <si>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</si>
  <si>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</si>
  <si>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</si>
  <si>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</si>
  <si>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</si>
  <si>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</si>
  <si>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</si>
  <si>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</si>
  <si>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</si>
  <si>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</si>
  <si>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</si>
  <si>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</si>
  <si>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</si>
  <si>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</si>
  <si>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</si>
  <si>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</si>
  <si>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</si>
  <si>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</si>
  <si>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</si>
  <si>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</si>
  <si>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</si>
  <si>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</si>
  <si>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</si>
  <si>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</si>
  <si>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</si>
  <si>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</si>
  <si>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</si>
  <si>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</si>
  <si>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</si>
  <si>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</si>
  <si>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</si>
  <si>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</si>
  <si>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</si>
  <si>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</si>
  <si>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</si>
  <si>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</si>
  <si>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</si>
  <si>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</si>
  <si>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</si>
  <si>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</si>
  <si>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</si>
  <si>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</si>
  <si>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</si>
  <si>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</si>
  <si>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</si>
  <si>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</si>
  <si>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</si>
  <si>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</si>
  <si>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</si>
  <si>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</si>
  <si>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</si>
  <si>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</si>
  <si>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</si>
  <si>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</si>
  <si>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</si>
  <si>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</si>
  <si>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</si>
  <si>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</si>
  <si>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</si>
  <si>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</si>
  <si>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</si>
  <si>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</si>
  <si>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</si>
  <si>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</si>
  <si>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</si>
  <si>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</si>
  <si>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</si>
  <si>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</si>
  <si>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</si>
  <si>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</si>
  <si>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</si>
  <si>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</si>
  <si>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</si>
  <si>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</si>
  <si>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</si>
  <si>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</si>
  <si>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</si>
  <si>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</si>
  <si>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</si>
  <si>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</si>
  <si>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</si>
  <si>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</si>
  <si>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</si>
  <si>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</si>
  <si>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</si>
  <si>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</si>
  <si>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</si>
  <si>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</si>
  <si>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</si>
  <si>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</si>
  <si>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</si>
  <si>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</si>
  <si>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</si>
  <si>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</si>
  <si>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</si>
  <si>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</si>
  <si>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</si>
  <si>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</si>
  <si>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</si>
  <si>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</si>
  <si>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</si>
  <si>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</si>
  <si>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</si>
  <si>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</si>
  <si>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</si>
  <si>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</si>
  <si>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</si>
  <si>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</si>
  <si>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</si>
  <si>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</si>
  <si>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</si>
  <si>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</si>
  <si>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</si>
  <si>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</si>
  <si>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</si>
  <si>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</si>
  <si>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</si>
  <si>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</si>
  <si>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</si>
  <si>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</si>
  <si>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</si>
  <si>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</si>
  <si>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</si>
  <si>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</si>
  <si>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</si>
  <si>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</si>
  <si>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</si>
  <si>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</si>
  <si>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</si>
  <si>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</si>
  <si>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</si>
  <si>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</si>
  <si>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</si>
  <si>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</si>
  <si>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</si>
  <si>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</si>
  <si>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</si>
  <si>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</si>
  <si>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</si>
  <si>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</si>
  <si>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</si>
  <si>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</si>
  <si>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</si>
  <si>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</si>
  <si>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</si>
  <si>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</si>
  <si>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</si>
  <si>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</si>
  <si>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</si>
  <si>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</si>
  <si>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</si>
  <si>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</si>
  <si>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</si>
  <si>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</si>
  <si>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</si>
  <si>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</si>
  <si>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</si>
  <si>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</si>
  <si>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</si>
  <si>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</si>
  <si>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</si>
  <si>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</si>
  <si>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</si>
  <si>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</si>
  <si>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</si>
  <si>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</si>
  <si>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</si>
  <si>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</si>
  <si>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</si>
  <si>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</si>
  <si>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</si>
  <si>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</si>
  <si>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</si>
  <si>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</si>
  <si>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</si>
  <si>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</si>
  <si>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</si>
  <si>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</si>
  <si>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</si>
  <si>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</si>
  <si>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</si>
  <si>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</si>
  <si>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</si>
  <si>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</si>
  <si>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</si>
  <si>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</si>
  <si>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</si>
  <si>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</si>
  <si>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</si>
  <si>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</si>
  <si>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</si>
  <si>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</si>
  <si>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</si>
  <si>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</si>
  <si>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</si>
  <si>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</si>
  <si>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</si>
  <si>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</si>
  <si>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</si>
  <si>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</si>
  <si>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</si>
  <si>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</si>
  <si>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</si>
  <si>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</si>
  <si>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</si>
  <si>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</si>
  <si>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</si>
  <si>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</si>
  <si>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</si>
  <si>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</si>
  <si>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</si>
  <si>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</si>
  <si>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</si>
  <si>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</si>
  <si>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</si>
  <si>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</si>
  <si>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</si>
  <si>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</si>
  <si>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</si>
  <si>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</si>
  <si>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</si>
  <si>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</si>
  <si>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</si>
  <si>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</si>
  <si>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</si>
  <si>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</si>
  <si>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</si>
  <si>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</si>
  <si>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</si>
  <si>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</si>
  <si>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</si>
  <si>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</si>
  <si>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</si>
  <si>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</si>
  <si>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</si>
  <si>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</si>
  <si>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</si>
  <si>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</si>
  <si>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</si>
  <si>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</si>
  <si>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</si>
  <si>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</si>
  <si>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</si>
  <si>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</si>
  <si>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</si>
  <si>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</si>
  <si>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</si>
  <si>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</si>
  <si>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</si>
  <si>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</si>
  <si>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</si>
  <si>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</si>
  <si>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</si>
  <si>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</si>
  <si>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</si>
  <si>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</si>
  <si>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</si>
  <si>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</si>
  <si>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</si>
  <si>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</si>
  <si>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</si>
  <si>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</si>
  <si>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</si>
  <si>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</si>
  <si>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</si>
  <si>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</si>
  <si>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</si>
  <si>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</si>
  <si>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</si>
  <si>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</si>
  <si>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</si>
  <si>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</si>
  <si>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</si>
  <si>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</si>
  <si>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</si>
  <si>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</si>
  <si>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</si>
  <si>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</si>
  <si>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</si>
  <si>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</si>
  <si>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</si>
  <si>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</si>
  <si>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</si>
  <si>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</si>
  <si>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</si>
  <si>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</si>
  <si>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</si>
  <si>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</si>
  <si>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</si>
  <si>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</si>
  <si>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</si>
  <si>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</si>
  <si>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</si>
  <si>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</si>
  <si>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</si>
  <si>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</si>
  <si>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</si>
  <si>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</si>
  <si>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</si>
  <si>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</si>
  <si>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</si>
  <si>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</si>
  <si>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</si>
  <si>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</si>
  <si>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</si>
  <si>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</si>
  <si>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</si>
  <si>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</si>
  <si>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</si>
  <si>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</si>
  <si>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</si>
  <si>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</si>
  <si>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</si>
  <si>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</si>
  <si>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</si>
  <si>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</si>
  <si>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</si>
  <si>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</si>
  <si>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</si>
  <si>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</si>
  <si>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</si>
  <si>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</si>
  <si>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</si>
  <si>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</si>
  <si>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</si>
  <si>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</si>
  <si>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</si>
  <si>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</si>
  <si>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</si>
  <si>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</si>
  <si>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</si>
  <si>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</si>
  <si>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</si>
  <si>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</si>
  <si>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</si>
  <si>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</si>
  <si>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</si>
  <si>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</si>
  <si>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</si>
  <si>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</si>
  <si>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</si>
  <si>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</si>
  <si>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</si>
  <si>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</si>
  <si>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</si>
  <si>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</si>
  <si>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</si>
  <si>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</si>
  <si>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</si>
  <si>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</si>
  <si>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</si>
  <si>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</si>
  <si>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</si>
  <si>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</si>
  <si>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</si>
  <si>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</si>
  <si>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</si>
  <si>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</si>
  <si>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</si>
  <si>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</si>
  <si>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</si>
  <si>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</si>
  <si>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</si>
  <si>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</si>
  <si>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</si>
  <si>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</si>
  <si>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</si>
  <si>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</si>
  <si>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</si>
  <si>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</si>
  <si>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</si>
  <si>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</si>
  <si>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</si>
  <si>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</si>
  <si>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</si>
  <si>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</si>
  <si>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</si>
  <si>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</si>
  <si>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</si>
  <si>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</si>
  <si>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</si>
  <si>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</si>
  <si>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</si>
  <si>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</si>
  <si>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</si>
  <si>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</si>
  <si>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</si>
  <si>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</si>
  <si>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</si>
  <si>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</si>
  <si>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</si>
  <si>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</si>
  <si>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</si>
  <si>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</si>
  <si>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</si>
  <si>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</si>
  <si>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</si>
  <si>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</si>
  <si>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</si>
  <si>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</si>
  <si>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</si>
  <si>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</si>
  <si>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</si>
  <si>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</si>
  <si>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</si>
  <si>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</si>
  <si>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</si>
  <si>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</si>
  <si>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</si>
  <si>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</si>
  <si>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</si>
  <si>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</si>
  <si>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</si>
  <si>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</si>
  <si>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</si>
  <si>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</si>
  <si>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</si>
  <si>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</si>
  <si>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</si>
  <si>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</si>
  <si>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</si>
  <si>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</si>
  <si>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</si>
  <si>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</si>
  <si>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</si>
  <si>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</si>
  <si>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</si>
  <si>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</si>
  <si>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</si>
  <si>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</si>
  <si>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</si>
  <si>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</si>
  <si>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</si>
  <si>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</si>
  <si>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</si>
  <si>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</si>
  <si>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</si>
  <si>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</si>
  <si>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</si>
  <si>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</si>
  <si>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</si>
  <si>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</si>
  <si>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</si>
  <si>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</si>
  <si>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</si>
  <si>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</si>
  <si>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</si>
  <si>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</si>
  <si>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</si>
  <si>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</si>
  <si>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</si>
  <si>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</si>
  <si>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</si>
  <si>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</si>
  <si>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</si>
  <si>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</si>
  <si>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</si>
  <si>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</si>
  <si>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</si>
  <si>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</si>
  <si>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</si>
  <si>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</si>
  <si>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</si>
  <si>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</si>
  <si>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</si>
  <si>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</si>
  <si>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</si>
  <si>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</si>
  <si>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</si>
  <si>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</si>
  <si>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</si>
  <si>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</si>
  <si>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</si>
  <si>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</si>
  <si>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</si>
  <si>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</si>
  <si>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</si>
  <si>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</si>
  <si>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</si>
  <si>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</si>
  <si>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</si>
  <si>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</si>
  <si>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</si>
  <si>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</si>
  <si>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</si>
  <si>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</si>
  <si>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</si>
  <si>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</si>
  <si>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</si>
  <si>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</si>
  <si>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</si>
  <si>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</si>
  <si>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</si>
  <si>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</si>
  <si>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</si>
  <si>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</si>
  <si>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</si>
  <si>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</si>
  <si>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</si>
  <si>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</si>
  <si>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</si>
  <si>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</si>
  <si>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</si>
  <si>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</si>
  <si>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</si>
  <si>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</si>
  <si>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</si>
  <si>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</si>
  <si>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</si>
  <si>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</si>
  <si>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</si>
  <si>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</si>
  <si>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</si>
  <si>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</si>
  <si>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</si>
  <si>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</si>
  <si>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</si>
  <si>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</si>
  <si>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</si>
  <si>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</si>
  <si>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</si>
  <si>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</si>
  <si>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</si>
  <si>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</si>
  <si>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</si>
  <si>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</si>
  <si>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</si>
  <si>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</si>
  <si>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</si>
  <si>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</si>
  <si>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</si>
  <si>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</si>
  <si>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</si>
  <si>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</si>
  <si>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</si>
  <si>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</si>
  <si>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</si>
  <si>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</si>
  <si>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</si>
  <si>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</si>
  <si>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</si>
  <si>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</si>
  <si>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</si>
  <si>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</si>
  <si>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</si>
  <si>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</si>
  <si>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</si>
  <si>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</si>
  <si>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</si>
  <si>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</si>
  <si>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</si>
  <si>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</si>
  <si>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</si>
  <si>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</si>
  <si>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</si>
  <si>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</si>
  <si>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</si>
  <si>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</si>
  <si>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</si>
  <si>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</si>
  <si>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</si>
  <si>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</si>
  <si>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</si>
  <si>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</si>
  <si>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</si>
  <si>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</si>
  <si>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</si>
  <si>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</si>
  <si>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</si>
  <si>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</si>
  <si>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</si>
  <si>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</si>
  <si>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</si>
  <si>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</si>
  <si>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</si>
  <si>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</si>
  <si>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</si>
  <si>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</si>
  <si>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</si>
  <si>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</si>
  <si>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</si>
  <si>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</si>
  <si>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</si>
  <si>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</si>
  <si>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</si>
  <si>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</si>
  <si>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</si>
  <si>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</si>
  <si>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</si>
  <si>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</si>
  <si>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</si>
  <si>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</si>
  <si>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</si>
  <si>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</si>
  <si>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</si>
  <si>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</si>
  <si>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</si>
  <si>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</si>
  <si>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</si>
  <si>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</si>
  <si>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</si>
  <si>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</si>
  <si>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</si>
  <si>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</si>
  <si>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</si>
  <si>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</si>
  <si>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</si>
  <si>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</si>
  <si>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</si>
  <si>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</si>
  <si>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</si>
  <si>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</si>
  <si>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</si>
  <si>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</si>
  <si>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</si>
  <si>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</si>
  <si>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</si>
  <si>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</si>
  <si>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</si>
  <si>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</si>
  <si>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</si>
  <si>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</si>
  <si>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</si>
  <si>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</si>
  <si>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</si>
  <si>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</si>
  <si>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</si>
  <si>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</si>
  <si>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</si>
  <si>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</si>
  <si>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</si>
  <si>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</si>
  <si>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</si>
  <si>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</si>
  <si>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</si>
  <si>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</si>
  <si>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</si>
  <si>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</si>
  <si>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</si>
  <si>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</si>
  <si>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</si>
  <si>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</si>
  <si>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</si>
  <si>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</si>
  <si>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</si>
  <si>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</si>
  <si>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</si>
  <si>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</si>
  <si>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</si>
  <si>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</si>
  <si>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</si>
  <si>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</si>
  <si>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</si>
  <si>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</si>
  <si>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</si>
  <si>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</si>
  <si>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</si>
  <si>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</si>
  <si>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</si>
  <si>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</si>
  <si>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</si>
  <si>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</si>
  <si>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</si>
  <si>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</si>
  <si>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</si>
  <si>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</si>
  <si>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</si>
  <si>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</si>
  <si>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</si>
  <si>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</si>
  <si>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</si>
  <si>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</si>
  <si>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</si>
  <si>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</si>
  <si>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</si>
  <si>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</si>
  <si>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</si>
  <si>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</si>
  <si>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</si>
  <si>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</si>
  <si>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</si>
  <si>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</si>
  <si>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</si>
  <si>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</si>
  <si>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</si>
  <si>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</si>
  <si>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</si>
  <si>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</si>
  <si>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</si>
  <si>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</si>
  <si>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</si>
  <si>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</si>
  <si>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</si>
  <si>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</si>
  <si>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</si>
  <si>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</si>
  <si>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</si>
  <si>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</si>
  <si>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</si>
  <si>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</si>
  <si>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</si>
  <si>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</si>
  <si>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</si>
  <si>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</si>
  <si>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</si>
  <si>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</si>
  <si>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</si>
  <si>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</si>
  <si>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</si>
  <si>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</si>
  <si>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</si>
  <si>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</si>
  <si>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</si>
  <si>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</si>
  <si>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</si>
  <si>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</si>
  <si>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</si>
  <si>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</si>
  <si>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</si>
  <si>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</si>
  <si>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</si>
  <si>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</si>
  <si>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</si>
  <si>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</si>
  <si>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</si>
  <si>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</si>
  <si>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</si>
  <si>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</si>
  <si>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</si>
  <si>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</si>
  <si>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</si>
  <si>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</si>
  <si>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</si>
  <si>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</si>
  <si>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</si>
  <si>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</si>
  <si>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</si>
  <si>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</si>
  <si>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</si>
  <si>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</si>
  <si>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</si>
  <si>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</si>
  <si>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</si>
  <si>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</si>
  <si>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</si>
  <si>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</si>
  <si>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</si>
  <si>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</si>
  <si>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</si>
  <si>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</si>
  <si>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</si>
  <si>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</si>
  <si>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</si>
  <si>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</si>
  <si>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</si>
  <si>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</si>
  <si>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</si>
  <si>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</si>
  <si>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</si>
  <si>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</si>
  <si>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</si>
  <si>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</si>
  <si>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</si>
  <si>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</si>
  <si>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</si>
  <si>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</si>
  <si>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</si>
  <si>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</si>
  <si>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</si>
  <si>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</si>
  <si>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</si>
  <si>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</si>
  <si>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</si>
  <si>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</si>
  <si>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</si>
  <si>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</si>
  <si>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</si>
  <si>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</si>
  <si>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</si>
  <si>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</si>
  <si>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</si>
  <si>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</si>
  <si>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</si>
  <si>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</si>
  <si>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</si>
  <si>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</si>
  <si>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</si>
  <si>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</si>
  <si>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</si>
  <si>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</si>
  <si>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</si>
  <si>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</si>
  <si>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</si>
  <si>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</si>
  <si>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</si>
  <si>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</si>
  <si>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</si>
  <si>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</si>
  <si>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</si>
  <si>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</si>
  <si>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</si>
  <si>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</si>
  <si>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</si>
  <si>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</si>
  <si>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</si>
  <si>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</si>
  <si>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</si>
  <si>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</si>
  <si>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</si>
  <si>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</si>
  <si>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</si>
  <si>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</si>
  <si>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</si>
  <si>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</si>
  <si>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</si>
  <si>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</si>
  <si>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</si>
  <si>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</si>
  <si>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</si>
  <si>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</si>
  <si>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</si>
  <si>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</si>
  <si>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</si>
  <si>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</si>
  <si>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</si>
  <si>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</si>
  <si>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</si>
  <si>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</si>
  <si>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</si>
  <si>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</si>
  <si>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</si>
  <si>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</si>
  <si>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</si>
  <si>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</si>
  <si>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</si>
  <si>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</si>
  <si>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</si>
  <si>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</si>
  <si>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</si>
  <si>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</si>
  <si>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</si>
  <si>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</si>
  <si>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</si>
  <si>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</si>
  <si>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</si>
  <si>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</si>
  <si>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</si>
  <si>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</si>
  <si>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</si>
  <si>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</si>
  <si>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</si>
  <si>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</si>
  <si>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</si>
  <si>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</si>
  <si>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</si>
  <si>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</si>
  <si>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</si>
  <si>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</si>
  <si>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</si>
  <si>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</si>
  <si>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</si>
  <si>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</si>
  <si>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</si>
  <si>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</si>
  <si>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</si>
  <si>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</si>
  <si>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</si>
  <si>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</si>
  <si>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</si>
  <si>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</si>
  <si>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</si>
  <si>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</si>
  <si>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</si>
  <si>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</si>
  <si>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</si>
  <si>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</si>
  <si>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</si>
  <si>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</si>
  <si>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</si>
  <si>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</si>
  <si>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</si>
  <si>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</si>
  <si>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</si>
  <si>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</si>
  <si>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</si>
  <si>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</si>
  <si>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</si>
  <si>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</si>
  <si>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</si>
  <si>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</si>
  <si>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</si>
  <si>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</si>
  <si>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</si>
  <si>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</si>
  <si>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</si>
  <si>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</si>
  <si>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</si>
  <si>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</si>
  <si>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</si>
  <si>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</si>
  <si>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</si>
  <si>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</si>
  <si>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</si>
  <si>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</si>
  <si>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</si>
  <si>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</si>
  <si>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</si>
  <si>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</si>
  <si>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</si>
  <si>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</si>
  <si>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</si>
  <si>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</si>
  <si>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</si>
  <si>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</si>
  <si>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</si>
  <si>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</si>
  <si>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</si>
  <si>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</si>
  <si>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</si>
  <si>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</si>
  <si>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</si>
  <si>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</si>
  <si>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</si>
  <si>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</si>
  <si>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</si>
  <si>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</si>
  <si>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</si>
  <si>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</si>
  <si>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</si>
  <si>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</si>
  <si>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</si>
  <si>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</si>
  <si>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</si>
  <si>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</si>
  <si>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</si>
  <si>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</si>
  <si>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</si>
  <si>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</si>
  <si>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</si>
  <si>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</si>
  <si>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</si>
  <si>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</si>
  <si>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</si>
  <si>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</si>
  <si>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</si>
  <si>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</si>
  <si>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</si>
  <si>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</si>
  <si>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</si>
  <si>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</si>
  <si>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</si>
  <si>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</si>
  <si>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</si>
  <si>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</si>
  <si>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</si>
  <si>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</si>
  <si>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</si>
  <si>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</si>
  <si>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</si>
  <si>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</si>
  <si>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</si>
  <si>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</si>
  <si>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</si>
  <si>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</si>
  <si>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</si>
  <si>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</si>
  <si>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</si>
  <si>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</si>
  <si>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</si>
  <si>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</si>
  <si>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</si>
  <si>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</si>
  <si>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</si>
  <si>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</si>
  <si>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</si>
  <si>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</si>
  <si>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</si>
  <si>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</si>
  <si>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</si>
  <si>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</si>
  <si>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</si>
  <si>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</si>
  <si>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</si>
  <si>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</si>
  <si>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</si>
  <si>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</si>
  <si>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</si>
  <si>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</si>
  <si>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</si>
  <si>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</si>
  <si>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</si>
  <si>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</si>
  <si>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</si>
  <si>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</si>
  <si>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</si>
  <si>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</si>
  <si>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</si>
  <si>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</si>
  <si>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</si>
  <si>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</si>
  <si>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</si>
  <si>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</si>
  <si>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</si>
  <si>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</si>
  <si>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</si>
  <si>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</si>
  <si>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</si>
  <si>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</si>
  <si>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</si>
  <si>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</si>
  <si>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</si>
  <si>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</si>
  <si>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</si>
  <si>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</si>
  <si>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</si>
  <si>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</si>
  <si>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</si>
  <si>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</si>
  <si>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</si>
  <si>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</si>
  <si>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</si>
  <si>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</si>
  <si>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</si>
  <si>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</si>
  <si>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</si>
  <si>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</si>
  <si>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</si>
  <si>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</si>
  <si>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</si>
  <si>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</si>
  <si>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</si>
  <si>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</si>
  <si>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</si>
  <si>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</si>
  <si>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</si>
  <si>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</si>
  <si>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</si>
  <si>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</si>
  <si>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</si>
  <si>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</si>
  <si>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</si>
  <si>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</si>
  <si>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</si>
  <si>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</si>
  <si>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</si>
  <si>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</si>
  <si>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</si>
  <si>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</si>
  <si>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</si>
  <si>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</si>
  <si>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</si>
  <si>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</si>
  <si>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</si>
  <si>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</si>
  <si>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</si>
  <si>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</si>
  <si>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</si>
  <si>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</si>
  <si>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</si>
  <si>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</si>
  <si>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</si>
  <si>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</si>
  <si>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</si>
  <si>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</si>
  <si>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</si>
  <si>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</si>
  <si>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</si>
  <si>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</si>
  <si>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</si>
  <si>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</si>
  <si>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</si>
  <si>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</si>
  <si>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</si>
  <si>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</si>
  <si>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</si>
  <si>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</si>
  <si>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</si>
  <si>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</si>
  <si>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</si>
  <si>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</si>
  <si>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</si>
  <si>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</si>
  <si>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</si>
  <si>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</si>
  <si>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</si>
  <si>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</si>
  <si>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</si>
  <si>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</si>
  <si>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</si>
  <si>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</si>
  <si>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</si>
  <si>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</si>
  <si>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</si>
  <si>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</si>
  <si>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</si>
  <si>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</si>
  <si>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</si>
  <si>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</si>
  <si>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</si>
  <si>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</si>
  <si>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</si>
  <si>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</si>
  <si>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</si>
  <si>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</si>
  <si>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</si>
  <si>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</si>
  <si>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</si>
  <si>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</si>
  <si>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</si>
  <si>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</si>
  <si>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</si>
  <si>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</si>
  <si>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</si>
  <si>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</si>
  <si>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</si>
  <si>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</si>
  <si>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</si>
  <si>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</si>
  <si>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</si>
  <si>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</si>
  <si>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</si>
  <si>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</si>
  <si>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</si>
  <si>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</si>
  <si>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</si>
  <si>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</si>
  <si>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</si>
  <si>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</si>
  <si>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</si>
  <si>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</si>
  <si>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</si>
  <si>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</si>
  <si>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</si>
  <si>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</si>
  <si>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</si>
  <si>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</si>
  <si>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</si>
  <si>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</si>
  <si>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</si>
  <si>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</si>
  <si>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</si>
  <si>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</si>
  <si>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</si>
  <si>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</si>
  <si>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</si>
  <si>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</si>
  <si>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</si>
  <si>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</si>
  <si>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</si>
  <si>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</si>
  <si>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</si>
  <si>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</si>
  <si>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</si>
  <si>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</si>
  <si>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</si>
  <si>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</si>
  <si>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</si>
  <si>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</si>
  <si>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</si>
  <si>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</si>
  <si>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</si>
  <si>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</si>
  <si>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</si>
  <si>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</si>
  <si>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</si>
  <si>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</si>
  <si>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</si>
  <si>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</si>
  <si>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</si>
  <si>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</si>
  <si>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</si>
  <si>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</si>
  <si>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</si>
  <si>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</si>
  <si>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</si>
  <si>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</si>
  <si>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</si>
  <si>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</si>
  <si>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</si>
  <si>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</si>
  <si>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</si>
  <si>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</si>
  <si>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</si>
  <si>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</si>
  <si>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</si>
  <si>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</si>
  <si>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</si>
  <si>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</si>
  <si>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</si>
  <si>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</si>
  <si>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</si>
  <si>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</si>
  <si>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</si>
  <si>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</si>
  <si>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</si>
  <si>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</si>
  <si>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</si>
  <si>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</si>
  <si>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</si>
  <si>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</si>
  <si>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</si>
  <si>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</si>
  <si>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</si>
  <si>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</si>
  <si>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</si>
  <si>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</si>
  <si>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</si>
  <si>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</si>
  <si>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</si>
  <si>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</si>
  <si>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</si>
  <si>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</si>
  <si>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</si>
  <si>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</si>
  <si>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</si>
  <si>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</si>
  <si>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</si>
  <si>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</si>
  <si>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</si>
  <si>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</si>
  <si>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</si>
  <si>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</si>
  <si>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</si>
  <si>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</si>
  <si>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</si>
  <si>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</si>
  <si>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</si>
  <si>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</si>
  <si>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</si>
  <si>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</si>
  <si>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</si>
  <si>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</si>
  <si>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</si>
  <si>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</si>
  <si>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</si>
  <si>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</si>
  <si>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</si>
  <si>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</si>
  <si>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</si>
  <si>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</si>
  <si>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</si>
  <si>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</si>
  <si>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</si>
  <si>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</si>
  <si>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</si>
  <si>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</si>
  <si>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</si>
  <si>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</si>
  <si>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</si>
  <si>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</si>
  <si>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</si>
  <si>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</si>
  <si>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</si>
  <si>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</si>
  <si>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</si>
  <si>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</si>
  <si>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</si>
  <si>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</si>
  <si>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</si>
  <si>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</si>
  <si>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</si>
  <si>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</si>
  <si>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</si>
  <si>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</si>
  <si>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</si>
  <si>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</si>
  <si>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</si>
  <si>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</si>
  <si>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</si>
  <si>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</si>
  <si>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</si>
  <si>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</si>
  <si>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</si>
  <si>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</si>
  <si>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</si>
  <si>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</si>
  <si>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</si>
  <si>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</si>
  <si>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</si>
  <si>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</si>
  <si>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</si>
  <si>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</si>
  <si>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</si>
  <si>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</si>
  <si>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</si>
  <si>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</si>
  <si>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</si>
  <si>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</si>
  <si>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</si>
  <si>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</si>
  <si>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</si>
  <si>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</si>
  <si>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</si>
  <si>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</si>
  <si>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</si>
  <si>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</si>
  <si>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</si>
  <si>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</si>
  <si>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</si>
  <si>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</si>
  <si>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</si>
  <si>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</si>
  <si>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</si>
  <si>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</si>
  <si>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</si>
  <si>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</si>
  <si>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</si>
  <si>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</si>
  <si>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</si>
  <si>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</si>
  <si>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</si>
  <si>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</si>
  <si>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</si>
  <si>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</si>
  <si>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</si>
  <si>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</si>
  <si>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</si>
  <si>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</si>
  <si>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</si>
  <si>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</si>
  <si>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</si>
  <si>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</si>
  <si>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</si>
  <si>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</si>
  <si>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</si>
  <si>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</si>
  <si>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</si>
  <si>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</si>
  <si>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</si>
  <si>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</si>
  <si>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</si>
  <si>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</si>
  <si>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</si>
  <si>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</si>
  <si>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</si>
  <si>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</si>
  <si>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</si>
  <si>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</si>
  <si>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</si>
  <si>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</si>
  <si>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</si>
  <si>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</si>
  <si>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</si>
  <si>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</si>
  <si>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</si>
  <si>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</si>
  <si>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</si>
  <si>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</si>
  <si>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</si>
  <si>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</si>
  <si>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</si>
  <si>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</si>
  <si>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</si>
  <si>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</si>
  <si>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</si>
  <si>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</si>
  <si>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</si>
  <si>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</si>
  <si>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</si>
  <si>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</si>
  <si>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</si>
  <si>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</si>
  <si>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</si>
  <si>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</si>
  <si>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</si>
  <si>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</si>
  <si>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</si>
  <si>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</si>
  <si>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</si>
  <si>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</si>
  <si>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</si>
  <si>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</si>
  <si>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</si>
  <si>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</si>
  <si>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</si>
  <si>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</si>
  <si>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</si>
  <si>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</si>
  <si>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</si>
  <si>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</si>
  <si>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</si>
  <si>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</si>
  <si>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</si>
  <si>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</si>
  <si>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</si>
  <si>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</si>
  <si>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</si>
  <si>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</si>
  <si>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</si>
  <si>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</si>
  <si>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</si>
  <si>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</si>
  <si>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</si>
  <si>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</si>
  <si>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</si>
  <si>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</si>
  <si>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</si>
  <si>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</si>
  <si>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</si>
  <si>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</si>
  <si>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</si>
  <si>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</si>
  <si>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</si>
  <si>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</si>
  <si>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</si>
  <si>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</si>
  <si>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</si>
  <si>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</si>
  <si>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</si>
  <si>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</si>
  <si>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</si>
  <si>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</si>
  <si>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</si>
  <si>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</si>
  <si>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</si>
  <si>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</si>
  <si>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</si>
  <si>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</si>
  <si>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</si>
  <si>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</si>
  <si>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</si>
  <si>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</si>
  <si>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</si>
  <si>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</si>
  <si>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</si>
  <si>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</si>
  <si>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</si>
  <si>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</si>
  <si>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</si>
  <si>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</si>
  <si>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</si>
  <si>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</si>
  <si>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</si>
  <si>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</si>
  <si>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</si>
  <si>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</si>
  <si>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</si>
  <si>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</si>
  <si>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</si>
  <si>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</si>
  <si>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</si>
  <si>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</si>
  <si>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</si>
  <si>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</si>
  <si>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</si>
  <si>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</si>
  <si>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</si>
  <si>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</si>
  <si>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</si>
  <si>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</si>
  <si>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</si>
  <si>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</si>
  <si>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</si>
  <si>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</si>
  <si>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</si>
  <si>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</si>
  <si>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</si>
  <si>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</si>
  <si>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</si>
  <si>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</si>
  <si>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</si>
  <si>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</si>
  <si>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</si>
  <si>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</si>
  <si>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</si>
  <si>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</si>
  <si>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</si>
  <si>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</si>
  <si>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</si>
  <si>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</si>
  <si>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</si>
  <si>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</si>
  <si>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</si>
  <si>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</si>
  <si>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</si>
  <si>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</si>
  <si>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</si>
  <si>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</si>
  <si>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</si>
  <si>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</si>
  <si>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</si>
  <si>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</si>
  <si>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</si>
  <si>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</si>
  <si>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</si>
  <si>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</si>
  <si>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</si>
  <si>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</si>
  <si>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</si>
  <si>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</si>
  <si>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</si>
  <si>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</si>
  <si>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</si>
  <si>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</si>
  <si>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</si>
  <si>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</si>
  <si>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</si>
  <si>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</si>
  <si>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</si>
  <si>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</si>
  <si>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</si>
  <si>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</si>
  <si>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</si>
  <si>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</si>
  <si>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</si>
  <si>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</si>
  <si>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</si>
  <si>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</si>
  <si>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</si>
  <si>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</si>
  <si>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</si>
  <si>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</si>
  <si>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</si>
  <si>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</si>
  <si>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</si>
  <si>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</si>
  <si>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</si>
  <si>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</si>
  <si>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</si>
  <si>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</si>
  <si>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</si>
  <si>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</si>
  <si>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</si>
  <si>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</si>
  <si>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</si>
  <si>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</si>
  <si>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</si>
  <si>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</si>
  <si>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</si>
  <si>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</si>
  <si>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</si>
  <si>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</si>
  <si>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</si>
  <si>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</si>
  <si>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</si>
  <si>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</si>
  <si>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</si>
  <si>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</si>
  <si>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</si>
  <si>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</si>
  <si>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</si>
  <si>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</si>
  <si>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</si>
  <si>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</si>
  <si>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</si>
  <si>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</si>
  <si>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</si>
  <si>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</si>
  <si>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</si>
  <si>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</si>
  <si>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</si>
  <si>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</si>
  <si>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</si>
  <si>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</si>
  <si>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</si>
  <si>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</si>
  <si>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</si>
  <si>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</si>
  <si>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</si>
  <si>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</si>
  <si>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</si>
  <si>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</si>
  <si>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</si>
  <si>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</si>
  <si>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</si>
  <si>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</si>
  <si>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</si>
  <si>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</si>
  <si>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</si>
  <si>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</si>
  <si>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</si>
  <si>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</si>
  <si>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</si>
  <si>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</si>
  <si>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</si>
  <si>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</si>
  <si>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</si>
  <si>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</si>
  <si>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</si>
  <si>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</si>
  <si>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</si>
  <si>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</si>
  <si>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</si>
  <si>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</si>
  <si>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</si>
  <si>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</si>
  <si>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</si>
  <si>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</si>
  <si>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</si>
  <si>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</si>
  <si>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</si>
  <si>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</si>
  <si>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</si>
  <si>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</si>
  <si>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</si>
  <si>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</si>
  <si>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</si>
  <si>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</si>
  <si>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</si>
  <si>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</si>
  <si>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</si>
  <si>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</si>
  <si>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</si>
  <si>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</si>
  <si>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</si>
  <si>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</si>
  <si>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</si>
  <si>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</si>
  <si>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</si>
  <si>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</si>
  <si>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</si>
  <si>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</si>
  <si>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</si>
  <si>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</si>
  <si>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</si>
  <si>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</si>
  <si>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</si>
  <si>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</si>
  <si>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</si>
  <si>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</si>
  <si>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</si>
  <si>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</si>
  <si>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</si>
  <si>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</si>
  <si>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</si>
  <si>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</si>
  <si>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</si>
  <si>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</si>
  <si>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</si>
  <si>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</si>
  <si>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</si>
  <si>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</si>
  <si>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</si>
  <si>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</si>
  <si>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</si>
  <si>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</si>
  <si>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</si>
  <si>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</si>
  <si>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</si>
  <si>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</si>
  <si>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</si>
  <si>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</si>
  <si>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</si>
  <si>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</si>
  <si>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</si>
  <si>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</si>
  <si>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</si>
  <si>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</si>
  <si>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</si>
  <si>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</si>
  <si>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</si>
  <si>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</si>
  <si>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</si>
  <si>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</si>
  <si>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</si>
  <si>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</si>
  <si>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</si>
  <si>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</si>
  <si>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</si>
  <si>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</si>
  <si>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</si>
  <si>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</si>
  <si>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</si>
  <si>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</si>
  <si>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</si>
  <si>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</si>
  <si>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</si>
  <si>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</si>
  <si>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</si>
  <si>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</si>
  <si>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</si>
  <si>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</si>
  <si>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</si>
  <si>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</si>
  <si>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</si>
  <si>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</si>
  <si>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</si>
  <si>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</si>
  <si>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</si>
  <si>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</si>
  <si>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</si>
  <si>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</si>
  <si>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</si>
  <si>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</si>
  <si>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</si>
  <si>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</si>
  <si>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</si>
  <si>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</si>
  <si>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</si>
  <si>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</si>
  <si>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</si>
  <si>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</si>
  <si>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</si>
  <si>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</si>
  <si>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</si>
  <si>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</si>
  <si>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</si>
  <si>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</si>
  <si>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</si>
  <si>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</si>
  <si>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</si>
  <si>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</si>
  <si>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</si>
  <si>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</si>
  <si>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</si>
  <si>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</si>
  <si>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</si>
  <si>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</si>
  <si>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</si>
  <si>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</si>
  <si>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</si>
  <si>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</si>
  <si>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</si>
  <si>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</si>
  <si>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</si>
  <si>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</si>
  <si>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</si>
  <si>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</si>
  <si>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</si>
  <si>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</si>
  <si>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</si>
  <si>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</si>
  <si>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</si>
  <si>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</si>
  <si>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</si>
  <si>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</si>
  <si>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</si>
  <si>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</si>
  <si>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</si>
  <si>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</si>
  <si>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</si>
  <si>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</si>
  <si>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</si>
  <si>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</si>
  <si>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</si>
  <si>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</si>
  <si>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</si>
  <si>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</si>
  <si>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</si>
  <si>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</si>
  <si>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</si>
  <si>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</si>
  <si>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</si>
  <si>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</si>
  <si>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</si>
  <si>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</si>
  <si>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</si>
  <si>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</si>
  <si>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</si>
  <si>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</si>
  <si>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</si>
  <si>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</si>
  <si>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</si>
  <si>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</si>
  <si>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</si>
  <si>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</si>
  <si>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</si>
  <si>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</si>
  <si>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</si>
  <si>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</si>
  <si>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</si>
  <si>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</si>
  <si>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</si>
  <si>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</si>
  <si>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</si>
  <si>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</si>
  <si>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</si>
  <si>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</si>
  <si>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</si>
  <si>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</si>
  <si>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</si>
  <si>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</si>
  <si>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</si>
  <si>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</si>
  <si>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</si>
  <si>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</si>
  <si>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</si>
  <si>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</si>
  <si>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</si>
  <si>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</si>
  <si>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</si>
  <si>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</si>
  <si>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</si>
  <si>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</si>
  <si>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</si>
  <si>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</si>
  <si>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</si>
  <si>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</si>
  <si>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</si>
  <si>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</si>
  <si>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</si>
  <si>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</si>
  <si>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</si>
  <si>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</si>
  <si>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</si>
  <si>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</si>
  <si>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</si>
  <si>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</si>
  <si>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</si>
  <si>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</si>
  <si>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</si>
  <si>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</si>
  <si>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</si>
  <si>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</si>
  <si>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</si>
  <si>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</si>
  <si>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</si>
  <si>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</si>
  <si>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</si>
  <si>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</si>
  <si>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</si>
  <si>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</si>
  <si>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</si>
  <si>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</si>
  <si>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</si>
  <si>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</si>
  <si>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</si>
  <si>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</si>
  <si>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</si>
  <si>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</si>
  <si>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</si>
  <si>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</si>
  <si>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</si>
  <si>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</si>
  <si>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</si>
  <si>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</si>
  <si>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</si>
  <si>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</si>
  <si>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</si>
  <si>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</si>
  <si>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</si>
  <si>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</si>
  <si>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</si>
  <si>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</si>
  <si>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</si>
  <si>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</si>
  <si>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</si>
  <si>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</si>
  <si>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</si>
  <si>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</si>
  <si>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</si>
  <si>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</si>
  <si>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</si>
  <si>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</si>
  <si>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</si>
  <si>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</si>
  <si>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</si>
  <si>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</si>
  <si>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</si>
  <si>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</si>
  <si>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</si>
  <si>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</si>
  <si>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</si>
  <si>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</si>
  <si>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</si>
  <si>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</si>
  <si>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</si>
  <si>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</si>
  <si>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</si>
  <si>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</si>
  <si>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</si>
  <si>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</si>
  <si>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</si>
  <si>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</si>
  <si>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</si>
  <si>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</si>
  <si>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</si>
  <si>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</si>
  <si>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</si>
  <si>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</si>
  <si>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</si>
  <si>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</si>
  <si>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</si>
  <si>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</si>
  <si>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</si>
  <si>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</si>
  <si>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</si>
  <si>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</si>
  <si>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</si>
  <si>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</si>
  <si>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</si>
  <si>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</si>
  <si>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</si>
  <si>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</si>
  <si>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</si>
  <si>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</si>
  <si>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</si>
  <si>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</si>
  <si>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</si>
  <si>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</si>
  <si>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</si>
  <si>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</si>
  <si>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</si>
  <si>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</si>
  <si>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</si>
  <si>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</si>
  <si>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</si>
  <si>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</si>
  <si>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</si>
  <si>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</si>
  <si>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</si>
  <si>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</si>
  <si>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</si>
  <si>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</si>
  <si>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</si>
  <si>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</si>
  <si>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</si>
  <si>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</si>
  <si>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</si>
  <si>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</si>
  <si>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</si>
  <si>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</si>
  <si>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</si>
  <si>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</si>
  <si>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</si>
  <si>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</si>
  <si>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</si>
  <si>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</si>
  <si>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</si>
  <si>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</si>
  <si>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</si>
  <si>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</si>
  <si>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</si>
  <si>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</si>
  <si>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</si>
  <si>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</si>
  <si>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</si>
  <si>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</si>
  <si>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</si>
  <si>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</si>
  <si>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</si>
  <si>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</si>
  <si>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</si>
  <si>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</si>
  <si>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</si>
  <si>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</si>
  <si>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</si>
  <si>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</si>
  <si>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</si>
  <si>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</si>
  <si>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</si>
  <si>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</si>
  <si>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</si>
  <si>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</si>
  <si>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</si>
  <si>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</si>
  <si>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</si>
  <si>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</si>
  <si>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</si>
  <si>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</si>
  <si>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</si>
  <si>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</si>
  <si>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</si>
  <si>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</si>
  <si>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</si>
  <si>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</si>
  <si>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</si>
  <si>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</si>
  <si>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</si>
  <si>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</si>
  <si>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</si>
  <si>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</si>
  <si>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</si>
  <si>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</si>
  <si>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</si>
  <si>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</si>
  <si>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</si>
  <si>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</si>
  <si>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</si>
  <si>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</si>
  <si>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</si>
  <si>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</si>
  <si>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</si>
  <si>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</si>
  <si>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</si>
  <si>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</si>
  <si>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</si>
  <si>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</si>
  <si>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</si>
  <si>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</si>
  <si>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</si>
  <si>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</si>
  <si>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</si>
  <si>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</si>
  <si>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</si>
  <si>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</si>
  <si>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</si>
  <si>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</si>
  <si>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</si>
  <si>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</si>
  <si>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</si>
  <si>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</si>
  <si>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</si>
  <si>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</si>
  <si>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</si>
  <si>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</si>
  <si>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</si>
  <si>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</si>
  <si>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</si>
  <si>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</si>
  <si>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</si>
  <si>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</si>
  <si>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</si>
  <si>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</si>
  <si>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</si>
  <si>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</si>
  <si>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</si>
  <si>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</si>
  <si>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</si>
  <si>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</si>
  <si>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</si>
  <si>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</si>
  <si>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</si>
  <si>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</si>
  <si>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</si>
  <si>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</si>
  <si>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</si>
  <si>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</si>
  <si>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</si>
  <si>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</si>
  <si>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</si>
  <si>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</si>
  <si>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</si>
  <si>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</si>
  <si>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</si>
  <si>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</si>
  <si>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</si>
  <si>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</si>
  <si>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</si>
  <si>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</si>
  <si>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</si>
  <si>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</si>
  <si>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</si>
  <si>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</si>
  <si>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</si>
  <si>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</si>
  <si>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</si>
  <si>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</si>
  <si>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</si>
  <si>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</si>
  <si>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</si>
  <si>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</si>
  <si>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</si>
  <si>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</si>
  <si>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</si>
  <si>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</si>
  <si>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</si>
  <si>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</si>
  <si>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</si>
  <si>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</si>
  <si>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</si>
  <si>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</si>
  <si>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</si>
  <si>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</si>
  <si>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</si>
  <si>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</si>
  <si>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</si>
  <si>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</si>
  <si>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</si>
  <si>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</si>
  <si>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</si>
  <si>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</si>
  <si>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</si>
  <si>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</si>
  <si>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</si>
  <si>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</si>
  <si>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</si>
  <si>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</si>
  <si>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</si>
  <si>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</si>
  <si>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</si>
  <si>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</si>
  <si>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</si>
  <si>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</si>
  <si>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</si>
  <si>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</si>
  <si>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</si>
  <si>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</si>
  <si>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</si>
  <si>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</si>
  <si>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</si>
  <si>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</si>
  <si>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</si>
  <si>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</si>
  <si>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</si>
  <si>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</si>
  <si>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</si>
  <si>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</si>
  <si>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</si>
  <si>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</si>
  <si>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</si>
  <si>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</si>
  <si>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</si>
  <si>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</si>
  <si>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</si>
  <si>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</si>
  <si>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</si>
  <si>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</si>
  <si>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</si>
  <si>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</si>
  <si>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</si>
  <si>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</si>
  <si>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</si>
  <si>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</si>
  <si>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</si>
  <si>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</si>
  <si>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</si>
  <si>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</si>
  <si>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</si>
  <si>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</si>
  <si>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</si>
  <si>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</si>
  <si>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</si>
  <si>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</si>
  <si>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</si>
  <si>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</si>
  <si>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</si>
  <si>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</si>
  <si>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</si>
  <si>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</si>
  <si>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</si>
  <si>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</si>
  <si>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</si>
  <si>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</si>
  <si>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</si>
  <si>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</si>
  <si>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</si>
  <si>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</si>
  <si>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</si>
  <si>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</si>
  <si>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</si>
  <si>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</si>
  <si>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</si>
  <si>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</si>
  <si>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</si>
  <si>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</si>
  <si>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</si>
  <si>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</si>
  <si>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</si>
  <si>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</si>
  <si>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</si>
  <si>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</si>
  <si>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</si>
  <si>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</si>
  <si>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</si>
  <si>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</si>
  <si>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</si>
  <si>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</si>
  <si>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</si>
  <si>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</si>
  <si>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</si>
  <si>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</si>
  <si>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</si>
  <si>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</si>
  <si>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</si>
  <si>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</si>
  <si>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</si>
  <si>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</si>
  <si>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</si>
  <si>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</si>
  <si>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</si>
  <si>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</si>
  <si>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</si>
  <si>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</si>
  <si>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</si>
  <si>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</si>
  <si>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</si>
  <si>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</si>
  <si>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</si>
  <si>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</si>
  <si>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</si>
  <si>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</si>
  <si>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</si>
  <si>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</si>
  <si>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</si>
  <si>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</si>
  <si>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</si>
  <si>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</si>
  <si>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</si>
  <si>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</si>
  <si>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</si>
  <si>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</si>
  <si>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</si>
  <si>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</si>
  <si>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</si>
  <si>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</si>
  <si>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</si>
  <si>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</si>
  <si>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</si>
  <si>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</si>
  <si>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</si>
  <si>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</si>
  <si>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</si>
  <si>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</si>
  <si>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</si>
  <si>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</si>
  <si>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</si>
  <si>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</si>
  <si>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</si>
  <si>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</si>
  <si>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</si>
  <si>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</si>
  <si>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</si>
  <si>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</si>
  <si>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</si>
  <si>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</si>
  <si>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</si>
  <si>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</si>
  <si>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</si>
  <si>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</si>
  <si>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</si>
  <si>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</si>
  <si>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</si>
  <si>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</si>
  <si>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</si>
  <si>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</si>
  <si>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</si>
  <si>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</si>
  <si>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</si>
  <si>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</si>
  <si>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</si>
  <si>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</si>
  <si>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</si>
  <si>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</si>
  <si>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</si>
  <si>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</si>
  <si>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</si>
  <si>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</si>
  <si>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</si>
  <si>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</si>
  <si>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</si>
  <si>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</si>
  <si>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</si>
  <si>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</si>
  <si>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</si>
  <si>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</si>
  <si>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</si>
  <si>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</si>
  <si>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</si>
  <si>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</si>
  <si>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</si>
  <si>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</si>
  <si>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</si>
  <si>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</si>
  <si>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</si>
  <si>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</si>
  <si>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</si>
  <si>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</si>
  <si>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</si>
  <si>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</si>
  <si>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</si>
  <si>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</si>
  <si>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</si>
  <si>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</si>
  <si>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</si>
  <si>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</si>
  <si>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</si>
  <si>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</si>
  <si>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</si>
  <si>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</si>
  <si>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</si>
  <si>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</si>
  <si>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</si>
  <si>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</si>
  <si>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</si>
  <si>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</si>
  <si>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</si>
  <si>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</si>
  <si>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</si>
  <si>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</si>
  <si>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</si>
  <si>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</si>
  <si>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</si>
  <si>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</si>
  <si>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</si>
  <si>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</si>
  <si>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</si>
  <si>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</si>
  <si>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</si>
  <si>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</si>
  <si>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</si>
  <si>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</si>
  <si>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</si>
  <si>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</si>
  <si>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</si>
  <si>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</si>
  <si>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</si>
  <si>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</si>
  <si>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</si>
  <si>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</si>
  <si>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</si>
  <si>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</si>
  <si>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</si>
  <si>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</si>
  <si>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</si>
  <si>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</si>
  <si>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</si>
  <si>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</si>
  <si>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</si>
  <si>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</si>
  <si>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</si>
  <si>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</si>
  <si>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</si>
  <si>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</si>
  <si>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</si>
  <si>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</si>
  <si>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</si>
  <si>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</si>
  <si>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</si>
  <si>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</si>
  <si>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</si>
  <si>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</si>
  <si>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</si>
  <si>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</si>
  <si>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</si>
  <si>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</si>
  <si>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</si>
  <si>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</si>
  <si>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</si>
  <si>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</si>
  <si>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</si>
  <si>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</si>
  <si>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</si>
  <si>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</si>
  <si>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</si>
  <si>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</si>
  <si>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</si>
  <si>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</si>
  <si>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</si>
  <si>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</si>
  <si>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</si>
  <si>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</si>
  <si>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</si>
  <si>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</si>
  <si>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</si>
  <si>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</si>
  <si>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</si>
  <si>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</si>
  <si>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</si>
  <si>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</si>
  <si>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</si>
  <si>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</si>
  <si>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</si>
  <si>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</si>
  <si>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</si>
  <si>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</si>
  <si>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</si>
  <si>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</si>
  <si>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</si>
  <si>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</si>
  <si>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</si>
  <si>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</si>
  <si>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</si>
  <si>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</si>
  <si>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</si>
  <si>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</si>
  <si>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</si>
  <si>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</si>
  <si>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</si>
  <si>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</si>
  <si>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</si>
  <si>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</si>
  <si>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</si>
  <si>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</si>
  <si>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</si>
  <si>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</si>
  <si>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</si>
  <si>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</si>
  <si>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</si>
  <si>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</si>
  <si>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</si>
  <si>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</si>
  <si>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</si>
  <si>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</si>
  <si>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</si>
  <si>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</si>
  <si>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</si>
  <si>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</si>
  <si>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</si>
  <si>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</si>
  <si>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</si>
  <si>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</si>
  <si>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</si>
  <si>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</si>
  <si>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</si>
  <si>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</si>
  <si>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</si>
  <si>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</si>
  <si>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</si>
  <si>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</si>
  <si>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</si>
  <si>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</si>
  <si>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</si>
  <si>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</si>
  <si>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</si>
  <si>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</si>
  <si>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</si>
  <si>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</si>
  <si>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</si>
  <si>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</si>
  <si>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</si>
  <si>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</si>
  <si>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</si>
  <si>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</si>
  <si>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</si>
  <si>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</si>
  <si>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</si>
  <si>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</si>
  <si>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</si>
  <si>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</si>
  <si>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</si>
  <si>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</si>
  <si>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</si>
  <si>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</si>
  <si>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</si>
  <si>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</si>
  <si>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</si>
  <si>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</si>
  <si>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</si>
  <si>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</si>
  <si>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</si>
  <si>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</si>
  <si>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</si>
  <si>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</si>
  <si>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</si>
  <si>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</si>
  <si>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</si>
  <si>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</si>
  <si>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</si>
  <si>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</si>
  <si>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</si>
  <si>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</si>
  <si>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</si>
  <si>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</si>
  <si>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</si>
  <si>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</si>
  <si>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</si>
  <si>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</si>
  <si>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</si>
  <si>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</si>
  <si>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</si>
  <si>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</si>
  <si>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</si>
  <si>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</si>
  <si>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</si>
  <si>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</si>
  <si>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</si>
  <si>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</si>
  <si>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</si>
  <si>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</si>
  <si>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</si>
  <si>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</si>
  <si>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</si>
  <si>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</si>
  <si>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</si>
  <si>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</si>
  <si>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</si>
  <si>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</si>
  <si>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</si>
  <si>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</si>
  <si>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</si>
  <si>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</si>
  <si>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</si>
  <si>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</si>
  <si>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</si>
  <si>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</si>
  <si>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</si>
  <si>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</si>
  <si>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</si>
  <si>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</si>
  <si>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</si>
  <si>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</si>
  <si>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</si>
  <si>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</si>
  <si>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</si>
  <si>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</si>
  <si>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</si>
  <si>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</si>
  <si>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</si>
  <si>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</si>
  <si>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</si>
  <si>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</si>
  <si>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</si>
  <si>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</si>
  <si>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</si>
  <si>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</si>
  <si>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</si>
  <si>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</si>
  <si>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</si>
  <si>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</si>
  <si>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</si>
  <si>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</si>
  <si>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</si>
  <si>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</si>
  <si>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</si>
  <si>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</si>
  <si>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</si>
  <si>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</si>
  <si>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</si>
  <si>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</si>
  <si>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</si>
  <si>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</si>
  <si>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</si>
  <si>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</si>
  <si>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</si>
  <si>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</si>
  <si>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</si>
  <si>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</si>
  <si>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</si>
  <si>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</si>
  <si>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</si>
  <si>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</si>
  <si>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</si>
  <si>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</si>
  <si>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</si>
  <si>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</si>
  <si>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</si>
  <si>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</si>
  <si>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</si>
  <si>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</si>
  <si>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</si>
  <si>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</si>
  <si>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</si>
  <si>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</si>
  <si>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</si>
  <si>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</si>
  <si>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</si>
  <si>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</si>
  <si>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</si>
  <si>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</si>
  <si>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</si>
  <si>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</si>
  <si>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</si>
  <si>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</si>
  <si>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</si>
  <si>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</si>
  <si>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</si>
  <si>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</si>
  <si>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</si>
  <si>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</si>
  <si>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</si>
  <si>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</si>
  <si>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</si>
  <si>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</si>
  <si>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</si>
  <si>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</si>
  <si>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</si>
  <si>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</si>
  <si>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</si>
  <si>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</si>
  <si>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</si>
  <si>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</si>
  <si>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</si>
  <si>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</si>
  <si>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</si>
  <si>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</si>
  <si>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</si>
  <si>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</si>
  <si>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</si>
  <si>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</si>
  <si>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</si>
  <si>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</si>
  <si>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</si>
  <si>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</si>
  <si>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</si>
  <si>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</si>
  <si>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</si>
  <si>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</si>
  <si>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</si>
  <si>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</si>
  <si>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</si>
  <si>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</si>
  <si>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</si>
  <si>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</si>
  <si>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</si>
  <si>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</si>
  <si>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</si>
  <si>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</si>
  <si>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</si>
  <si>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</si>
  <si>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</si>
  <si>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</si>
  <si>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</si>
  <si>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</si>
  <si>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</si>
  <si>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</si>
  <si>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</si>
  <si>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</si>
  <si>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</si>
  <si>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</si>
  <si>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</si>
  <si>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</si>
  <si>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</si>
  <si>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</si>
  <si>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</si>
  <si>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</si>
  <si>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</si>
  <si>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</si>
  <si>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</si>
  <si>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</si>
  <si>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</si>
  <si>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</si>
  <si>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</si>
  <si>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</si>
  <si>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</si>
  <si>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</si>
  <si>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</si>
  <si>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</si>
  <si>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</si>
  <si>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</si>
  <si>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</si>
  <si>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</si>
  <si>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</si>
  <si>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</si>
  <si>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</si>
  <si>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</si>
  <si>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</si>
  <si>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</si>
  <si>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</si>
  <si>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</si>
  <si>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</si>
  <si>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</si>
  <si>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</si>
  <si>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</si>
  <si>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</si>
  <si>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</si>
  <si>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</si>
  <si>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</si>
  <si>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</si>
  <si>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</si>
  <si>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</si>
  <si>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</si>
  <si>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</si>
  <si>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</si>
  <si>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</si>
  <si>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</si>
  <si>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</si>
  <si>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</si>
  <si>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</si>
  <si>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</si>
  <si>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</si>
  <si>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</si>
  <si>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</si>
  <si>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</si>
  <si>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</si>
  <si>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</si>
  <si>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</si>
  <si>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</si>
  <si>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</si>
  <si>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</si>
  <si>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</si>
  <si>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</si>
  <si>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</si>
  <si>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</si>
  <si>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</si>
  <si>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</si>
  <si>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</si>
  <si>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</si>
  <si>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</si>
  <si>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</si>
  <si>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</si>
  <si>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</si>
  <si>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</si>
  <si>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</si>
  <si>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</si>
  <si>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</si>
  <si>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</si>
  <si>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</si>
  <si>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</si>
  <si>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</si>
  <si>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</si>
  <si>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</si>
  <si>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</si>
  <si>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</si>
  <si>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</si>
  <si>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</si>
  <si>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</si>
  <si>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</si>
  <si>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</si>
  <si>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</si>
  <si>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</si>
  <si>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</si>
  <si>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</si>
  <si>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</si>
  <si>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</si>
  <si>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</si>
  <si>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</si>
  <si>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</si>
  <si>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</si>
  <si>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</si>
  <si>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</si>
  <si>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</si>
  <si>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</si>
  <si>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</si>
  <si>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</si>
  <si>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</si>
  <si>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</si>
  <si>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</si>
  <si>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</si>
  <si>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</si>
  <si>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</si>
  <si>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</si>
  <si>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</si>
  <si>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</si>
  <si>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</si>
  <si>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</si>
  <si>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</si>
  <si>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</si>
  <si>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</si>
  <si>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</si>
  <si>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</si>
  <si>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</si>
  <si>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</si>
  <si>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</si>
  <si>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</si>
  <si>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</si>
  <si>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</si>
  <si>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</si>
  <si>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</si>
  <si>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</si>
  <si>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</si>
  <si>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</si>
  <si>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</si>
  <si>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</si>
  <si>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</si>
  <si>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</si>
  <si>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</si>
  <si>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</si>
  <si>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</si>
  <si>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</si>
  <si>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</si>
  <si>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</si>
  <si>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</si>
  <si>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</si>
  <si>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</si>
  <si>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</si>
  <si>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</si>
  <si>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</si>
  <si>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</si>
  <si>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</si>
  <si>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</si>
  <si>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</si>
  <si>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</si>
  <si>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</si>
  <si>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</si>
  <si>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</si>
  <si>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</si>
  <si>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</si>
  <si>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</si>
  <si>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</si>
  <si>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</si>
  <si>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</si>
  <si>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</si>
  <si>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</si>
  <si>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</si>
  <si>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</si>
  <si>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</si>
  <si>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</si>
  <si>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</si>
  <si>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</si>
  <si>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</si>
  <si>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</si>
  <si>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</si>
  <si>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</si>
  <si>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</si>
  <si>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</si>
  <si>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</si>
  <si>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</si>
  <si>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</si>
  <si>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</si>
  <si>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</si>
  <si>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</si>
  <si>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</si>
  <si>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</si>
  <si>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</si>
  <si>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</si>
  <si>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</si>
  <si>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</si>
  <si>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</si>
  <si>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</si>
  <si>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</si>
  <si>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</si>
  <si>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</si>
  <si>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</si>
  <si>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</si>
  <si>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</si>
  <si>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</si>
  <si>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</si>
  <si>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</si>
  <si>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</si>
  <si>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</si>
  <si>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</si>
  <si>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</si>
  <si>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</si>
  <si>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</si>
  <si>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</si>
  <si>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</si>
  <si>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</si>
  <si>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</si>
  <si>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</si>
  <si>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</si>
  <si>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</si>
  <si>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</si>
  <si>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</si>
  <si>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</si>
  <si>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</si>
  <si>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</si>
  <si>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</si>
  <si>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</si>
  <si>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</si>
  <si>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</si>
  <si>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</si>
  <si>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</si>
  <si>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</si>
  <si>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</si>
  <si>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</si>
  <si>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</si>
  <si>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</si>
  <si>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</si>
  <si>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</si>
  <si>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</si>
  <si>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</si>
  <si>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</si>
  <si>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</si>
  <si>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</si>
  <si>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</si>
  <si>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</si>
  <si>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</si>
  <si>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</si>
  <si>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</si>
  <si>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</si>
  <si>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</si>
  <si>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</si>
  <si>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</si>
  <si>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</si>
  <si>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</si>
  <si>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</si>
  <si>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</si>
  <si>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</si>
  <si>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</si>
  <si>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</si>
  <si>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</si>
  <si>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</si>
  <si>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</si>
  <si>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</si>
  <si>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</si>
  <si>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</si>
  <si>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</si>
  <si>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</si>
  <si>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</si>
  <si>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</si>
  <si>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</si>
  <si>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</si>
  <si>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</si>
  <si>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</si>
  <si>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</si>
  <si>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</si>
  <si>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</si>
  <si>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</si>
  <si>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</si>
  <si>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</si>
  <si>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</si>
  <si>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</si>
  <si>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</si>
  <si>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</si>
  <si>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</si>
  <si>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</si>
  <si>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</si>
  <si>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</si>
  <si>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</si>
  <si>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</si>
  <si>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</si>
  <si>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</si>
  <si>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</si>
  <si>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</si>
  <si>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</si>
  <si>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</si>
  <si>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</si>
  <si>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</si>
  <si>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</si>
  <si>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</si>
  <si>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</si>
  <si>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</si>
  <si>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</si>
  <si>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</si>
  <si>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</si>
  <si>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</si>
  <si>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</si>
  <si>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</si>
  <si>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</si>
  <si>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</si>
  <si>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</si>
  <si>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</si>
  <si>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</si>
  <si>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</si>
  <si>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</si>
  <si>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</si>
  <si>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</si>
  <si>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</si>
  <si>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</si>
  <si>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</si>
  <si>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</si>
  <si>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</si>
  <si>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</si>
  <si>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</si>
  <si>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</si>
  <si>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</si>
  <si>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</si>
  <si>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</si>
  <si>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</si>
  <si>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</si>
  <si>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</si>
  <si>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</si>
  <si>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</si>
  <si>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</si>
  <si>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</si>
  <si>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</si>
  <si>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</si>
  <si>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</si>
  <si>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</si>
  <si>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</si>
  <si>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</si>
  <si>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</si>
  <si>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</si>
  <si>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</si>
  <si>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</si>
  <si>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</si>
  <si>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</si>
  <si>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</si>
  <si>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</si>
  <si>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</si>
  <si>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</si>
  <si>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</si>
  <si>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</si>
  <si>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</si>
  <si>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</si>
  <si>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</si>
  <si>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</si>
  <si>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</si>
  <si>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</si>
  <si>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</si>
  <si>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</si>
  <si>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</si>
  <si>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</si>
  <si>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</si>
  <si>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</si>
  <si>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</si>
  <si>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</si>
  <si>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</si>
  <si>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</si>
  <si>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</si>
  <si>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</si>
  <si>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</si>
  <si>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</si>
  <si>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</si>
  <si>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</si>
  <si>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</si>
  <si>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</si>
  <si>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</si>
  <si>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</si>
  <si>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</si>
  <si>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</si>
  <si>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</si>
  <si>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</si>
  <si>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</si>
  <si>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</si>
  <si>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</si>
  <si>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</si>
  <si>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</si>
  <si>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</si>
  <si>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</si>
  <si>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</si>
  <si>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</si>
  <si>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</si>
  <si>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</si>
  <si>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</si>
  <si>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</si>
  <si>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</si>
  <si>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</si>
  <si>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</si>
  <si>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</si>
  <si>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</si>
  <si>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</si>
  <si>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</si>
  <si>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</si>
  <si>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</si>
  <si>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</si>
  <si>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</si>
  <si>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</si>
  <si>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</si>
  <si>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</si>
  <si>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</si>
  <si>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</si>
  <si>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</si>
  <si>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</si>
  <si>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</si>
  <si>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</si>
  <si>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</si>
  <si>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</si>
  <si>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</si>
  <si>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</si>
  <si>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</si>
  <si>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</si>
  <si>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</si>
  <si>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</si>
  <si>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</si>
  <si>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</si>
  <si>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</si>
  <si>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</si>
  <si>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</si>
  <si>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</si>
  <si>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</si>
  <si>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</si>
  <si>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</si>
  <si>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</si>
  <si>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</si>
  <si>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</si>
  <si>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</si>
  <si>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</si>
  <si>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</si>
  <si>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</si>
  <si>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</si>
  <si>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</si>
  <si>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</si>
  <si>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</si>
  <si>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</si>
  <si>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</si>
  <si>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</si>
  <si>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</si>
  <si>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</si>
  <si>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</si>
  <si>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</si>
  <si>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</si>
  <si>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</si>
  <si>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</si>
  <si>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</si>
  <si>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</si>
  <si>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</si>
  <si>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</si>
  <si>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</si>
  <si>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</si>
  <si>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</si>
  <si>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</si>
  <si>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</si>
  <si>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</si>
  <si>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</si>
  <si>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</si>
  <si>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</si>
  <si>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</si>
  <si>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</si>
  <si>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</si>
  <si>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</si>
  <si>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</si>
  <si>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</si>
  <si>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</si>
  <si>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</si>
  <si>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</si>
  <si>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</si>
  <si>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</si>
  <si>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</si>
  <si>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</si>
  <si>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</si>
  <si>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</si>
  <si>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</si>
  <si>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</si>
  <si>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</si>
  <si>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</si>
  <si>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</si>
  <si>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</si>
  <si>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</si>
  <si>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</si>
  <si>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</si>
  <si>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</si>
  <si>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</si>
  <si>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</si>
  <si>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</si>
  <si>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</si>
  <si>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</si>
  <si>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</si>
  <si>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</si>
  <si>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</si>
  <si>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</si>
  <si>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</si>
  <si>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</si>
  <si>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</si>
  <si>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</si>
  <si>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</si>
  <si>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</si>
  <si>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</si>
  <si>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</si>
  <si>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</si>
  <si>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</si>
  <si>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</si>
  <si>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</si>
  <si>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</si>
  <si>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</si>
  <si>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</si>
  <si>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</si>
  <si>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</si>
  <si>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</si>
  <si>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</si>
  <si>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</si>
  <si>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</si>
  <si>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</si>
  <si>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</si>
  <si>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</si>
  <si>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</si>
  <si>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</si>
  <si>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</si>
  <si>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</si>
  <si>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</si>
  <si>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</si>
  <si>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</si>
  <si>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</si>
  <si>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</si>
  <si>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</si>
  <si>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</si>
  <si>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</si>
  <si>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</si>
  <si>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</si>
  <si>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</si>
  <si>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</si>
  <si>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</si>
  <si>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</si>
  <si>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</si>
  <si>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</si>
  <si>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</si>
  <si>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</si>
  <si>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</si>
  <si>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</si>
  <si>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</si>
  <si>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</si>
  <si>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</si>
  <si>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</si>
  <si>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</si>
  <si>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</si>
  <si>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</si>
  <si>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</si>
  <si>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</si>
  <si>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</si>
  <si>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</si>
  <si>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</si>
  <si>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</si>
  <si>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</si>
  <si>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</si>
  <si>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</si>
  <si>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</si>
  <si>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</si>
  <si>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</si>
  <si>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</si>
  <si>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</si>
  <si>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</si>
  <si>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</si>
  <si>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</si>
  <si>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</si>
  <si>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</si>
  <si>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</si>
  <si>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</si>
  <si>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</si>
  <si>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</si>
  <si>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</si>
  <si>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</si>
  <si>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</si>
  <si>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</si>
  <si>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</si>
  <si>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</si>
  <si>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</si>
  <si>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</si>
  <si>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</si>
  <si>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</si>
  <si>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</si>
  <si>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</si>
  <si>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</si>
  <si>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</si>
  <si>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</si>
  <si>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</si>
  <si>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</si>
  <si>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</si>
  <si>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</si>
  <si>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</si>
  <si>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</si>
  <si>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</si>
  <si>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</si>
  <si>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</si>
  <si>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</si>
  <si>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</si>
  <si>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</si>
  <si>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</si>
  <si>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</si>
  <si>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</si>
  <si>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</si>
  <si>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</si>
  <si>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</si>
  <si>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</si>
  <si>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</si>
  <si>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</si>
  <si>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</si>
  <si>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</si>
  <si>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</si>
  <si>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</si>
  <si>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</si>
  <si>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</si>
  <si>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</si>
  <si>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</si>
  <si>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</si>
  <si>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</si>
  <si>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</si>
  <si>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</si>
  <si>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</si>
  <si>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</si>
  <si>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</si>
  <si>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</si>
  <si>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</si>
  <si>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</si>
  <si>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</si>
  <si>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</si>
  <si>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</si>
  <si>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</si>
  <si>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</si>
  <si>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</si>
  <si>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</si>
  <si>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</si>
  <si>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</si>
  <si>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</si>
  <si>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</si>
  <si>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</si>
  <si>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</si>
  <si>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</si>
  <si>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</si>
  <si>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</si>
  <si>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</si>
  <si>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</si>
  <si>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</si>
  <si>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</si>
  <si>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</si>
  <si>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</si>
  <si>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</si>
  <si>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</si>
  <si>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</si>
  <si>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</si>
  <si>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</si>
  <si>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</si>
  <si>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</si>
  <si>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</si>
  <si>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</si>
  <si>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</si>
  <si>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</si>
  <si>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</si>
  <si>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</si>
  <si>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</si>
  <si>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</si>
  <si>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</si>
  <si>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</si>
  <si>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</si>
  <si>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</si>
  <si>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</si>
  <si>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</si>
  <si>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</si>
  <si>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</si>
  <si>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</si>
  <si>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</si>
  <si>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</si>
  <si>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</si>
  <si>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</si>
  <si>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</si>
  <si>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</si>
  <si>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</si>
  <si>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</si>
  <si>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</si>
  <si>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</si>
  <si>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</si>
  <si>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</si>
  <si>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</si>
  <si>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</si>
  <si>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</si>
  <si>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</si>
  <si>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</si>
  <si>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</si>
  <si>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</si>
  <si>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</si>
  <si>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</si>
  <si>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</si>
  <si>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</si>
  <si>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</si>
  <si>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</si>
  <si>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</si>
  <si>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</si>
  <si>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</si>
  <si>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</si>
  <si>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</si>
  <si>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</si>
  <si>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</si>
  <si>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</si>
  <si>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</si>
  <si>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</si>
  <si>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</si>
  <si>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</si>
  <si>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</si>
  <si>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</si>
  <si>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</si>
  <si>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</si>
  <si>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</si>
  <si>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</si>
  <si>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</si>
  <si>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</si>
  <si>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</si>
  <si>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</si>
  <si>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</si>
  <si>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</si>
  <si>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</si>
  <si>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</si>
  <si>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</si>
  <si>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</si>
  <si>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</si>
  <si>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</si>
  <si>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</si>
  <si>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</si>
  <si>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</si>
  <si>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</si>
  <si>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</si>
  <si>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</si>
  <si>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</si>
  <si>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</si>
  <si>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</si>
  <si>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</si>
  <si>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</si>
  <si>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</si>
  <si>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</si>
  <si>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</si>
  <si>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</si>
  <si>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</si>
  <si>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</si>
  <si>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</si>
  <si>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</si>
  <si>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</si>
  <si>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</si>
  <si>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</si>
  <si>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</si>
  <si>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</si>
  <si>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</si>
  <si>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</si>
  <si>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</si>
  <si>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</si>
  <si>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</si>
  <si>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</si>
  <si>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</si>
  <si>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</si>
  <si>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</si>
  <si>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</si>
  <si>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</si>
  <si>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</si>
  <si>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</si>
  <si>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</si>
  <si>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</si>
  <si>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</si>
  <si>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</si>
  <si>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</si>
  <si>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</si>
  <si>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</si>
  <si>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</si>
  <si>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</si>
  <si>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</si>
  <si>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</si>
  <si>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</si>
  <si>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</si>
  <si>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</si>
  <si>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</si>
  <si>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</si>
  <si>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</si>
  <si>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</si>
  <si>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</si>
  <si>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</si>
  <si>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</si>
  <si>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</si>
  <si>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</si>
  <si>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</si>
  <si>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</si>
  <si>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</si>
  <si>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</si>
  <si>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</si>
  <si>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</si>
  <si>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</si>
  <si>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</si>
  <si>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</si>
  <si>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</si>
  <si>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</si>
  <si>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</si>
  <si>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</si>
  <si>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</si>
  <si>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</si>
  <si>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</si>
  <si>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</si>
  <si>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</si>
  <si>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</si>
  <si>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</si>
  <si>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</si>
  <si>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</si>
  <si>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</si>
  <si>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</si>
  <si>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</si>
  <si>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</si>
  <si>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</si>
  <si>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</si>
  <si>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</si>
  <si>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</si>
  <si>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</si>
  <si>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</si>
  <si>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</si>
  <si>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</si>
  <si>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</si>
  <si>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</si>
  <si>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</si>
  <si>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</si>
  <si>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</si>
  <si>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</si>
  <si>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</si>
  <si>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</si>
  <si>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</si>
  <si>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</si>
  <si>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</si>
  <si>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</si>
  <si>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</si>
  <si>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</si>
  <si>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</si>
  <si>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</si>
  <si>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</si>
  <si>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</si>
  <si>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</si>
  <si>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</si>
  <si>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</si>
  <si>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</si>
  <si>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</si>
  <si>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</si>
  <si>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</si>
  <si>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</si>
  <si>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</si>
  <si>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</si>
  <si>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</si>
  <si>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</si>
  <si>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</si>
  <si>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</si>
  <si>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</si>
  <si>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</si>
  <si>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</si>
  <si>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</si>
  <si>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</si>
  <si>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</si>
  <si>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</si>
  <si>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</si>
  <si>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</si>
  <si>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</si>
  <si>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</si>
  <si>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</si>
  <si>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</si>
  <si>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</si>
  <si>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</si>
  <si>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</si>
  <si>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</si>
  <si>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</si>
  <si>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</si>
  <si>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</si>
  <si>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</si>
  <si>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</si>
  <si>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</si>
  <si>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</si>
  <si>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</si>
  <si>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</si>
  <si>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</si>
  <si>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</si>
  <si>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</si>
  <si>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</si>
  <si>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</si>
  <si>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</si>
  <si>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</si>
  <si>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</si>
  <si>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</si>
  <si>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</si>
  <si>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</si>
  <si>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</si>
  <si>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</si>
  <si>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</si>
  <si>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</si>
  <si>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</si>
  <si>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</si>
  <si>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</si>
  <si>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</si>
  <si>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</si>
  <si>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</si>
  <si>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</si>
  <si>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</si>
  <si>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</si>
  <si>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</si>
  <si>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</si>
  <si>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</si>
  <si>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</si>
  <si>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</si>
  <si>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</si>
  <si>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</si>
  <si>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</si>
  <si>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</si>
  <si>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</si>
  <si>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</si>
  <si>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</si>
  <si>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</si>
  <si>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</si>
  <si>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</si>
  <si>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</si>
  <si>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</si>
  <si>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</si>
  <si>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</si>
  <si>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</si>
  <si>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</si>
  <si>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</si>
  <si>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</si>
  <si>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</si>
  <si>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</si>
  <si>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</si>
  <si>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</si>
  <si>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</si>
  <si>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</si>
  <si>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</si>
  <si>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</si>
  <si>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</si>
  <si>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</si>
  <si>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</si>
  <si>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</si>
  <si>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</si>
  <si>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</si>
  <si>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</si>
  <si>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</si>
  <si>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</si>
  <si>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</si>
  <si>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</si>
  <si>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</si>
  <si>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</si>
  <si>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</si>
  <si>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</si>
  <si>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</si>
  <si>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</si>
  <si>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</si>
  <si>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</si>
  <si>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</si>
  <si>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</si>
  <si>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</si>
  <si>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</si>
  <si>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</si>
  <si>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</si>
  <si>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</si>
  <si>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</si>
  <si>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</si>
  <si>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</si>
  <si>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</si>
  <si>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</si>
  <si>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</si>
  <si>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</si>
  <si>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</si>
  <si>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</si>
  <si>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</si>
  <si>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</si>
  <si>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</si>
  <si>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</si>
  <si>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</si>
  <si>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</si>
  <si>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</si>
  <si>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</si>
  <si>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</si>
  <si>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</si>
  <si>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</si>
  <si>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</si>
  <si>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</si>
  <si>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</si>
  <si>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</si>
  <si>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</si>
  <si>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</si>
  <si>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</si>
  <si>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</si>
  <si>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</si>
  <si>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</si>
  <si>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</si>
  <si>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</si>
  <si>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</si>
  <si>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</si>
  <si>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</si>
  <si>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</si>
  <si>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</si>
  <si>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</si>
  <si>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</si>
  <si>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</si>
  <si>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</si>
  <si>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</si>
  <si>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</si>
  <si>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</si>
  <si>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</si>
  <si>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</si>
  <si>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</si>
  <si>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</si>
  <si>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</si>
  <si>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</si>
  <si>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</si>
  <si>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</si>
  <si>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</si>
  <si>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</si>
  <si>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</si>
  <si>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</si>
  <si>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</si>
  <si>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</si>
  <si>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</si>
  <si>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</si>
  <si>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</si>
  <si>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</si>
  <si>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</si>
  <si>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</si>
  <si>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</si>
  <si>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</si>
  <si>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</si>
  <si>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</si>
  <si>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</si>
  <si>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</si>
  <si>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</si>
  <si>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</si>
  <si>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</si>
  <si>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</si>
  <si>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</si>
  <si>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</si>
  <si>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</si>
  <si>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</si>
  <si>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</si>
  <si>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</si>
  <si>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</si>
  <si>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</si>
  <si>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</si>
  <si>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</si>
  <si>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</si>
  <si>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</si>
  <si>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</si>
  <si>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</si>
  <si>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</si>
  <si>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</si>
  <si>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</si>
  <si>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</si>
  <si>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</si>
  <si>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</si>
  <si>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</si>
  <si>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</si>
  <si>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</si>
  <si>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</si>
  <si>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</si>
  <si>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</si>
  <si>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</si>
  <si>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</si>
  <si>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</si>
  <si>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</si>
  <si>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</si>
  <si>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</si>
  <si>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</si>
  <si>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</si>
  <si>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</si>
  <si>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</si>
  <si>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</si>
  <si>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</si>
  <si>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</si>
  <si>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</si>
  <si>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</si>
  <si>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</si>
  <si>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</si>
  <si>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</si>
  <si>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</si>
  <si>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</si>
  <si>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</si>
  <si>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</si>
  <si>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</si>
  <si>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</si>
  <si>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</si>
  <si>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</si>
  <si>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</si>
  <si>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</si>
  <si>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</si>
  <si>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</si>
  <si>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</si>
  <si>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</si>
  <si>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</si>
  <si>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</si>
  <si>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</si>
  <si>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</si>
  <si>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</si>
  <si>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</si>
  <si>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</si>
  <si>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</si>
  <si>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</si>
  <si>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</si>
  <si>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</si>
  <si>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</si>
  <si>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</si>
  <si>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</si>
  <si>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</si>
  <si>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</si>
  <si>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</si>
  <si>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</si>
  <si>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</si>
  <si>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</si>
  <si>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</si>
  <si>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</si>
  <si>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</si>
  <si>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</si>
  <si>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</si>
  <si>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</si>
  <si>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</si>
  <si>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</si>
  <si>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</si>
  <si>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</si>
  <si>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</si>
  <si>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</si>
  <si>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</si>
  <si>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</si>
  <si>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</si>
  <si>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</si>
  <si>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</si>
  <si>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</si>
  <si>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</si>
  <si>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</si>
  <si>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</si>
  <si>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</si>
  <si>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</si>
  <si>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</si>
  <si>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</si>
  <si>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</si>
  <si>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</si>
  <si>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</si>
  <si>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</si>
  <si>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</si>
  <si>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</si>
  <si>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</si>
  <si>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</si>
  <si>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</si>
  <si>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</si>
  <si>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</si>
  <si>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</si>
  <si>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</si>
  <si>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</si>
  <si>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</si>
  <si>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</si>
  <si>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</si>
  <si>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</si>
  <si>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</si>
  <si>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</si>
  <si>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</si>
  <si>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</si>
  <si>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</si>
  <si>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</si>
  <si>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</si>
  <si>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</si>
  <si>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</si>
  <si>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</si>
  <si>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</si>
  <si>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</si>
  <si>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</si>
  <si>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</si>
  <si>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</si>
  <si>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</si>
  <si>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</si>
  <si>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</si>
  <si>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</si>
  <si>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</si>
  <si>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</si>
  <si>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</si>
  <si>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</si>
  <si>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</si>
  <si>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</si>
  <si>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</si>
  <si>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</si>
  <si>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</si>
  <si>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</si>
  <si>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</si>
  <si>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</si>
  <si>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</si>
  <si>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</si>
  <si>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</si>
  <si>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</si>
  <si>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</si>
  <si>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</si>
  <si>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</si>
  <si>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</si>
  <si>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</si>
  <si>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</si>
  <si>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</si>
  <si>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</si>
  <si>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</si>
  <si>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</si>
  <si>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</si>
  <si>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</si>
  <si>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</si>
  <si>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</si>
  <si>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</si>
  <si>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</si>
  <si>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</si>
  <si>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</si>
  <si>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</si>
  <si>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</si>
  <si>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</si>
  <si>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</si>
  <si>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</si>
  <si>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</si>
  <si>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</si>
  <si>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</si>
  <si>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</si>
  <si>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</si>
  <si>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</si>
  <si>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</si>
  <si>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</si>
  <si>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</si>
  <si>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</si>
  <si>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</si>
  <si>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</si>
  <si>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</si>
  <si>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</si>
  <si>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</si>
  <si>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</si>
  <si>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</si>
  <si>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</si>
  <si>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</si>
  <si>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</si>
  <si>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</si>
  <si>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</si>
  <si>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</si>
  <si>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</si>
  <si>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</si>
  <si>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</si>
  <si>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</si>
  <si>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</si>
  <si>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</si>
  <si>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</si>
  <si>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</si>
  <si>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</si>
  <si>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</si>
  <si>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</si>
  <si>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</si>
  <si>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</si>
  <si>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</si>
  <si>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</si>
  <si>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</si>
  <si>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</si>
  <si>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</si>
  <si>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</si>
  <si>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</si>
  <si>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</si>
  <si>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</si>
  <si>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</si>
  <si>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</si>
  <si>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</si>
  <si>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</si>
  <si>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</si>
  <si>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</si>
  <si>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</si>
  <si>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</si>
  <si>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</si>
  <si>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</si>
  <si>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</si>
  <si>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</si>
  <si>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</si>
  <si>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</si>
  <si>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</si>
  <si>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</si>
  <si>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</si>
  <si>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</si>
  <si>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</si>
  <si>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</si>
  <si>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</si>
  <si>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</si>
  <si>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</si>
  <si>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</si>
  <si>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</si>
  <si>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</si>
  <si>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</si>
  <si>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</si>
  <si>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</si>
  <si>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</si>
  <si>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</si>
  <si>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</si>
  <si>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</si>
  <si>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</si>
  <si>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</si>
  <si>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</si>
  <si>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</si>
  <si>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</si>
  <si>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</si>
  <si>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</si>
  <si>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</si>
  <si>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</si>
  <si>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</si>
  <si>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</si>
  <si>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</si>
  <si>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</si>
  <si>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</si>
  <si>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</si>
  <si>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</si>
  <si>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</si>
  <si>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</si>
  <si>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</si>
  <si>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</si>
  <si>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</si>
  <si>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</si>
  <si>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</si>
  <si>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</si>
  <si>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</si>
  <si>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</si>
  <si>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</si>
  <si>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</si>
  <si>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</si>
  <si>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</si>
  <si>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</si>
  <si>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</si>
  <si>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</si>
  <si>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</si>
  <si>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</si>
  <si>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</si>
  <si>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</si>
  <si>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</si>
  <si>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</si>
  <si>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</si>
  <si>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</si>
  <si>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</si>
  <si>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</si>
  <si>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</si>
  <si>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</si>
  <si>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</si>
  <si>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</si>
  <si>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</si>
  <si>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</si>
  <si>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</si>
  <si>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</si>
  <si>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</si>
  <si>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</si>
  <si>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</si>
  <si>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</si>
  <si>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</si>
  <si>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</si>
  <si>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</si>
  <si>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</si>
  <si>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</si>
  <si>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</si>
  <si>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</si>
  <si>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</si>
  <si>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</si>
  <si>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</si>
  <si>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</si>
  <si>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</si>
  <si>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</si>
  <si>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</si>
  <si>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</si>
  <si>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</si>
  <si>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</si>
  <si>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</si>
  <si>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</si>
  <si>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</si>
  <si>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</si>
  <si>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</si>
  <si>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</si>
  <si>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</si>
  <si>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</si>
  <si>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</si>
  <si>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</si>
  <si>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</si>
  <si>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</si>
  <si>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</si>
  <si>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</si>
  <si>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</si>
  <si>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</si>
  <si>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</si>
  <si>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</si>
  <si>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</si>
  <si>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</si>
  <si>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</si>
  <si>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</si>
  <si>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</si>
  <si>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</si>
  <si>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</si>
  <si>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</si>
  <si>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</si>
  <si>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</si>
  <si>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</si>
  <si>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</si>
  <si>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</si>
  <si>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</si>
  <si>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</si>
  <si>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</si>
  <si>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</si>
  <si>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</si>
  <si>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</si>
  <si>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</si>
  <si>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</si>
  <si>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</si>
  <si>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</si>
  <si>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</si>
  <si>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</si>
  <si>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</si>
  <si>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</si>
  <si>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</si>
  <si>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</si>
  <si>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</si>
  <si>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</si>
  <si>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</si>
  <si>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</si>
  <si>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</si>
  <si>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</si>
  <si>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</si>
  <si>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</si>
  <si>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</si>
  <si>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</si>
  <si>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</si>
  <si>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</si>
  <si>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</si>
  <si>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</si>
  <si>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</si>
  <si>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</si>
  <si>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</si>
  <si>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</si>
  <si>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</si>
  <si>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</si>
  <si>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</si>
  <si>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</si>
  <si>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</si>
  <si>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</si>
  <si>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</si>
  <si>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</si>
  <si>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</si>
  <si>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</si>
  <si>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</si>
  <si>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</si>
  <si>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</si>
  <si>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</si>
  <si>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</si>
  <si>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</si>
  <si>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</si>
  <si>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</si>
  <si>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</si>
  <si>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</si>
  <si>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</si>
  <si>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</si>
  <si>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</si>
  <si>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</si>
  <si>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</si>
  <si>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</si>
  <si>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</si>
  <si>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</si>
  <si>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</si>
  <si>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</si>
  <si>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</si>
  <si>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</si>
  <si>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</si>
  <si>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</si>
  <si>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</si>
  <si>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</si>
  <si>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</si>
  <si>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</si>
  <si>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</si>
  <si>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</si>
  <si>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</si>
  <si>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</si>
  <si>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</si>
  <si>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</si>
  <si>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</si>
  <si>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</si>
  <si>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</si>
  <si>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</si>
  <si>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</si>
  <si>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</si>
  <si>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</si>
  <si>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</si>
  <si>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</si>
  <si>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</si>
  <si>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</si>
  <si>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</si>
  <si>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</si>
  <si>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</si>
  <si>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</si>
  <si>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</si>
  <si>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</si>
  <si>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</si>
  <si>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</si>
  <si>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</si>
  <si>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</si>
  <si>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</si>
  <si>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</si>
  <si>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</si>
  <si>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</si>
  <si>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</si>
  <si>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</si>
  <si>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</si>
  <si>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</si>
  <si>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</si>
  <si>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</si>
  <si>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</si>
  <si>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</si>
  <si>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</si>
  <si>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</si>
  <si>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</si>
  <si>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</si>
  <si>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</si>
  <si>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</si>
  <si>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</si>
  <si>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</si>
  <si>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</si>
  <si>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</si>
  <si>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</si>
  <si>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</si>
  <si>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</si>
  <si>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</si>
  <si>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</si>
  <si>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</si>
  <si>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</si>
  <si>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</si>
  <si>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</si>
  <si>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</si>
  <si>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</si>
  <si>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</si>
  <si>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</si>
  <si>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</si>
  <si>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</si>
  <si>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</si>
  <si>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</si>
  <si>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</si>
  <si>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</si>
  <si>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</si>
  <si>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</si>
  <si>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</si>
  <si>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</si>
  <si>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</si>
  <si>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</si>
  <si>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</si>
  <si>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</si>
  <si>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</si>
  <si>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</si>
  <si>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</si>
  <si>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</si>
  <si>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</si>
  <si>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</si>
  <si>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</si>
  <si>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</si>
  <si>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</si>
  <si>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</si>
  <si>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</si>
  <si>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</si>
  <si>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</si>
  <si>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</si>
  <si>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</si>
  <si>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</si>
  <si>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</si>
  <si>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</si>
  <si>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</si>
  <si>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</si>
  <si>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</si>
  <si>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</si>
  <si>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</si>
  <si>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</si>
  <si>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</si>
  <si>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</si>
  <si>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</si>
  <si>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</si>
  <si>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</si>
  <si>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</si>
  <si>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</si>
  <si>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</si>
  <si>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</si>
  <si>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</si>
  <si>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</si>
  <si>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</si>
  <si>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</si>
  <si>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</si>
  <si>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</si>
  <si>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</si>
  <si>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</si>
  <si>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</si>
  <si>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</si>
  <si>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</si>
  <si>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</si>
  <si>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</si>
  <si>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</si>
  <si>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</si>
  <si>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</si>
  <si>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</si>
  <si>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</si>
  <si>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</si>
  <si>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</si>
  <si>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</si>
  <si>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</si>
  <si>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</si>
  <si>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</si>
  <si>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</si>
  <si>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</si>
  <si>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</si>
  <si>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</si>
  <si>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</si>
  <si>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</si>
  <si>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</si>
  <si>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</si>
  <si>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</si>
  <si>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</si>
  <si>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</si>
  <si>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</si>
  <si>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</si>
  <si>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</si>
  <si>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</si>
  <si>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</si>
  <si>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</si>
  <si>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</si>
  <si>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</si>
  <si>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</si>
  <si>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</si>
  <si>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</si>
  <si>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</si>
  <si>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</si>
  <si>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</si>
  <si>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</si>
  <si>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</si>
  <si>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</si>
  <si>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</si>
  <si>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</si>
  <si>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</si>
  <si>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</si>
  <si>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</si>
  <si>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</si>
  <si>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</si>
  <si>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</si>
  <si>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</si>
  <si>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</si>
  <si>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</si>
  <si>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</si>
  <si>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</si>
  <si>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</si>
  <si>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</si>
  <si>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</si>
  <si>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</si>
  <si>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</si>
  <si>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</si>
  <si>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</si>
  <si>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</si>
  <si>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</si>
  <si>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</si>
  <si>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</si>
  <si>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</si>
  <si>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</si>
  <si>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</si>
  <si>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</si>
  <si>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</si>
  <si>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</si>
  <si>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</si>
  <si>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</si>
  <si>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</si>
  <si>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</si>
  <si>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</si>
  <si>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</si>
  <si>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</si>
  <si>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</si>
  <si>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</si>
  <si>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</si>
  <si>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</si>
  <si>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</si>
  <si>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</si>
  <si>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</si>
  <si>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</si>
  <si>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</si>
  <si>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</si>
  <si>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</si>
  <si>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</si>
  <si>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</si>
  <si>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</si>
  <si>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</si>
  <si>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</si>
  <si>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</si>
  <si>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</si>
  <si>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</si>
  <si>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</si>
  <si>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</si>
  <si>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</si>
  <si>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</si>
  <si>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</si>
  <si>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</si>
  <si>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</si>
  <si>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</si>
  <si>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</si>
  <si>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</si>
  <si>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</si>
  <si>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</si>
  <si>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</si>
  <si>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</si>
  <si>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</si>
  <si>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</si>
  <si>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</si>
  <si>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</si>
  <si>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</si>
  <si>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</si>
  <si>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</si>
  <si>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</si>
  <si>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</si>
  <si>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</si>
  <si>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</si>
  <si>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</si>
  <si>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</si>
  <si>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</si>
  <si>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</si>
  <si>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</si>
  <si>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</si>
  <si>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</si>
  <si>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</si>
  <si>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</si>
  <si>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</si>
  <si>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</si>
  <si>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</si>
  <si>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</si>
  <si>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</si>
  <si>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</si>
  <si>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</si>
  <si>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</si>
  <si>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</si>
  <si>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</si>
  <si>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</si>
  <si>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</si>
  <si>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</si>
  <si>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</si>
  <si>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</si>
  <si>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</si>
  <si>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</si>
  <si>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</si>
  <si>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</si>
  <si>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</si>
  <si>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</si>
  <si>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</si>
  <si>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</si>
  <si>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</si>
  <si>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</si>
  <si>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</si>
  <si>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</si>
  <si>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</si>
  <si>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</si>
  <si>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</si>
  <si>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</si>
  <si>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</si>
  <si>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</si>
  <si>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</si>
  <si>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</si>
  <si>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</si>
  <si>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</si>
  <si>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</si>
  <si>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</si>
  <si>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</si>
  <si>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</si>
  <si>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</si>
  <si>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</si>
  <si>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</si>
  <si>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</si>
  <si>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</si>
  <si>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</si>
  <si>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</si>
  <si>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</si>
  <si>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</si>
  <si>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</si>
  <si>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</si>
  <si>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</si>
  <si>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</si>
  <si>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</si>
  <si>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</si>
  <si>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</si>
  <si>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</si>
  <si>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</si>
  <si>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</si>
  <si>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</si>
  <si>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</si>
  <si>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</si>
  <si>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</si>
  <si>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</si>
  <si>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</si>
  <si>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</si>
  <si>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</si>
  <si>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</si>
  <si>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</si>
  <si>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</si>
  <si>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</si>
  <si>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</si>
  <si>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</si>
  <si>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</si>
  <si>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</si>
  <si>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</si>
  <si>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</si>
  <si>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</si>
  <si>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</si>
  <si>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</si>
  <si>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</si>
  <si>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</si>
  <si>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</si>
  <si>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</si>
  <si>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</si>
  <si>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</si>
  <si>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</si>
  <si>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</si>
  <si>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</si>
  <si>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</si>
  <si>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</si>
  <si>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</si>
  <si>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</si>
  <si>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</si>
  <si>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</si>
  <si>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</si>
  <si>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</si>
  <si>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</si>
  <si>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</si>
  <si>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</si>
  <si>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</si>
  <si>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</si>
  <si>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</si>
  <si>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</si>
  <si>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</si>
  <si>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</si>
  <si>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</si>
  <si>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</si>
  <si>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</si>
  <si>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</si>
  <si>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</si>
  <si>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</si>
  <si>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</si>
  <si>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</si>
  <si>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</si>
  <si>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</si>
  <si>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</si>
  <si>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</si>
  <si>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</si>
  <si>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</si>
  <si>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</si>
  <si>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</si>
  <si>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</si>
  <si>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</si>
  <si>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</si>
  <si>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</si>
  <si>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</si>
  <si>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</si>
  <si>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</si>
  <si>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</si>
  <si>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</si>
  <si>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</si>
  <si>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</si>
  <si>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</si>
  <si>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</si>
  <si>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</si>
  <si>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</si>
  <si>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</si>
  <si>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</si>
  <si>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</si>
  <si>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</si>
  <si>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</si>
  <si>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</si>
  <si>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</si>
  <si>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</si>
  <si>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</si>
  <si>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</si>
  <si>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</si>
  <si>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</si>
  <si>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</si>
  <si>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</si>
  <si>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</si>
  <si>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</si>
  <si>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</si>
  <si>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</si>
  <si>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</si>
  <si>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</si>
  <si>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</si>
  <si>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</si>
  <si>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</si>
  <si>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</si>
  <si>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</si>
  <si>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</si>
  <si>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</si>
  <si>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</si>
  <si>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</si>
  <si>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</si>
  <si>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</si>
  <si>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</si>
  <si>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</si>
  <si>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</si>
  <si>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</si>
  <si>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</si>
  <si>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</si>
  <si>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</si>
  <si>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</si>
  <si>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</si>
  <si>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</si>
  <si>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</si>
  <si>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</si>
  <si>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</si>
  <si>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</si>
  <si>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</si>
  <si>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</si>
  <si>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</si>
  <si>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</si>
  <si>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</si>
  <si>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</si>
  <si>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</si>
  <si>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</si>
  <si>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</si>
  <si>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</si>
  <si>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</si>
  <si>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</si>
  <si>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</si>
  <si>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</si>
  <si>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</si>
  <si>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</si>
  <si>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</si>
  <si>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</si>
  <si>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</si>
  <si>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</si>
  <si>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</si>
  <si>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</si>
  <si>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</si>
  <si>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</si>
  <si>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</si>
  <si>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</si>
  <si>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</si>
  <si>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</si>
  <si>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</si>
  <si>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</si>
  <si>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</si>
  <si>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</si>
  <si>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</si>
  <si>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</si>
  <si>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</si>
  <si>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</si>
  <si>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</si>
  <si>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</si>
  <si>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</si>
  <si>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</si>
  <si>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</si>
  <si>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</si>
  <si>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</si>
  <si>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</si>
  <si>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</si>
  <si>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</si>
  <si>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</si>
  <si>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</si>
  <si>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</si>
  <si>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</si>
  <si>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</si>
  <si>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</si>
  <si>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</si>
  <si>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</si>
  <si>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</si>
  <si>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</si>
  <si>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</si>
  <si>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</si>
  <si>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</si>
  <si>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</si>
  <si>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</si>
  <si>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</si>
  <si>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</si>
  <si>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</si>
  <si>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</si>
  <si>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</si>
  <si>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</si>
  <si>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</si>
  <si>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</si>
  <si>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</si>
  <si>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</si>
  <si>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</si>
  <si>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</si>
  <si>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</si>
  <si>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</si>
  <si>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</si>
  <si>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</si>
  <si>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</si>
  <si>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</si>
  <si>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</si>
  <si>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</si>
  <si>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</si>
  <si>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</si>
  <si>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</si>
  <si>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</si>
  <si>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</si>
  <si>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</si>
  <si>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</si>
  <si>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</si>
  <si>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</si>
  <si>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</si>
  <si>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</si>
  <si>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</si>
  <si>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</si>
  <si>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</si>
  <si>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</si>
  <si>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</si>
  <si>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</si>
  <si>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</si>
  <si>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</si>
  <si>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</si>
  <si>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</si>
  <si>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</si>
  <si>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</si>
  <si>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</si>
  <si>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</si>
  <si>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</si>
  <si>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</si>
  <si>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</si>
  <si>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</si>
  <si>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</si>
  <si>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</si>
  <si>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</si>
  <si>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</si>
  <si>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</si>
  <si>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</si>
  <si>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</si>
  <si>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</si>
  <si>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</si>
  <si>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</si>
  <si>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</si>
  <si>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</si>
  <si>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</si>
  <si>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</si>
  <si>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</si>
  <si>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</si>
  <si>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</si>
  <si>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</si>
  <si>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</si>
  <si>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</si>
  <si>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</si>
  <si>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</si>
  <si>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</si>
  <si>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</si>
  <si>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</si>
  <si>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</si>
  <si>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</si>
  <si>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</si>
  <si>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</si>
  <si>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</si>
  <si>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</si>
  <si>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</si>
  <si>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</si>
  <si>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</si>
  <si>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</si>
  <si>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</si>
  <si>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</si>
  <si>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</si>
  <si>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</si>
  <si>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</si>
  <si>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</si>
  <si>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</si>
  <si>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</si>
  <si>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</si>
  <si>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</si>
  <si>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</si>
  <si>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</si>
  <si>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</si>
  <si>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</si>
  <si>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</si>
  <si>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</si>
  <si>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</si>
  <si>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</si>
  <si>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</si>
  <si>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</si>
  <si>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</si>
  <si>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</si>
  <si>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</si>
  <si>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</si>
  <si>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</si>
  <si>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</si>
  <si>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</si>
  <si>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</si>
  <si>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</si>
  <si>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</si>
  <si>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</si>
  <si>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</si>
  <si>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</si>
  <si>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</si>
  <si>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</si>
  <si>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</si>
  <si>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</si>
  <si>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</si>
  <si>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</si>
  <si>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</si>
  <si>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</si>
  <si>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</si>
  <si>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</si>
  <si>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</si>
  <si>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</si>
  <si>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</si>
  <si>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</si>
  <si>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</si>
  <si>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</si>
  <si>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</si>
  <si>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</si>
  <si>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</si>
  <si>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</si>
  <si>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</si>
  <si>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</si>
  <si>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</si>
  <si>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</si>
  <si>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</si>
  <si>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</si>
  <si>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</si>
  <si>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</si>
  <si>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</si>
  <si>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</si>
  <si>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</si>
  <si>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</si>
  <si>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</si>
  <si>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</si>
  <si>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</si>
  <si>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</si>
  <si>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</si>
  <si>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</si>
  <si>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</si>
  <si>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</si>
  <si>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</si>
  <si>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</si>
  <si>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</si>
  <si>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</si>
  <si>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</si>
  <si>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</si>
  <si>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</si>
  <si>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</si>
  <si>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</si>
  <si>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</si>
  <si>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</si>
  <si>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</si>
  <si>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</si>
  <si>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</si>
  <si>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</si>
  <si>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</si>
  <si>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</si>
  <si>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</si>
  <si>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</si>
  <si>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</si>
  <si>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</si>
  <si>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</si>
  <si>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</si>
  <si>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</si>
  <si>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</si>
  <si>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</si>
  <si>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</si>
  <si>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</si>
  <si>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</si>
  <si>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</si>
  <si>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</si>
  <si>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</si>
  <si>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</si>
  <si>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</si>
  <si>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</si>
  <si>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</si>
  <si>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</si>
  <si>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</si>
  <si>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</si>
  <si>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</si>
  <si>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</si>
  <si>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</si>
  <si>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</si>
  <si>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</si>
  <si>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</si>
  <si>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</si>
  <si>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</si>
  <si>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</si>
  <si>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</si>
  <si>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</si>
  <si>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</si>
  <si>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</si>
  <si>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</si>
  <si>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</si>
  <si>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</si>
  <si>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</si>
  <si>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</si>
  <si>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</si>
  <si>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</si>
  <si>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</si>
  <si>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</si>
  <si>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</si>
  <si>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</si>
  <si>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</si>
  <si>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</si>
  <si>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</si>
  <si>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</si>
  <si>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</si>
  <si>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</si>
  <si>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</si>
  <si>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</si>
  <si>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</si>
  <si>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</si>
  <si>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</si>
  <si>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</si>
  <si>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</si>
  <si>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</si>
  <si>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</si>
  <si>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</si>
  <si>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</si>
  <si>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</si>
  <si>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</si>
  <si>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</si>
  <si>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</si>
  <si>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</si>
  <si>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</si>
  <si>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</si>
  <si>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</si>
  <si>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</si>
  <si>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</si>
  <si>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</si>
  <si>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</si>
  <si>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</si>
  <si>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</si>
  <si>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</si>
  <si>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</si>
  <si>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</si>
  <si>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</si>
  <si>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</si>
  <si>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</si>
  <si>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</si>
  <si>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</si>
  <si>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</si>
  <si>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</si>
  <si>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</si>
  <si>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</si>
  <si>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</si>
  <si>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</si>
  <si>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</si>
  <si>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</si>
  <si>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</si>
  <si>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</si>
  <si>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</si>
  <si>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</si>
  <si>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</si>
  <si>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</si>
  <si>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</si>
  <si>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</si>
  <si>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</si>
  <si>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</si>
  <si>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</si>
  <si>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</si>
  <si>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</si>
  <si>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</si>
  <si>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</si>
  <si>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</si>
  <si>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</si>
  <si>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</si>
  <si>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</si>
  <si>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</si>
  <si>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</si>
  <si>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</si>
  <si>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</si>
  <si>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</si>
  <si>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</si>
  <si>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</si>
  <si>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</si>
  <si>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</si>
  <si>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</si>
  <si>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</si>
  <si>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</si>
  <si>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</si>
  <si>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</si>
  <si>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</si>
  <si>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</si>
  <si>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</si>
  <si>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</si>
  <si>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</si>
  <si>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</si>
  <si>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</si>
  <si>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</si>
  <si>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</si>
  <si>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</si>
  <si>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</si>
  <si>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</si>
  <si>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</si>
  <si>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</si>
  <si>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</si>
  <si>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</si>
  <si>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</si>
  <si>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</si>
  <si>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</si>
  <si>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</si>
  <si>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</si>
  <si>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</si>
  <si>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</si>
  <si>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</si>
  <si>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</si>
  <si>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</si>
  <si>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</si>
  <si>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</si>
  <si>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</si>
  <si>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</si>
  <si>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</si>
  <si>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</si>
  <si>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</si>
  <si>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</si>
  <si>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</si>
  <si>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</si>
  <si>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</si>
  <si>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</si>
  <si>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</si>
  <si>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</si>
  <si>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</si>
  <si>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</si>
  <si>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</si>
  <si>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</si>
  <si>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</si>
  <si>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</si>
  <si>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</si>
  <si>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</si>
  <si>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</si>
  <si>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</si>
  <si>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</si>
  <si>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</si>
  <si>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</si>
  <si>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</si>
  <si>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</si>
  <si>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</si>
  <si>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</si>
  <si>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</si>
  <si>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</si>
  <si>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</si>
  <si>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</si>
  <si>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</si>
  <si>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</si>
  <si>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</si>
  <si>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</si>
  <si>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</si>
  <si>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</si>
  <si>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</si>
  <si>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</si>
  <si>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</si>
  <si>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</si>
  <si>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</si>
  <si>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</si>
  <si>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</si>
  <si>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</si>
  <si>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</si>
  <si>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</si>
  <si>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</si>
  <si>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</si>
  <si>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</si>
  <si>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</si>
  <si>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</si>
  <si>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</si>
  <si>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</si>
  <si>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</si>
  <si>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</si>
  <si>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</si>
  <si>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</si>
  <si>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</si>
  <si>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</si>
  <si>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</si>
  <si>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</si>
  <si>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</si>
  <si>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</si>
  <si>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</si>
  <si>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</si>
  <si>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</si>
  <si>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</si>
  <si>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</si>
  <si>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</si>
  <si>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</si>
  <si>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</si>
  <si>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</si>
  <si>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</si>
  <si>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</si>
  <si>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</si>
  <si>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</si>
  <si>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</si>
  <si>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</si>
  <si>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</si>
  <si>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</si>
  <si>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</si>
  <si>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</si>
  <si>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</si>
  <si>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</si>
  <si>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</si>
  <si>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</si>
  <si>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</si>
  <si>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</si>
  <si>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</si>
  <si>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</si>
  <si>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</si>
  <si>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</si>
  <si>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</si>
  <si>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</si>
  <si>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</si>
  <si>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</si>
  <si>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</si>
  <si>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</si>
  <si>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</si>
  <si>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</si>
  <si>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</si>
  <si>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</si>
  <si>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</si>
  <si>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</si>
  <si>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</si>
  <si>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</si>
  <si>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</si>
  <si>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</si>
  <si>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</si>
  <si>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</si>
  <si>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</si>
  <si>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</si>
  <si>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</si>
  <si>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</si>
  <si>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</si>
  <si>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</si>
  <si>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</si>
  <si>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</si>
  <si>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</si>
  <si>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</si>
  <si>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</si>
  <si>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</si>
  <si>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</si>
  <si>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</si>
  <si>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</si>
  <si>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</si>
  <si>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</si>
  <si>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</si>
  <si>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</si>
  <si>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</si>
  <si>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</si>
  <si>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</si>
  <si>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</si>
  <si>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</si>
  <si>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</si>
  <si>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</si>
  <si>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</si>
  <si>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</si>
  <si>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</si>
  <si>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</si>
  <si>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</si>
  <si>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</si>
  <si>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</si>
  <si>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</si>
  <si>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</si>
  <si>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</si>
  <si>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</si>
  <si>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</si>
  <si>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</si>
  <si>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</si>
  <si>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</si>
  <si>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</si>
  <si>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</si>
  <si>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</si>
  <si>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</si>
  <si>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</si>
  <si>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</si>
  <si>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</si>
  <si>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</si>
  <si>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</si>
  <si>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</si>
  <si>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</si>
  <si>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</si>
  <si>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</si>
  <si>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</si>
  <si>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</si>
  <si>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</si>
  <si>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</si>
  <si>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</si>
  <si>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</si>
  <si>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</si>
  <si>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</si>
  <si>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</si>
  <si>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</si>
  <si>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</si>
  <si>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</si>
  <si>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</si>
  <si>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</si>
  <si>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</si>
  <si>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</si>
  <si>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</si>
  <si>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</si>
  <si>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</si>
  <si>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</si>
  <si>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</si>
  <si>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</si>
  <si>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</si>
  <si>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</si>
  <si>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</si>
  <si>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</si>
  <si>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</si>
  <si>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</si>
  <si>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</si>
  <si>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</si>
  <si>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</si>
  <si>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</si>
  <si>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</si>
  <si>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</si>
  <si>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</si>
  <si>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</si>
  <si>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</si>
  <si>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</si>
  <si>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</si>
  <si>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</si>
  <si>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</si>
  <si>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</si>
  <si>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</si>
  <si>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</si>
  <si>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</si>
  <si>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</si>
  <si>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</si>
  <si>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</si>
  <si>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</si>
  <si>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</si>
  <si>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</si>
  <si>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</si>
  <si>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</si>
  <si>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</si>
  <si>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</si>
  <si>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</si>
  <si>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</si>
  <si>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</si>
  <si>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</si>
  <si>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</si>
  <si>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</si>
  <si>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</si>
  <si>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</si>
  <si>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</si>
  <si>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</si>
  <si>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</si>
  <si>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</si>
  <si>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</si>
  <si>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</si>
  <si>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</si>
  <si>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</si>
  <si>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</si>
  <si>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</si>
  <si>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</si>
  <si>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</si>
  <si>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</si>
  <si>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</si>
  <si>
    <t xml:space="preserve">Customer First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</si>
</sst>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zoomScale="112" zoomScaleNormal="112" workbookViewId="0">
      <selection activeCell="G10" sqref="G10"/>
    </sheetView>
  </sheetViews>
  <sheetFormatPr defaultRowHeight="15" x14ac:dyDescent="0.25"/>
  <cols>
    <col min="1" max="1" width="14.140625" bestFit="1" customWidth="1"/>
    <col min="2" max="2" width="21.7109375" bestFit="1" customWidth="1"/>
    <col min="3" max="3" width="15" bestFit="1" customWidth="1"/>
    <col min="4" max="4" width="20.7109375" bestFit="1" customWidth="1"/>
    <col min="5" max="5" width="17" bestFit="1" customWidth="1"/>
    <col min="6" max="6" width="22.28515625" bestFit="1" customWidth="1"/>
    <col min="7" max="7" width="24" bestFit="1" customWidth="1"/>
    <col min="8" max="8" width="24.85546875" bestFit="1" customWidth="1"/>
    <col min="9" max="9" width="38.42578125" customWidth="1"/>
    <col min="10" max="10" width="8.140625" bestFit="1" customWidth="1"/>
    <col min="11" max="11" width="7.42578125" bestFit="1" customWidth="1"/>
    <col min="12" max="12" width="12" bestFit="1" customWidth="1"/>
    <col min="13" max="13" width="14.140625" bestFit="1" customWidth="1"/>
    <col min="14" max="14" width="15.140625" bestFit="1" customWidth="1"/>
    <col min="15" max="15" width="15.42578125" bestFit="1" customWidth="1"/>
    <col min="16" max="16" width="24.28515625" bestFit="1" customWidth="1"/>
    <col min="17" max="17" width="20.5703125" bestFit="1" customWidth="1"/>
    <col min="18" max="18" width="17.140625" bestFit="1" customWidth="1"/>
    <col min="19" max="19" width="33.28515625" bestFit="1" customWidth="1"/>
    <col min="20" max="20" width="9" bestFit="1" customWidth="1"/>
    <col min="21" max="21" width="15" bestFit="1" customWidth="1"/>
  </cols>
  <sheetData>
    <row r="1" spans="1:21" ht="15.75" x14ac:dyDescent="0.25">
      <c r="T1" s="1" t="s">
        <v>0</v>
      </c>
      <c r="U1" s="1" t="s">
        <v>1</v>
      </c>
    </row>
    <row r="2" spans="1:21" x14ac:dyDescent="0.25">
      <c r="T2" s="2">
        <v>0</v>
      </c>
      <c r="U2" s="3">
        <v>0.02</v>
      </c>
    </row>
    <row r="3" spans="1:21" x14ac:dyDescent="0.25">
      <c r="T3" s="2">
        <v>5000</v>
      </c>
      <c r="U3" s="3">
        <v>0.05</v>
      </c>
    </row>
    <row r="4" spans="1:21" x14ac:dyDescent="0.25">
      <c r="T4" s="2">
        <v>25000</v>
      </c>
      <c r="U4" s="3">
        <v>7.0000000000000007E-2</v>
      </c>
    </row>
    <row r="5" spans="1:21" x14ac:dyDescent="0.25">
      <c r="T5" s="2">
        <v>50000</v>
      </c>
      <c r="U5" s="3">
        <v>0.09</v>
      </c>
    </row>
    <row r="6" spans="1:21" x14ac:dyDescent="0.25">
      <c r="T6" s="2">
        <v>100000</v>
      </c>
      <c r="U6" s="3">
        <v>0.12</v>
      </c>
    </row>
    <row r="7" spans="1:21" x14ac:dyDescent="0.25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25">
      <c r="S8" s="23" t="s">
        <v>6220</v>
      </c>
    </row>
    <row r="9" spans="1:21" ht="15.75" x14ac:dyDescent="0.25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6222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25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VLOOKUP('Customer Info'!A2,'Customer Info'!A2:I501,2,FALSE)</f>
        <v>Aaron</v>
      </c>
      <c r="H10" s="6" t="str">
        <f>VLOOKUP('Customer Info'!A2,'Customer Info'!A2:I502,3,FALSE)</f>
        <v>Bergman</v>
      </c>
      <c r="I10" s="6" t="str">
        <f>VLOOKUP('Customer Info'!A2,'Customer Info'!A2:I501,5,FALSE)</f>
        <v>Halle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P10-M10</f>
        <v>289</v>
      </c>
      <c r="R10" s="2" t="s">
        <v>26</v>
      </c>
      <c r="S10" s="9">
        <f>VLOOKUP(P10,$T$2:$U$7,2,TRUE)</f>
        <v>0.02</v>
      </c>
    </row>
    <row r="11" spans="1:21" x14ac:dyDescent="0.25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VLOOKUP('Customer Info'!A3,'Customer Info'!A3:I502,2,FALSE)</f>
        <v>Aaron</v>
      </c>
      <c r="H11" s="6" t="str">
        <f>VLOOKUP('Customer Info'!A3,'Customer Info'!A3:I503,3,FALSE)</f>
        <v>Smayling</v>
      </c>
      <c r="I11" s="6" t="str">
        <f>VLOOKUP('Customer Info'!A3,'Customer Info'!A3:I502,5,FALSE)</f>
        <v>Dresden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P11-M11</f>
        <v>2191</v>
      </c>
      <c r="R11" s="2" t="s">
        <v>28</v>
      </c>
      <c r="S11" s="9">
        <f t="shared" ref="S11:S74" si="4">VLOOKUP(P11,$T$2:$U$7,2,TRUE)</f>
        <v>7.0000000000000007E-2</v>
      </c>
    </row>
    <row r="12" spans="1:21" x14ac:dyDescent="0.25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VLOOKUP('Customer Info'!A4,'Customer Info'!A4:I503,2,FALSE)</f>
        <v>Aaron</v>
      </c>
      <c r="H12" s="6" t="str">
        <f>VLOOKUP('Customer Info'!A4,'Customer Info'!A4:I504,3,FALSE)</f>
        <v>Smayling</v>
      </c>
      <c r="I12" s="6" t="str">
        <f>VLOOKUP('Customer Info'!A4,'Customer Info'!A4:I503,5,FALSE)</f>
        <v>Port Macquarie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449</v>
      </c>
      <c r="R12" s="2" t="s">
        <v>28</v>
      </c>
      <c r="S12" s="9">
        <f t="shared" si="4"/>
        <v>0.05</v>
      </c>
    </row>
    <row r="13" spans="1:21" x14ac:dyDescent="0.25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VLOOKUP('Customer Info'!A5,'Customer Info'!A5:I504,2,FALSE)</f>
        <v>Aaron</v>
      </c>
      <c r="H13" s="6" t="str">
        <f>VLOOKUP('Customer Info'!A5,'Customer Info'!A5:I505,3,FALSE)</f>
        <v>Hawkins</v>
      </c>
      <c r="I13" s="6" t="str">
        <f>VLOOKUP('Customer Info'!A5,'Customer Info'!A5:I504,5,FALSE)</f>
        <v>Minden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307</v>
      </c>
      <c r="R13" s="2" t="s">
        <v>28</v>
      </c>
      <c r="S13" s="9">
        <f t="shared" si="4"/>
        <v>0.02</v>
      </c>
    </row>
    <row r="14" spans="1:21" x14ac:dyDescent="0.25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VLOOKUP('Customer Info'!A6,'Customer Info'!A6:I505,2,FALSE)</f>
        <v>Adam</v>
      </c>
      <c r="H14" s="6" t="str">
        <f>VLOOKUP('Customer Info'!A6,'Customer Info'!A6:I506,3,FALSE)</f>
        <v>Bellavance</v>
      </c>
      <c r="I14" s="6" t="str">
        <f>VLOOKUP('Customer Info'!A6,'Customer Info'!A6:I505,5,FALSE)</f>
        <v>Kwinana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194</v>
      </c>
      <c r="R14" s="2" t="s">
        <v>28</v>
      </c>
      <c r="S14" s="9">
        <f t="shared" si="4"/>
        <v>0.05</v>
      </c>
    </row>
    <row r="15" spans="1:21" x14ac:dyDescent="0.25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VLOOKUP('Customer Info'!A7,'Customer Info'!A7:I506,2,FALSE)</f>
        <v>Adam</v>
      </c>
      <c r="H15" s="6" t="str">
        <f>VLOOKUP('Customer Info'!A7,'Customer Info'!A7:I507,3,FALSE)</f>
        <v>Bellavance</v>
      </c>
      <c r="I15" s="6" t="str">
        <f>VLOOKUP('Customer Info'!A7,'Customer Info'!A7:I506,5,FALSE)</f>
        <v>Kaiyuan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40</v>
      </c>
      <c r="R15" s="2" t="s">
        <v>28</v>
      </c>
      <c r="S15" s="9">
        <f t="shared" si="4"/>
        <v>0.02</v>
      </c>
    </row>
    <row r="16" spans="1:21" x14ac:dyDescent="0.25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VLOOKUP('Customer Info'!A8,'Customer Info'!A8:I507,2,FALSE)</f>
        <v>Adam</v>
      </c>
      <c r="H16" s="6" t="str">
        <f>VLOOKUP('Customer Info'!A8,'Customer Info'!A8:I508,3,FALSE)</f>
        <v>Bellavance</v>
      </c>
      <c r="I16" s="6" t="str">
        <f>VLOOKUP('Customer Info'!A8,'Customer Info'!A8:I507,5,FALSE)</f>
        <v>Medan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564</v>
      </c>
      <c r="R16" s="2" t="s">
        <v>28</v>
      </c>
      <c r="S16" s="9">
        <f t="shared" si="4"/>
        <v>0.05</v>
      </c>
    </row>
    <row r="17" spans="1:19" x14ac:dyDescent="0.25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VLOOKUP('Customer Info'!A9,'Customer Info'!A9:I508,2,FALSE)</f>
        <v>Adrian</v>
      </c>
      <c r="H17" s="6" t="str">
        <f>VLOOKUP('Customer Info'!A9,'Customer Info'!A9:I509,3,FALSE)</f>
        <v>Barton</v>
      </c>
      <c r="I17" s="6" t="str">
        <f>VLOOKUP('Customer Info'!A9,'Customer Info'!A9:I508,5,FALSE)</f>
        <v>Wetzlar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60</v>
      </c>
      <c r="R17" s="2" t="s">
        <v>28</v>
      </c>
      <c r="S17" s="9">
        <f t="shared" si="4"/>
        <v>0.02</v>
      </c>
    </row>
    <row r="18" spans="1:19" x14ac:dyDescent="0.25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VLOOKUP('Customer Info'!A10,'Customer Info'!A10:I509,2,FALSE)</f>
        <v>Adrian</v>
      </c>
      <c r="H18" s="6" t="str">
        <f>VLOOKUP('Customer Info'!A10,'Customer Info'!A10:I510,3,FALSE)</f>
        <v>Barton</v>
      </c>
      <c r="I18" s="6" t="str">
        <f>VLOOKUP('Customer Info'!A10,'Customer Info'!A10:I509,5,FALSE)</f>
        <v>Zigong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72</v>
      </c>
      <c r="R18" s="2" t="s">
        <v>28</v>
      </c>
      <c r="S18" s="9">
        <f t="shared" si="4"/>
        <v>0.02</v>
      </c>
    </row>
    <row r="19" spans="1:19" x14ac:dyDescent="0.25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VLOOKUP('Customer Info'!A11,'Customer Info'!A11:I510,2,FALSE)</f>
        <v>Alan</v>
      </c>
      <c r="H19" s="6" t="str">
        <f>VLOOKUP('Customer Info'!A11,'Customer Info'!A11:I511,3,FALSE)</f>
        <v>Shonely</v>
      </c>
      <c r="I19" s="6" t="str">
        <f>VLOOKUP('Customer Info'!A11,'Customer Info'!A11:I510,5,FALSE)</f>
        <v>Canberra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103</v>
      </c>
      <c r="R19" s="2" t="s">
        <v>50</v>
      </c>
      <c r="S19" s="9">
        <f t="shared" si="4"/>
        <v>0.02</v>
      </c>
    </row>
    <row r="20" spans="1:19" x14ac:dyDescent="0.25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VLOOKUP('Customer Info'!A12,'Customer Info'!A12:I511,2,FALSE)</f>
        <v>Alan</v>
      </c>
      <c r="H20" s="6" t="str">
        <f>VLOOKUP('Customer Info'!A12,'Customer Info'!A12:I512,3,FALSE)</f>
        <v>Schoenberger</v>
      </c>
      <c r="I20" s="6" t="str">
        <f>VLOOKUP('Customer Info'!A12,'Customer Info'!A12:I511,5,FALSE)</f>
        <v>Anshan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236</v>
      </c>
      <c r="R20" s="2" t="s">
        <v>28</v>
      </c>
      <c r="S20" s="9">
        <f t="shared" si="4"/>
        <v>0.02</v>
      </c>
    </row>
    <row r="21" spans="1:19" x14ac:dyDescent="0.25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VLOOKUP('Customer Info'!A13,'Customer Info'!A13:I512,2,FALSE)</f>
        <v>Alejandro</v>
      </c>
      <c r="H21" s="6" t="str">
        <f>VLOOKUP('Customer Info'!A13,'Customer Info'!A13:I513,3,FALSE)</f>
        <v>Ballentine</v>
      </c>
      <c r="I21" s="6" t="str">
        <f>VLOOKUP('Customer Info'!A13,'Customer Info'!A13:I512,5,FALSE)</f>
        <v>Mannheim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48</v>
      </c>
      <c r="R21" s="2" t="s">
        <v>56</v>
      </c>
      <c r="S21" s="9">
        <f t="shared" si="4"/>
        <v>0.02</v>
      </c>
    </row>
    <row r="22" spans="1:19" x14ac:dyDescent="0.25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VLOOKUP('Customer Info'!A14,'Customer Info'!A14:I513,2,FALSE)</f>
        <v>Alejandro</v>
      </c>
      <c r="H22" s="6" t="str">
        <f>VLOOKUP('Customer Info'!A14,'Customer Info'!A14:I514,3,FALSE)</f>
        <v>Grove</v>
      </c>
      <c r="I22" s="6" t="str">
        <f>VLOOKUP('Customer Info'!A14,'Customer Info'!A14:I513,5,FALSE)</f>
        <v>Whyalla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4034</v>
      </c>
      <c r="R22" s="2" t="s">
        <v>50</v>
      </c>
      <c r="S22" s="9">
        <f t="shared" si="4"/>
        <v>7.0000000000000007E-2</v>
      </c>
    </row>
    <row r="23" spans="1:19" x14ac:dyDescent="0.25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VLOOKUP('Customer Info'!A15,'Customer Info'!A15:I514,2,FALSE)</f>
        <v>Alex</v>
      </c>
      <c r="H23" s="6" t="str">
        <f>VLOOKUP('Customer Info'!A15,'Customer Info'!A15:I515,3,FALSE)</f>
        <v>Grayson</v>
      </c>
      <c r="I23" s="6" t="str">
        <f>VLOOKUP('Customer Info'!A15,'Customer Info'!A15:I514,5,FALSE)</f>
        <v>Anyang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194</v>
      </c>
      <c r="R23" s="2" t="s">
        <v>28</v>
      </c>
      <c r="S23" s="9">
        <f t="shared" si="4"/>
        <v>0.02</v>
      </c>
    </row>
    <row r="24" spans="1:19" x14ac:dyDescent="0.25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VLOOKUP('Customer Info'!A16,'Customer Info'!A16:I515,2,FALSE)</f>
        <v>Alex</v>
      </c>
      <c r="H24" s="6" t="str">
        <f>VLOOKUP('Customer Info'!A16,'Customer Info'!A16:I516,3,FALSE)</f>
        <v>Avila</v>
      </c>
      <c r="I24" s="6" t="str">
        <f>VLOOKUP('Customer Info'!A16,'Customer Info'!A16:I515,5,FALSE)</f>
        <v>Agra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62</v>
      </c>
      <c r="R24" s="2" t="s">
        <v>56</v>
      </c>
      <c r="S24" s="9">
        <f t="shared" si="4"/>
        <v>0.02</v>
      </c>
    </row>
    <row r="25" spans="1:19" x14ac:dyDescent="0.25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VLOOKUP('Customer Info'!A17,'Customer Info'!A17:I516,2,FALSE)</f>
        <v>Alex</v>
      </c>
      <c r="H25" s="6" t="str">
        <f>VLOOKUP('Customer Info'!A17,'Customer Info'!A17:I517,3,FALSE)</f>
        <v>Avila</v>
      </c>
      <c r="I25" s="6" t="str">
        <f>VLOOKUP('Customer Info'!A17,'Customer Info'!A17:I516,5,FALSE)</f>
        <v>Berlin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290</v>
      </c>
      <c r="R25" s="2" t="s">
        <v>50</v>
      </c>
      <c r="S25" s="9">
        <f t="shared" si="4"/>
        <v>0.02</v>
      </c>
    </row>
    <row r="26" spans="1:19" x14ac:dyDescent="0.25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VLOOKUP('Customer Info'!A18,'Customer Info'!A18:I517,2,FALSE)</f>
        <v>Alex</v>
      </c>
      <c r="H26" s="6" t="str">
        <f>VLOOKUP('Customer Info'!A18,'Customer Info'!A18:I518,3,FALSE)</f>
        <v>Avila</v>
      </c>
      <c r="I26" s="6" t="str">
        <f>VLOOKUP('Customer Info'!A18,'Customer Info'!A18:I517,5,FALSE)</f>
        <v>Newcastle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1314</v>
      </c>
      <c r="R26" s="2" t="s">
        <v>28</v>
      </c>
      <c r="S26" s="9">
        <f t="shared" si="4"/>
        <v>0.05</v>
      </c>
    </row>
    <row r="27" spans="1:19" x14ac:dyDescent="0.25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VLOOKUP('Customer Info'!A19,'Customer Info'!A19:I518,2,FALSE)</f>
        <v>Alice</v>
      </c>
      <c r="H27" s="6" t="str">
        <f>VLOOKUP('Customer Info'!A19,'Customer Info'!A19:I519,3,FALSE)</f>
        <v>McCarthy</v>
      </c>
      <c r="I27" s="6" t="str">
        <f>VLOOKUP('Customer Info'!A19,'Customer Info'!A19:I518,5,FALSE)</f>
        <v>Berlin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4342</v>
      </c>
      <c r="R27" s="2" t="s">
        <v>28</v>
      </c>
      <c r="S27" s="9">
        <f t="shared" si="4"/>
        <v>0.09</v>
      </c>
    </row>
    <row r="28" spans="1:19" x14ac:dyDescent="0.25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VLOOKUP('Customer Info'!A20,'Customer Info'!A20:I519,2,FALSE)</f>
        <v>Allen</v>
      </c>
      <c r="H28" s="6" t="str">
        <f>VLOOKUP('Customer Info'!A20,'Customer Info'!A20:I520,3,FALSE)</f>
        <v>Rosenblatt</v>
      </c>
      <c r="I28" s="6" t="str">
        <f>VLOOKUP('Customer Info'!A20,'Customer Info'!A20:I519,5,FALSE)</f>
        <v>Chaozhou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154</v>
      </c>
      <c r="R28" s="2" t="s">
        <v>50</v>
      </c>
      <c r="S28" s="9">
        <f t="shared" si="4"/>
        <v>0.02</v>
      </c>
    </row>
    <row r="29" spans="1:19" x14ac:dyDescent="0.25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VLOOKUP('Customer Info'!A21,'Customer Info'!A21:I520,2,FALSE)</f>
        <v>Allen</v>
      </c>
      <c r="H29" s="6" t="str">
        <f>VLOOKUP('Customer Info'!A21,'Customer Info'!A21:I521,3,FALSE)</f>
        <v>Armold</v>
      </c>
      <c r="I29" s="6" t="str">
        <f>VLOOKUP('Customer Info'!A21,'Customer Info'!A21:I520,5,FALSE)</f>
        <v>Wuchuan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51</v>
      </c>
      <c r="R29" s="2" t="s">
        <v>50</v>
      </c>
      <c r="S29" s="9">
        <f t="shared" si="4"/>
        <v>0.02</v>
      </c>
    </row>
    <row r="30" spans="1:19" x14ac:dyDescent="0.25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VLOOKUP('Customer Info'!A22,'Customer Info'!A22:I521,2,FALSE)</f>
        <v>Alyssa</v>
      </c>
      <c r="H30" s="6" t="str">
        <f>VLOOKUP('Customer Info'!A22,'Customer Info'!A22:I522,3,FALSE)</f>
        <v>Tate</v>
      </c>
      <c r="I30" s="6" t="str">
        <f>VLOOKUP('Customer Info'!A22,'Customer Info'!A22:I521,5,FALSE)</f>
        <v>Wafangdian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398</v>
      </c>
      <c r="R30" s="2" t="s">
        <v>28</v>
      </c>
      <c r="S30" s="9">
        <f t="shared" si="4"/>
        <v>0.05</v>
      </c>
    </row>
    <row r="31" spans="1:19" x14ac:dyDescent="0.25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VLOOKUP('Customer Info'!A23,'Customer Info'!A23:I522,2,FALSE)</f>
        <v>Andrew</v>
      </c>
      <c r="H31" s="6" t="str">
        <f>VLOOKUP('Customer Info'!A23,'Customer Info'!A23:I523,3,FALSE)</f>
        <v>Gjertsen</v>
      </c>
      <c r="I31" s="6" t="str">
        <f>VLOOKUP('Customer Info'!A23,'Customer Info'!A23:I522,5,FALSE)</f>
        <v>Hamburg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754</v>
      </c>
      <c r="R31" s="2" t="s">
        <v>50</v>
      </c>
      <c r="S31" s="9">
        <f t="shared" si="4"/>
        <v>0.05</v>
      </c>
    </row>
    <row r="32" spans="1:19" x14ac:dyDescent="0.25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VLOOKUP('Customer Info'!A24,'Customer Info'!A24:I523,2,FALSE)</f>
        <v>Andy</v>
      </c>
      <c r="H32" s="6" t="str">
        <f>VLOOKUP('Customer Info'!A24,'Customer Info'!A24:I524,3,FALSE)</f>
        <v>Yotov</v>
      </c>
      <c r="I32" s="6" t="str">
        <f>VLOOKUP('Customer Info'!A24,'Customer Info'!A24:I523,5,FALSE)</f>
        <v>Samarinda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90</v>
      </c>
      <c r="R32" s="2" t="s">
        <v>28</v>
      </c>
      <c r="S32" s="9">
        <f t="shared" si="4"/>
        <v>0.02</v>
      </c>
    </row>
    <row r="33" spans="1:19" x14ac:dyDescent="0.25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VLOOKUP('Customer Info'!A25,'Customer Info'!A25:I524,2,FALSE)</f>
        <v>Anemone</v>
      </c>
      <c r="H33" s="6" t="str">
        <f>VLOOKUP('Customer Info'!A25,'Customer Info'!A25:I525,3,FALSE)</f>
        <v>Ratner</v>
      </c>
      <c r="I33" s="6" t="str">
        <f>VLOOKUP('Customer Info'!A25,'Customer Info'!A25:I524,5,FALSE)</f>
        <v>Pune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335</v>
      </c>
      <c r="R33" s="2" t="s">
        <v>28</v>
      </c>
      <c r="S33" s="9">
        <f t="shared" si="4"/>
        <v>0.02</v>
      </c>
    </row>
    <row r="34" spans="1:19" x14ac:dyDescent="0.25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VLOOKUP('Customer Info'!A26,'Customer Info'!A26:I525,2,FALSE)</f>
        <v>Anemone</v>
      </c>
      <c r="H34" s="6" t="str">
        <f>VLOOKUP('Customer Info'!A26,'Customer Info'!A26:I526,3,FALSE)</f>
        <v>Ratner</v>
      </c>
      <c r="I34" s="6" t="str">
        <f>VLOOKUP('Customer Info'!A26,'Customer Info'!A26:I525,5,FALSE)</f>
        <v>Berlin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66</v>
      </c>
      <c r="R34" s="2" t="s">
        <v>28</v>
      </c>
      <c r="S34" s="9">
        <f t="shared" si="4"/>
        <v>0.02</v>
      </c>
    </row>
    <row r="35" spans="1:19" x14ac:dyDescent="0.25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VLOOKUP('Customer Info'!A27,'Customer Info'!A27:I526,2,FALSE)</f>
        <v>Ann</v>
      </c>
      <c r="H35" s="6" t="str">
        <f>VLOOKUP('Customer Info'!A27,'Customer Info'!A27:I527,3,FALSE)</f>
        <v>Chong</v>
      </c>
      <c r="I35" s="6" t="str">
        <f>VLOOKUP('Customer Info'!A27,'Customer Info'!A27:I526,5,FALSE)</f>
        <v>Sydney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334</v>
      </c>
      <c r="R35" s="2" t="s">
        <v>28</v>
      </c>
      <c r="S35" s="9">
        <f t="shared" si="4"/>
        <v>0.05</v>
      </c>
    </row>
    <row r="36" spans="1:19" x14ac:dyDescent="0.25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VLOOKUP('Customer Info'!A28,'Customer Info'!A28:I527,2,FALSE)</f>
        <v>Anna</v>
      </c>
      <c r="H36" s="6" t="str">
        <f>VLOOKUP('Customer Info'!A28,'Customer Info'!A28:I528,3,FALSE)</f>
        <v>Gayman</v>
      </c>
      <c r="I36" s="6" t="str">
        <f>VLOOKUP('Customer Info'!A28,'Customer Info'!A28:I527,5,FALSE)</f>
        <v>Surat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1310</v>
      </c>
      <c r="R36" s="2" t="s">
        <v>28</v>
      </c>
      <c r="S36" s="9">
        <f t="shared" si="4"/>
        <v>0.05</v>
      </c>
    </row>
    <row r="37" spans="1:19" x14ac:dyDescent="0.25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VLOOKUP('Customer Info'!A29,'Customer Info'!A29:I528,2,FALSE)</f>
        <v>Anna</v>
      </c>
      <c r="H37" s="6" t="str">
        <f>VLOOKUP('Customer Info'!A29,'Customer Info'!A29:I529,3,FALSE)</f>
        <v>Gayman</v>
      </c>
      <c r="I37" s="6" t="str">
        <f>VLOOKUP('Customer Info'!A29,'Customer Info'!A29:I528,5,FALSE)</f>
        <v>Jakarta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1546</v>
      </c>
      <c r="R37" s="2" t="s">
        <v>28</v>
      </c>
      <c r="S37" s="9">
        <f t="shared" si="4"/>
        <v>7.0000000000000007E-2</v>
      </c>
    </row>
    <row r="38" spans="1:19" x14ac:dyDescent="0.25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VLOOKUP('Customer Info'!A30,'Customer Info'!A30:I529,2,FALSE)</f>
        <v>Annie</v>
      </c>
      <c r="H38" s="6" t="str">
        <f>VLOOKUP('Customer Info'!A30,'Customer Info'!A30:I530,3,FALSE)</f>
        <v>Thurman</v>
      </c>
      <c r="I38" s="6" t="str">
        <f>VLOOKUP('Customer Info'!A30,'Customer Info'!A30:I529,5,FALSE)</f>
        <v>Sydney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132</v>
      </c>
      <c r="R38" s="2" t="s">
        <v>50</v>
      </c>
      <c r="S38" s="9">
        <f t="shared" si="4"/>
        <v>0.02</v>
      </c>
    </row>
    <row r="39" spans="1:19" x14ac:dyDescent="0.25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VLOOKUP('Customer Info'!A31,'Customer Info'!A31:I530,2,FALSE)</f>
        <v>Annie</v>
      </c>
      <c r="H39" s="6" t="str">
        <f>VLOOKUP('Customer Info'!A31,'Customer Info'!A31:I531,3,FALSE)</f>
        <v>Zypern</v>
      </c>
      <c r="I39" s="6" t="str">
        <f>VLOOKUP('Customer Info'!A31,'Customer Info'!A31:I530,5,FALSE)</f>
        <v>Brisbane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128</v>
      </c>
      <c r="R39" s="2" t="s">
        <v>50</v>
      </c>
      <c r="S39" s="9">
        <f t="shared" si="4"/>
        <v>0.02</v>
      </c>
    </row>
    <row r="40" spans="1:19" x14ac:dyDescent="0.25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VLOOKUP('Customer Info'!A32,'Customer Info'!A32:I531,2,FALSE)</f>
        <v>Anthony</v>
      </c>
      <c r="H40" s="6" t="str">
        <f>VLOOKUP('Customer Info'!A32,'Customer Info'!A32:I532,3,FALSE)</f>
        <v>Rawles</v>
      </c>
      <c r="I40" s="6" t="str">
        <f>VLOOKUP('Customer Info'!A32,'Customer Info'!A32:I531,5,FALSE)</f>
        <v>Samarinda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588</v>
      </c>
      <c r="R40" s="2" t="s">
        <v>50</v>
      </c>
      <c r="S40" s="9">
        <f t="shared" si="4"/>
        <v>0.05</v>
      </c>
    </row>
    <row r="41" spans="1:19" x14ac:dyDescent="0.25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VLOOKUP('Customer Info'!A33,'Customer Info'!A33:I532,2,FALSE)</f>
        <v>Anthony</v>
      </c>
      <c r="H41" s="6" t="str">
        <f>VLOOKUP('Customer Info'!A33,'Customer Info'!A33:I533,3,FALSE)</f>
        <v>O'Donnell</v>
      </c>
      <c r="I41" s="6" t="str">
        <f>VLOOKUP('Customer Info'!A33,'Customer Info'!A33:I532,5,FALSE)</f>
        <v>Berlin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649</v>
      </c>
      <c r="R41" s="2" t="s">
        <v>28</v>
      </c>
      <c r="S41" s="9">
        <f t="shared" si="4"/>
        <v>0.05</v>
      </c>
    </row>
    <row r="42" spans="1:19" x14ac:dyDescent="0.25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VLOOKUP('Customer Info'!A34,'Customer Info'!A34:I533,2,FALSE)</f>
        <v>Anthony</v>
      </c>
      <c r="H42" s="6" t="str">
        <f>VLOOKUP('Customer Info'!A34,'Customer Info'!A34:I534,3,FALSE)</f>
        <v>Garverick</v>
      </c>
      <c r="I42" s="6" t="str">
        <f>VLOOKUP('Customer Info'!A34,'Customer Info'!A34:I533,5,FALSE)</f>
        <v>Delhi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85</v>
      </c>
      <c r="R42" s="2" t="s">
        <v>50</v>
      </c>
      <c r="S42" s="9">
        <f t="shared" si="4"/>
        <v>0.02</v>
      </c>
    </row>
    <row r="43" spans="1:19" x14ac:dyDescent="0.25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VLOOKUP('Customer Info'!A35,'Customer Info'!A35:I534,2,FALSE)</f>
        <v>Anthony</v>
      </c>
      <c r="H43" s="6" t="str">
        <f>VLOOKUP('Customer Info'!A35,'Customer Info'!A35:I535,3,FALSE)</f>
        <v>O'Donnell</v>
      </c>
      <c r="I43" s="6" t="str">
        <f>VLOOKUP('Customer Info'!A35,'Customer Info'!A35:I534,5,FALSE)</f>
        <v>Perth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12</v>
      </c>
      <c r="R43" s="2" t="s">
        <v>28</v>
      </c>
      <c r="S43" s="9">
        <f t="shared" si="4"/>
        <v>0.02</v>
      </c>
    </row>
    <row r="44" spans="1:19" x14ac:dyDescent="0.25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VLOOKUP('Customer Info'!A36,'Customer Info'!A36:I535,2,FALSE)</f>
        <v>Art</v>
      </c>
      <c r="H44" s="6" t="str">
        <f>VLOOKUP('Customer Info'!A36,'Customer Info'!A36:I536,3,FALSE)</f>
        <v>Foster</v>
      </c>
      <c r="I44" s="6" t="str">
        <f>VLOOKUP('Customer Info'!A36,'Customer Info'!A36:I535,5,FALSE)</f>
        <v>Devonport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1130</v>
      </c>
      <c r="R44" s="2" t="s">
        <v>50</v>
      </c>
      <c r="S44" s="9">
        <f t="shared" si="4"/>
        <v>0.05</v>
      </c>
    </row>
    <row r="45" spans="1:19" x14ac:dyDescent="0.25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VLOOKUP('Customer Info'!A37,'Customer Info'!A37:I536,2,FALSE)</f>
        <v>Arthur</v>
      </c>
      <c r="H45" s="6" t="str">
        <f>VLOOKUP('Customer Info'!A37,'Customer Info'!A37:I537,3,FALSE)</f>
        <v>Prichep</v>
      </c>
      <c r="I45" s="6" t="str">
        <f>VLOOKUP('Customer Info'!A37,'Customer Info'!A37:I536,5,FALSE)</f>
        <v>Minden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1892</v>
      </c>
      <c r="R45" s="2" t="s">
        <v>26</v>
      </c>
      <c r="S45" s="9">
        <f t="shared" si="4"/>
        <v>0.05</v>
      </c>
    </row>
    <row r="46" spans="1:19" x14ac:dyDescent="0.25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VLOOKUP('Customer Info'!A38,'Customer Info'!A38:I537,2,FALSE)</f>
        <v>Barry</v>
      </c>
      <c r="H46" s="6" t="str">
        <f>VLOOKUP('Customer Info'!A38,'Customer Info'!A38:I538,3,FALSE)</f>
        <v>Blumstein</v>
      </c>
      <c r="I46" s="6" t="str">
        <f>VLOOKUP('Customer Info'!A38,'Customer Info'!A38:I537,5,FALSE)</f>
        <v>Toowoomba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78</v>
      </c>
      <c r="R46" s="2" t="s">
        <v>56</v>
      </c>
      <c r="S46" s="9">
        <f t="shared" si="4"/>
        <v>0.02</v>
      </c>
    </row>
    <row r="47" spans="1:19" x14ac:dyDescent="0.25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VLOOKUP('Customer Info'!A39,'Customer Info'!A39:I538,2,FALSE)</f>
        <v>Barry</v>
      </c>
      <c r="H47" s="6" t="str">
        <f>VLOOKUP('Customer Info'!A39,'Customer Info'!A39:I539,3,FALSE)</f>
        <v>Franzšsisch</v>
      </c>
      <c r="I47" s="6" t="str">
        <f>VLOOKUP('Customer Info'!A39,'Customer Info'!A39:I538,5,FALSE)</f>
        <v>Bendigo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622</v>
      </c>
      <c r="R47" s="2" t="s">
        <v>28</v>
      </c>
      <c r="S47" s="9">
        <f t="shared" si="4"/>
        <v>0.05</v>
      </c>
    </row>
    <row r="48" spans="1:19" x14ac:dyDescent="0.25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VLOOKUP('Customer Info'!A40,'Customer Info'!A40:I539,2,FALSE)</f>
        <v>Barry</v>
      </c>
      <c r="H48" s="6" t="str">
        <f>VLOOKUP('Customer Info'!A40,'Customer Info'!A40:I540,3,FALSE)</f>
        <v>Franzšsisch</v>
      </c>
      <c r="I48" s="6" t="str">
        <f>VLOOKUP('Customer Info'!A40,'Customer Info'!A40:I539,5,FALSE)</f>
        <v>Canberra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445</v>
      </c>
      <c r="R48" s="2" t="s">
        <v>50</v>
      </c>
      <c r="S48" s="9">
        <f t="shared" si="4"/>
        <v>0.02</v>
      </c>
    </row>
    <row r="49" spans="1:19" x14ac:dyDescent="0.25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VLOOKUP('Customer Info'!A41,'Customer Info'!A41:I540,2,FALSE)</f>
        <v>Barry</v>
      </c>
      <c r="H49" s="6" t="str">
        <f>VLOOKUP('Customer Info'!A41,'Customer Info'!A41:I541,3,FALSE)</f>
        <v>Blumstein</v>
      </c>
      <c r="I49" s="6" t="str">
        <f>VLOOKUP('Customer Info'!A41,'Customer Info'!A41:I540,5,FALSE)</f>
        <v>Gold Coast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46</v>
      </c>
      <c r="R49" s="2" t="s">
        <v>50</v>
      </c>
      <c r="S49" s="9">
        <f t="shared" si="4"/>
        <v>0.02</v>
      </c>
    </row>
    <row r="50" spans="1:19" x14ac:dyDescent="0.25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VLOOKUP('Customer Info'!A42,'Customer Info'!A42:I541,2,FALSE)</f>
        <v>Bart</v>
      </c>
      <c r="H50" s="6" t="str">
        <f>VLOOKUP('Customer Info'!A42,'Customer Info'!A42:I542,3,FALSE)</f>
        <v>Folk</v>
      </c>
      <c r="I50" s="6" t="str">
        <f>VLOOKUP('Customer Info'!A42,'Customer Info'!A42:I541,5,FALSE)</f>
        <v>Melbourne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210</v>
      </c>
      <c r="R50" s="2" t="s">
        <v>28</v>
      </c>
      <c r="S50" s="9">
        <f t="shared" si="4"/>
        <v>0.02</v>
      </c>
    </row>
    <row r="51" spans="1:19" x14ac:dyDescent="0.25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VLOOKUP('Customer Info'!A43,'Customer Info'!A43:I542,2,FALSE)</f>
        <v>Becky</v>
      </c>
      <c r="H51" s="6" t="str">
        <f>VLOOKUP('Customer Info'!A43,'Customer Info'!A43:I543,3,FALSE)</f>
        <v>Castell</v>
      </c>
      <c r="I51" s="6" t="str">
        <f>VLOOKUP('Customer Info'!A43,'Customer Info'!A43:I542,5,FALSE)</f>
        <v>Berlin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30</v>
      </c>
      <c r="R51" s="2" t="s">
        <v>28</v>
      </c>
      <c r="S51" s="9">
        <f t="shared" si="4"/>
        <v>0.02</v>
      </c>
    </row>
    <row r="52" spans="1:19" x14ac:dyDescent="0.25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VLOOKUP('Customer Info'!A44,'Customer Info'!A44:I543,2,FALSE)</f>
        <v>Becky</v>
      </c>
      <c r="H52" s="6" t="str">
        <f>VLOOKUP('Customer Info'!A44,'Customer Info'!A44:I544,3,FALSE)</f>
        <v>Pak</v>
      </c>
      <c r="I52" s="6" t="str">
        <f>VLOOKUP('Customer Info'!A44,'Customer Info'!A44:I543,5,FALSE)</f>
        <v>Mandurah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46</v>
      </c>
      <c r="R52" s="2" t="s">
        <v>28</v>
      </c>
      <c r="S52" s="9">
        <f t="shared" si="4"/>
        <v>0.02</v>
      </c>
    </row>
    <row r="53" spans="1:19" x14ac:dyDescent="0.25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VLOOKUP('Customer Info'!A45,'Customer Info'!A45:I544,2,FALSE)</f>
        <v>Becky</v>
      </c>
      <c r="H53" s="6" t="str">
        <f>VLOOKUP('Customer Info'!A45,'Customer Info'!A45:I545,3,FALSE)</f>
        <v>Pak</v>
      </c>
      <c r="I53" s="6" t="str">
        <f>VLOOKUP('Customer Info'!A45,'Customer Info'!A45:I544,5,FALSE)</f>
        <v>Geelong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909</v>
      </c>
      <c r="R53" s="2" t="s">
        <v>28</v>
      </c>
      <c r="S53" s="9">
        <f t="shared" si="4"/>
        <v>0.05</v>
      </c>
    </row>
    <row r="54" spans="1:19" x14ac:dyDescent="0.25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VLOOKUP('Customer Info'!A46,'Customer Info'!A46:I545,2,FALSE)</f>
        <v>Ben</v>
      </c>
      <c r="H54" s="6" t="str">
        <f>VLOOKUP('Customer Info'!A46,'Customer Info'!A46:I546,3,FALSE)</f>
        <v>Peterman</v>
      </c>
      <c r="I54" s="6" t="str">
        <f>VLOOKUP('Customer Info'!A46,'Customer Info'!A46:I545,5,FALSE)</f>
        <v>Bielefeld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75</v>
      </c>
      <c r="R54" s="2" t="s">
        <v>50</v>
      </c>
      <c r="S54" s="9">
        <f t="shared" si="4"/>
        <v>0.02</v>
      </c>
    </row>
    <row r="55" spans="1:19" x14ac:dyDescent="0.25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VLOOKUP('Customer Info'!A47,'Customer Info'!A47:I546,2,FALSE)</f>
        <v>Ben</v>
      </c>
      <c r="H55" s="6" t="str">
        <f>VLOOKUP('Customer Info'!A47,'Customer Info'!A47:I547,3,FALSE)</f>
        <v>Wallace</v>
      </c>
      <c r="I55" s="6" t="str">
        <f>VLOOKUP('Customer Info'!A47,'Customer Info'!A47:I546,5,FALSE)</f>
        <v>Shanghai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228</v>
      </c>
      <c r="R55" s="2" t="s">
        <v>28</v>
      </c>
      <c r="S55" s="9">
        <f t="shared" si="4"/>
        <v>0.02</v>
      </c>
    </row>
    <row r="56" spans="1:19" x14ac:dyDescent="0.25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VLOOKUP('Customer Info'!A48,'Customer Info'!A48:I547,2,FALSE)</f>
        <v>Benjamin</v>
      </c>
      <c r="H56" s="6" t="str">
        <f>VLOOKUP('Customer Info'!A48,'Customer Info'!A48:I548,3,FALSE)</f>
        <v>Patterson</v>
      </c>
      <c r="I56" s="6" t="str">
        <f>VLOOKUP('Customer Info'!A48,'Customer Info'!A48:I547,5,FALSE)</f>
        <v>Wollongong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778</v>
      </c>
      <c r="R56" s="2" t="s">
        <v>28</v>
      </c>
      <c r="S56" s="9">
        <f t="shared" si="4"/>
        <v>0.05</v>
      </c>
    </row>
    <row r="57" spans="1:19" x14ac:dyDescent="0.25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VLOOKUP('Customer Info'!A49,'Customer Info'!A49:I548,2,FALSE)</f>
        <v>Benjamin</v>
      </c>
      <c r="H57" s="6" t="str">
        <f>VLOOKUP('Customer Info'!A49,'Customer Info'!A49:I549,3,FALSE)</f>
        <v>Patterson</v>
      </c>
      <c r="I57" s="6" t="str">
        <f>VLOOKUP('Customer Info'!A49,'Customer Info'!A49:I548,5,FALSE)</f>
        <v>Tamworth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677</v>
      </c>
      <c r="R57" s="2" t="s">
        <v>28</v>
      </c>
      <c r="S57" s="9">
        <f t="shared" si="4"/>
        <v>0.05</v>
      </c>
    </row>
    <row r="58" spans="1:19" x14ac:dyDescent="0.25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VLOOKUP('Customer Info'!A50,'Customer Info'!A50:I549,2,FALSE)</f>
        <v>Beth</v>
      </c>
      <c r="H58" s="6" t="str">
        <f>VLOOKUP('Customer Info'!A50,'Customer Info'!A50:I550,3,FALSE)</f>
        <v>Thompson</v>
      </c>
      <c r="I58" s="6" t="str">
        <f>VLOOKUP('Customer Info'!A50,'Customer Info'!A50:I549,5,FALSE)</f>
        <v>Lohne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1081</v>
      </c>
      <c r="R58" s="2" t="s">
        <v>50</v>
      </c>
      <c r="S58" s="9">
        <f t="shared" si="4"/>
        <v>0.05</v>
      </c>
    </row>
    <row r="59" spans="1:19" x14ac:dyDescent="0.25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VLOOKUP('Customer Info'!A51,'Customer Info'!A51:I550,2,FALSE)</f>
        <v>Bill</v>
      </c>
      <c r="H59" s="6" t="str">
        <f>VLOOKUP('Customer Info'!A51,'Customer Info'!A51:I551,3,FALSE)</f>
        <v>Stewart</v>
      </c>
      <c r="I59" s="6" t="str">
        <f>VLOOKUP('Customer Info'!A51,'Customer Info'!A51:I550,5,FALSE)</f>
        <v>Wenling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77</v>
      </c>
      <c r="R59" s="2" t="s">
        <v>28</v>
      </c>
      <c r="S59" s="9">
        <f t="shared" si="4"/>
        <v>0.02</v>
      </c>
    </row>
    <row r="60" spans="1:19" x14ac:dyDescent="0.25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VLOOKUP('Customer Info'!A52,'Customer Info'!A52:I551,2,FALSE)</f>
        <v>Bill</v>
      </c>
      <c r="H60" s="6" t="str">
        <f>VLOOKUP('Customer Info'!A52,'Customer Info'!A52:I552,3,FALSE)</f>
        <v>Eplett</v>
      </c>
      <c r="I60" s="6" t="str">
        <f>VLOOKUP('Customer Info'!A52,'Customer Info'!A52:I551,5,FALSE)</f>
        <v>Newcastle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244</v>
      </c>
      <c r="R60" s="2" t="s">
        <v>28</v>
      </c>
      <c r="S60" s="9">
        <f t="shared" si="4"/>
        <v>0.02</v>
      </c>
    </row>
    <row r="61" spans="1:19" x14ac:dyDescent="0.25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VLOOKUP('Customer Info'!A53,'Customer Info'!A53:I552,2,FALSE)</f>
        <v>Bill</v>
      </c>
      <c r="H61" s="6" t="str">
        <f>VLOOKUP('Customer Info'!A53,'Customer Info'!A53:I553,3,FALSE)</f>
        <v>Shonely</v>
      </c>
      <c r="I61" s="6" t="str">
        <f>VLOOKUP('Customer Info'!A53,'Customer Info'!A53:I552,5,FALSE)</f>
        <v>Jinjiang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567</v>
      </c>
      <c r="R61" s="2" t="s">
        <v>28</v>
      </c>
      <c r="S61" s="9">
        <f t="shared" si="4"/>
        <v>0.05</v>
      </c>
    </row>
    <row r="62" spans="1:19" x14ac:dyDescent="0.25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VLOOKUP('Customer Info'!A54,'Customer Info'!A54:I553,2,FALSE)</f>
        <v>Bill</v>
      </c>
      <c r="H62" s="6" t="str">
        <f>VLOOKUP('Customer Info'!A54,'Customer Info'!A54:I554,3,FALSE)</f>
        <v>Donatelli</v>
      </c>
      <c r="I62" s="6" t="str">
        <f>VLOOKUP('Customer Info'!A54,'Customer Info'!A54:I553,5,FALSE)</f>
        <v>Kamarhati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2045</v>
      </c>
      <c r="R62" s="2" t="s">
        <v>50</v>
      </c>
      <c r="S62" s="9">
        <f t="shared" si="4"/>
        <v>7.0000000000000007E-2</v>
      </c>
    </row>
    <row r="63" spans="1:19" x14ac:dyDescent="0.25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VLOOKUP('Customer Info'!A55,'Customer Info'!A55:I554,2,FALSE)</f>
        <v>Bobby</v>
      </c>
      <c r="H63" s="6" t="str">
        <f>VLOOKUP('Customer Info'!A55,'Customer Info'!A55:I555,3,FALSE)</f>
        <v>Odegard</v>
      </c>
      <c r="I63" s="6" t="str">
        <f>VLOOKUP('Customer Info'!A55,'Customer Info'!A55:I554,5,FALSE)</f>
        <v>Adelaide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151</v>
      </c>
      <c r="R63" s="2" t="s">
        <v>28</v>
      </c>
      <c r="S63" s="9">
        <f t="shared" si="4"/>
        <v>0.02</v>
      </c>
    </row>
    <row r="64" spans="1:19" x14ac:dyDescent="0.25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VLOOKUP('Customer Info'!A56,'Customer Info'!A56:I555,2,FALSE)</f>
        <v>Brad</v>
      </c>
      <c r="H64" s="6" t="str">
        <f>VLOOKUP('Customer Info'!A56,'Customer Info'!A56:I556,3,FALSE)</f>
        <v>Thomas</v>
      </c>
      <c r="I64" s="6" t="str">
        <f>VLOOKUP('Customer Info'!A56,'Customer Info'!A56:I555,5,FALSE)</f>
        <v>Udaipur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381</v>
      </c>
      <c r="R64" s="2" t="s">
        <v>50</v>
      </c>
      <c r="S64" s="9">
        <f t="shared" si="4"/>
        <v>0.05</v>
      </c>
    </row>
    <row r="65" spans="1:19" x14ac:dyDescent="0.25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VLOOKUP('Customer Info'!A57,'Customer Info'!A57:I556,2,FALSE)</f>
        <v>Brad</v>
      </c>
      <c r="H65" s="6" t="str">
        <f>VLOOKUP('Customer Info'!A57,'Customer Info'!A57:I557,3,FALSE)</f>
        <v>Eason</v>
      </c>
      <c r="I65" s="6" t="str">
        <f>VLOOKUP('Customer Info'!A57,'Customer Info'!A57:I556,5,FALSE)</f>
        <v>Oberhausen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1138</v>
      </c>
      <c r="R65" s="2" t="s">
        <v>50</v>
      </c>
      <c r="S65" s="9">
        <f t="shared" si="4"/>
        <v>0.05</v>
      </c>
    </row>
    <row r="66" spans="1:19" x14ac:dyDescent="0.25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VLOOKUP('Customer Info'!A58,'Customer Info'!A58:I557,2,FALSE)</f>
        <v>Brad</v>
      </c>
      <c r="H66" s="6" t="str">
        <f>VLOOKUP('Customer Info'!A58,'Customer Info'!A58:I558,3,FALSE)</f>
        <v>Thomas</v>
      </c>
      <c r="I66" s="6" t="str">
        <f>VLOOKUP('Customer Info'!A58,'Customer Info'!A58:I557,5,FALSE)</f>
        <v>Bochum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1284</v>
      </c>
      <c r="R66" s="2" t="s">
        <v>28</v>
      </c>
      <c r="S66" s="9">
        <f t="shared" si="4"/>
        <v>0.05</v>
      </c>
    </row>
    <row r="67" spans="1:19" x14ac:dyDescent="0.25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VLOOKUP('Customer Info'!A59,'Customer Info'!A59:I558,2,FALSE)</f>
        <v>Brad</v>
      </c>
      <c r="H67" s="6" t="str">
        <f>VLOOKUP('Customer Info'!A59,'Customer Info'!A59:I559,3,FALSE)</f>
        <v>Eason</v>
      </c>
      <c r="I67" s="6" t="str">
        <f>VLOOKUP('Customer Info'!A59,'Customer Info'!A59:I558,5,FALSE)</f>
        <v>Bogor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109</v>
      </c>
      <c r="R67" s="2" t="s">
        <v>50</v>
      </c>
      <c r="S67" s="9">
        <f t="shared" si="4"/>
        <v>0.02</v>
      </c>
    </row>
    <row r="68" spans="1:19" x14ac:dyDescent="0.25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VLOOKUP('Customer Info'!A60,'Customer Info'!A60:I559,2,FALSE)</f>
        <v>Bradley</v>
      </c>
      <c r="H68" s="6" t="str">
        <f>VLOOKUP('Customer Info'!A60,'Customer Info'!A60:I560,3,FALSE)</f>
        <v>Drucker</v>
      </c>
      <c r="I68" s="6" t="str">
        <f>VLOOKUP('Customer Info'!A60,'Customer Info'!A60:I559,5,FALSE)</f>
        <v>Sydney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210</v>
      </c>
      <c r="R68" s="2" t="s">
        <v>28</v>
      </c>
      <c r="S68" s="9">
        <f t="shared" si="4"/>
        <v>0.02</v>
      </c>
    </row>
    <row r="69" spans="1:19" x14ac:dyDescent="0.25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VLOOKUP('Customer Info'!A61,'Customer Info'!A61:I560,2,FALSE)</f>
        <v>Bradley</v>
      </c>
      <c r="H69" s="6" t="str">
        <f>VLOOKUP('Customer Info'!A61,'Customer Info'!A61:I561,3,FALSE)</f>
        <v>Nguyen</v>
      </c>
      <c r="I69" s="6" t="str">
        <f>VLOOKUP('Customer Info'!A61,'Customer Info'!A61:I560,5,FALSE)</f>
        <v>Shenzhen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313</v>
      </c>
      <c r="R69" s="2" t="s">
        <v>50</v>
      </c>
      <c r="S69" s="9">
        <f t="shared" si="4"/>
        <v>0.02</v>
      </c>
    </row>
    <row r="70" spans="1:19" x14ac:dyDescent="0.25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VLOOKUP('Customer Info'!A62,'Customer Info'!A62:I561,2,FALSE)</f>
        <v>Brenda</v>
      </c>
      <c r="H70" s="6" t="str">
        <f>VLOOKUP('Customer Info'!A62,'Customer Info'!A62:I562,3,FALSE)</f>
        <v>Bowman</v>
      </c>
      <c r="I70" s="6" t="str">
        <f>VLOOKUP('Customer Info'!A62,'Customer Info'!A62:I561,5,FALSE)</f>
        <v>Perth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196</v>
      </c>
      <c r="R70" s="2" t="s">
        <v>50</v>
      </c>
      <c r="S70" s="9">
        <f t="shared" si="4"/>
        <v>0.02</v>
      </c>
    </row>
    <row r="71" spans="1:19" x14ac:dyDescent="0.25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VLOOKUP('Customer Info'!A63,'Customer Info'!A63:I562,2,FALSE)</f>
        <v>Brendan</v>
      </c>
      <c r="H71" s="6" t="str">
        <f>VLOOKUP('Customer Info'!A63,'Customer Info'!A63:I563,3,FALSE)</f>
        <v>Murry</v>
      </c>
      <c r="I71" s="6" t="str">
        <f>VLOOKUP('Customer Info'!A63,'Customer Info'!A63:I562,5,FALSE)</f>
        <v>Schwerin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18</v>
      </c>
      <c r="R71" s="2" t="s">
        <v>26</v>
      </c>
      <c r="S71" s="9">
        <f t="shared" si="4"/>
        <v>0.02</v>
      </c>
    </row>
    <row r="72" spans="1:19" x14ac:dyDescent="0.25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VLOOKUP('Customer Info'!A64,'Customer Info'!A64:I563,2,FALSE)</f>
        <v>Brendan</v>
      </c>
      <c r="H72" s="6" t="str">
        <f>VLOOKUP('Customer Info'!A64,'Customer Info'!A64:I564,3,FALSE)</f>
        <v>Dodson</v>
      </c>
      <c r="I72" s="6" t="str">
        <f>VLOOKUP('Customer Info'!A64,'Customer Info'!A64:I563,5,FALSE)</f>
        <v>Adelaide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1473</v>
      </c>
      <c r="R72" s="2" t="s">
        <v>28</v>
      </c>
      <c r="S72" s="9">
        <f t="shared" si="4"/>
        <v>7.0000000000000007E-2</v>
      </c>
    </row>
    <row r="73" spans="1:19" x14ac:dyDescent="0.25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VLOOKUP('Customer Info'!A65,'Customer Info'!A65:I564,2,FALSE)</f>
        <v>Brendan</v>
      </c>
      <c r="H73" s="6" t="str">
        <f>VLOOKUP('Customer Info'!A65,'Customer Info'!A65:I565,3,FALSE)</f>
        <v>Murry</v>
      </c>
      <c r="I73" s="6" t="str">
        <f>VLOOKUP('Customer Info'!A65,'Customer Info'!A65:I564,5,FALSE)</f>
        <v>Brahmapur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213</v>
      </c>
      <c r="R73" s="2" t="s">
        <v>28</v>
      </c>
      <c r="S73" s="9">
        <f t="shared" si="4"/>
        <v>0.02</v>
      </c>
    </row>
    <row r="74" spans="1:19" x14ac:dyDescent="0.25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VLOOKUP('Customer Info'!A66,'Customer Info'!A66:I565,2,FALSE)</f>
        <v>Brian</v>
      </c>
      <c r="H74" s="6" t="str">
        <f>VLOOKUP('Customer Info'!A66,'Customer Info'!A66:I566,3,FALSE)</f>
        <v>Stugart</v>
      </c>
      <c r="I74" s="6" t="str">
        <f>VLOOKUP('Customer Info'!A66,'Customer Info'!A66:I565,5,FALSE)</f>
        <v>Jakarta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128</v>
      </c>
      <c r="R74" s="2" t="s">
        <v>56</v>
      </c>
      <c r="S74" s="9">
        <f t="shared" si="4"/>
        <v>0.02</v>
      </c>
    </row>
    <row r="75" spans="1:19" x14ac:dyDescent="0.25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VLOOKUP('Customer Info'!A67,'Customer Info'!A67:I566,2,FALSE)</f>
        <v>Brian</v>
      </c>
      <c r="H75" s="6" t="str">
        <f>VLOOKUP('Customer Info'!A67,'Customer Info'!A67:I567,3,FALSE)</f>
        <v>Stugart</v>
      </c>
      <c r="I75" s="6" t="str">
        <f>VLOOKUP('Customer Info'!A67,'Customer Info'!A67:I566,5,FALSE)</f>
        <v>Jakarta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8">
        <f t="shared" ref="P75:P138" si="7">N75+O75</f>
        <v>20081</v>
      </c>
      <c r="Q75" s="8">
        <f t="shared" ref="Q75:Q138" si="8">P75-M75</f>
        <v>1727</v>
      </c>
      <c r="R75" s="2" t="s">
        <v>50</v>
      </c>
      <c r="S75" s="9">
        <f t="shared" ref="S75:S138" si="9">VLOOKUP(P75,$T$2:$U$7,2,TRUE)</f>
        <v>0.05</v>
      </c>
    </row>
    <row r="76" spans="1:19" x14ac:dyDescent="0.25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VLOOKUP('Customer Info'!A68,'Customer Info'!A68:I567,2,FALSE)</f>
        <v>Brian</v>
      </c>
      <c r="H76" s="6" t="str">
        <f>VLOOKUP('Customer Info'!A68,'Customer Info'!A68:I568,3,FALSE)</f>
        <v>Dahlen</v>
      </c>
      <c r="I76" s="6" t="str">
        <f>VLOOKUP('Customer Info'!A68,'Customer Info'!A68:I567,5,FALSE)</f>
        <v>Shantou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610</v>
      </c>
      <c r="R76" s="2" t="s">
        <v>28</v>
      </c>
      <c r="S76" s="9">
        <f t="shared" si="9"/>
        <v>0.02</v>
      </c>
    </row>
    <row r="77" spans="1:19" x14ac:dyDescent="0.25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VLOOKUP('Customer Info'!A69,'Customer Info'!A69:I568,2,FALSE)</f>
        <v>Brian</v>
      </c>
      <c r="H77" s="6" t="str">
        <f>VLOOKUP('Customer Info'!A69,'Customer Info'!A69:I569,3,FALSE)</f>
        <v>DeCherney</v>
      </c>
      <c r="I77" s="6" t="str">
        <f>VLOOKUP('Customer Info'!A69,'Customer Info'!A69:I568,5,FALSE)</f>
        <v>Kendari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173</v>
      </c>
      <c r="R77" s="2" t="s">
        <v>50</v>
      </c>
      <c r="S77" s="9">
        <f t="shared" si="9"/>
        <v>0.02</v>
      </c>
    </row>
    <row r="78" spans="1:19" x14ac:dyDescent="0.25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VLOOKUP('Customer Info'!A70,'Customer Info'!A70:I569,2,FALSE)</f>
        <v>Brooke</v>
      </c>
      <c r="H78" s="6" t="str">
        <f>VLOOKUP('Customer Info'!A70,'Customer Info'!A70:I570,3,FALSE)</f>
        <v>Gillingham</v>
      </c>
      <c r="I78" s="6" t="str">
        <f>VLOOKUP('Customer Info'!A70,'Customer Info'!A70:I569,5,FALSE)</f>
        <v>Mysore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85</v>
      </c>
      <c r="R78" s="2" t="s">
        <v>28</v>
      </c>
      <c r="S78" s="9">
        <f t="shared" si="9"/>
        <v>0.02</v>
      </c>
    </row>
    <row r="79" spans="1:19" x14ac:dyDescent="0.25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VLOOKUP('Customer Info'!A71,'Customer Info'!A71:I570,2,FALSE)</f>
        <v>Brooke</v>
      </c>
      <c r="H79" s="6" t="str">
        <f>VLOOKUP('Customer Info'!A71,'Customer Info'!A71:I571,3,FALSE)</f>
        <v>Gillingham</v>
      </c>
      <c r="I79" s="6" t="str">
        <f>VLOOKUP('Customer Info'!A71,'Customer Info'!A71:I570,5,FALSE)</f>
        <v>Sunbury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1732</v>
      </c>
      <c r="R79" s="2" t="s">
        <v>28</v>
      </c>
      <c r="S79" s="9">
        <f t="shared" si="9"/>
        <v>7.0000000000000007E-2</v>
      </c>
    </row>
    <row r="80" spans="1:19" x14ac:dyDescent="0.25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VLOOKUP('Customer Info'!A72,'Customer Info'!A72:I571,2,FALSE)</f>
        <v>Brooke</v>
      </c>
      <c r="H80" s="6" t="str">
        <f>VLOOKUP('Customer Info'!A72,'Customer Info'!A72:I572,3,FALSE)</f>
        <v>Gillingham</v>
      </c>
      <c r="I80" s="6" t="str">
        <f>VLOOKUP('Customer Info'!A72,'Customer Info'!A72:I571,5,FALSE)</f>
        <v>Geraldton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1354</v>
      </c>
      <c r="R80" s="2" t="s">
        <v>28</v>
      </c>
      <c r="S80" s="9">
        <f t="shared" si="9"/>
        <v>0.05</v>
      </c>
    </row>
    <row r="81" spans="1:19" x14ac:dyDescent="0.25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VLOOKUP('Customer Info'!A73,'Customer Info'!A73:I572,2,FALSE)</f>
        <v>Brooke</v>
      </c>
      <c r="H81" s="6" t="str">
        <f>VLOOKUP('Customer Info'!A73,'Customer Info'!A73:I573,3,FALSE)</f>
        <v>Gillingham</v>
      </c>
      <c r="I81" s="6" t="str">
        <f>VLOOKUP('Customer Info'!A73,'Customer Info'!A73:I572,5,FALSE)</f>
        <v>Weimar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872</v>
      </c>
      <c r="R81" s="2" t="s">
        <v>56</v>
      </c>
      <c r="S81" s="9">
        <f t="shared" si="9"/>
        <v>0.05</v>
      </c>
    </row>
    <row r="82" spans="1:19" x14ac:dyDescent="0.25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VLOOKUP('Customer Info'!A74,'Customer Info'!A74:I573,2,FALSE)</f>
        <v>Bruce</v>
      </c>
      <c r="H82" s="6" t="str">
        <f>VLOOKUP('Customer Info'!A74,'Customer Info'!A74:I574,3,FALSE)</f>
        <v>Geld</v>
      </c>
      <c r="I82" s="6" t="str">
        <f>VLOOKUP('Customer Info'!A74,'Customer Info'!A74:I573,5,FALSE)</f>
        <v>Wollongong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342</v>
      </c>
      <c r="R82" s="2" t="s">
        <v>50</v>
      </c>
      <c r="S82" s="9">
        <f t="shared" si="9"/>
        <v>0.02</v>
      </c>
    </row>
    <row r="83" spans="1:19" x14ac:dyDescent="0.25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VLOOKUP('Customer Info'!A75,'Customer Info'!A75:I574,2,FALSE)</f>
        <v>Bryan</v>
      </c>
      <c r="H83" s="6" t="str">
        <f>VLOOKUP('Customer Info'!A75,'Customer Info'!A75:I575,3,FALSE)</f>
        <v>Spruell</v>
      </c>
      <c r="I83" s="6" t="str">
        <f>VLOOKUP('Customer Info'!A75,'Customer Info'!A75:I574,5,FALSE)</f>
        <v>Bekasi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364</v>
      </c>
      <c r="R83" s="2" t="s">
        <v>28</v>
      </c>
      <c r="S83" s="9">
        <f t="shared" si="9"/>
        <v>0.02</v>
      </c>
    </row>
    <row r="84" spans="1:19" x14ac:dyDescent="0.25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VLOOKUP('Customer Info'!A76,'Customer Info'!A76:I575,2,FALSE)</f>
        <v>Bryan</v>
      </c>
      <c r="H84" s="6" t="str">
        <f>VLOOKUP('Customer Info'!A76,'Customer Info'!A76:I576,3,FALSE)</f>
        <v>Davis</v>
      </c>
      <c r="I84" s="6" t="str">
        <f>VLOOKUP('Customer Info'!A76,'Customer Info'!A76:I575,5,FALSE)</f>
        <v>Delhi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196</v>
      </c>
      <c r="R84" s="2" t="s">
        <v>28</v>
      </c>
      <c r="S84" s="9">
        <f t="shared" si="9"/>
        <v>0.05</v>
      </c>
    </row>
    <row r="85" spans="1:19" x14ac:dyDescent="0.25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VLOOKUP('Customer Info'!A77,'Customer Info'!A77:I576,2,FALSE)</f>
        <v>Candace</v>
      </c>
      <c r="H85" s="6" t="str">
        <f>VLOOKUP('Customer Info'!A77,'Customer Info'!A77:I577,3,FALSE)</f>
        <v>McMahon</v>
      </c>
      <c r="I85" s="6" t="str">
        <f>VLOOKUP('Customer Info'!A77,'Customer Info'!A77:I576,5,FALSE)</f>
        <v>Canberra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377</v>
      </c>
      <c r="R85" s="2" t="s">
        <v>28</v>
      </c>
      <c r="S85" s="9">
        <f t="shared" si="9"/>
        <v>0.02</v>
      </c>
    </row>
    <row r="86" spans="1:19" x14ac:dyDescent="0.25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VLOOKUP('Customer Info'!A78,'Customer Info'!A78:I577,2,FALSE)</f>
        <v>Cari</v>
      </c>
      <c r="H86" s="6" t="str">
        <f>VLOOKUP('Customer Info'!A78,'Customer Info'!A78:I578,3,FALSE)</f>
        <v>MacIntyre</v>
      </c>
      <c r="I86" s="6" t="str">
        <f>VLOOKUP('Customer Info'!A78,'Customer Info'!A78:I577,5,FALSE)</f>
        <v>Suzhou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285</v>
      </c>
      <c r="R86" s="2" t="s">
        <v>50</v>
      </c>
      <c r="S86" s="9">
        <f t="shared" si="9"/>
        <v>0.02</v>
      </c>
    </row>
    <row r="87" spans="1:19" x14ac:dyDescent="0.25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VLOOKUP('Customer Info'!A79,'Customer Info'!A79:I578,2,FALSE)</f>
        <v>Cari</v>
      </c>
      <c r="H87" s="6" t="str">
        <f>VLOOKUP('Customer Info'!A79,'Customer Info'!A79:I579,3,FALSE)</f>
        <v>Sayre</v>
      </c>
      <c r="I87" s="6" t="str">
        <f>VLOOKUP('Customer Info'!A79,'Customer Info'!A79:I578,5,FALSE)</f>
        <v>Recklinghausen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143</v>
      </c>
      <c r="R87" s="2" t="s">
        <v>50</v>
      </c>
      <c r="S87" s="9">
        <f t="shared" si="9"/>
        <v>0.02</v>
      </c>
    </row>
    <row r="88" spans="1:19" x14ac:dyDescent="0.25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VLOOKUP('Customer Info'!A80,'Customer Info'!A80:I579,2,FALSE)</f>
        <v>Cari</v>
      </c>
      <c r="H88" s="6" t="str">
        <f>VLOOKUP('Customer Info'!A80,'Customer Info'!A80:I580,3,FALSE)</f>
        <v>Schnelling</v>
      </c>
      <c r="I88" s="6" t="str">
        <f>VLOOKUP('Customer Info'!A80,'Customer Info'!A80:I579,5,FALSE)</f>
        <v>Agra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403</v>
      </c>
      <c r="R88" s="2" t="s">
        <v>50</v>
      </c>
      <c r="S88" s="9">
        <f t="shared" si="9"/>
        <v>0.02</v>
      </c>
    </row>
    <row r="89" spans="1:19" x14ac:dyDescent="0.25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VLOOKUP('Customer Info'!A81,'Customer Info'!A81:I580,2,FALSE)</f>
        <v>Cari</v>
      </c>
      <c r="H89" s="6" t="str">
        <f>VLOOKUP('Customer Info'!A81,'Customer Info'!A81:I581,3,FALSE)</f>
        <v>MacIntyre</v>
      </c>
      <c r="I89" s="6" t="str">
        <f>VLOOKUP('Customer Info'!A81,'Customer Info'!A81:I580,5,FALSE)</f>
        <v>Freiburg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1428</v>
      </c>
      <c r="R89" s="2" t="s">
        <v>28</v>
      </c>
      <c r="S89" s="9">
        <f t="shared" si="9"/>
        <v>0.05</v>
      </c>
    </row>
    <row r="90" spans="1:19" x14ac:dyDescent="0.25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VLOOKUP('Customer Info'!A82,'Customer Info'!A82:I581,2,FALSE)</f>
        <v>Carl</v>
      </c>
      <c r="H90" s="6" t="str">
        <f>VLOOKUP('Customer Info'!A82,'Customer Info'!A82:I582,3,FALSE)</f>
        <v>Weiss</v>
      </c>
      <c r="I90" s="6" t="str">
        <f>VLOOKUP('Customer Info'!A82,'Customer Info'!A82:I581,5,FALSE)</f>
        <v>Tianjin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291</v>
      </c>
      <c r="R90" s="2" t="s">
        <v>56</v>
      </c>
      <c r="S90" s="9">
        <f t="shared" si="9"/>
        <v>0.05</v>
      </c>
    </row>
    <row r="91" spans="1:19" x14ac:dyDescent="0.25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VLOOKUP('Customer Info'!A83,'Customer Info'!A83:I582,2,FALSE)</f>
        <v>Carl</v>
      </c>
      <c r="H91" s="6" t="str">
        <f>VLOOKUP('Customer Info'!A83,'Customer Info'!A83:I583,3,FALSE)</f>
        <v>Weiss</v>
      </c>
      <c r="I91" s="6" t="str">
        <f>VLOOKUP('Customer Info'!A83,'Customer Info'!A83:I582,5,FALSE)</f>
        <v>Delhi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112</v>
      </c>
      <c r="R91" s="2" t="s">
        <v>28</v>
      </c>
      <c r="S91" s="9">
        <f t="shared" si="9"/>
        <v>0.02</v>
      </c>
    </row>
    <row r="92" spans="1:19" x14ac:dyDescent="0.25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VLOOKUP('Customer Info'!A84,'Customer Info'!A84:I583,2,FALSE)</f>
        <v>Carlos</v>
      </c>
      <c r="H92" s="6" t="str">
        <f>VLOOKUP('Customer Info'!A84,'Customer Info'!A84:I584,3,FALSE)</f>
        <v>Soltero</v>
      </c>
      <c r="I92" s="6" t="str">
        <f>VLOOKUP('Customer Info'!A84,'Customer Info'!A84:I583,5,FALSE)</f>
        <v>Wodonga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314</v>
      </c>
      <c r="R92" s="2" t="s">
        <v>28</v>
      </c>
      <c r="S92" s="9">
        <f t="shared" si="9"/>
        <v>0.02</v>
      </c>
    </row>
    <row r="93" spans="1:19" x14ac:dyDescent="0.25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VLOOKUP('Customer Info'!A85,'Customer Info'!A85:I584,2,FALSE)</f>
        <v>Carol</v>
      </c>
      <c r="H93" s="6" t="str">
        <f>VLOOKUP('Customer Info'!A85,'Customer Info'!A85:I585,3,FALSE)</f>
        <v>Triggs</v>
      </c>
      <c r="I93" s="6" t="str">
        <f>VLOOKUP('Customer Info'!A85,'Customer Info'!A85:I584,5,FALSE)</f>
        <v>Durgapur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20</v>
      </c>
      <c r="R93" s="2" t="s">
        <v>26</v>
      </c>
      <c r="S93" s="9">
        <f t="shared" si="9"/>
        <v>0.02</v>
      </c>
    </row>
    <row r="94" spans="1:19" x14ac:dyDescent="0.25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VLOOKUP('Customer Info'!A86,'Customer Info'!A86:I585,2,FALSE)</f>
        <v>Carol</v>
      </c>
      <c r="H94" s="6" t="str">
        <f>VLOOKUP('Customer Info'!A86,'Customer Info'!A86:I586,3,FALSE)</f>
        <v>Adams</v>
      </c>
      <c r="I94" s="6" t="str">
        <f>VLOOKUP('Customer Info'!A86,'Customer Info'!A86:I585,5,FALSE)</f>
        <v>Cairns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7486</v>
      </c>
      <c r="R94" s="2" t="s">
        <v>28</v>
      </c>
      <c r="S94" s="9">
        <f t="shared" si="9"/>
        <v>0.09</v>
      </c>
    </row>
    <row r="95" spans="1:19" x14ac:dyDescent="0.25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VLOOKUP('Customer Info'!A87,'Customer Info'!A87:I586,2,FALSE)</f>
        <v>Caroline</v>
      </c>
      <c r="H95" s="6" t="str">
        <f>VLOOKUP('Customer Info'!A87,'Customer Info'!A87:I587,3,FALSE)</f>
        <v>Jumper</v>
      </c>
      <c r="I95" s="6" t="str">
        <f>VLOOKUP('Customer Info'!A87,'Customer Info'!A87:I586,5,FALSE)</f>
        <v>Xuzhou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341</v>
      </c>
      <c r="R95" s="2" t="s">
        <v>50</v>
      </c>
      <c r="S95" s="9">
        <f t="shared" si="9"/>
        <v>0.02</v>
      </c>
    </row>
    <row r="96" spans="1:19" x14ac:dyDescent="0.25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VLOOKUP('Customer Info'!A88,'Customer Info'!A88:I587,2,FALSE)</f>
        <v>Cassandra</v>
      </c>
      <c r="H96" s="6" t="str">
        <f>VLOOKUP('Customer Info'!A88,'Customer Info'!A88:I588,3,FALSE)</f>
        <v>Brandow</v>
      </c>
      <c r="I96" s="6" t="str">
        <f>VLOOKUP('Customer Info'!A88,'Customer Info'!A88:I587,5,FALSE)</f>
        <v>Hamburg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568</v>
      </c>
      <c r="R96" s="2" t="s">
        <v>28</v>
      </c>
      <c r="S96" s="9">
        <f t="shared" si="9"/>
        <v>0.02</v>
      </c>
    </row>
    <row r="97" spans="1:19" x14ac:dyDescent="0.25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VLOOKUP('Customer Info'!A89,'Customer Info'!A89:I588,2,FALSE)</f>
        <v>Catherine</v>
      </c>
      <c r="H97" s="6" t="str">
        <f>VLOOKUP('Customer Info'!A89,'Customer Info'!A89:I589,3,FALSE)</f>
        <v>Glotzbach</v>
      </c>
      <c r="I97" s="6" t="str">
        <f>VLOOKUP('Customer Info'!A89,'Customer Info'!A89:I588,5,FALSE)</f>
        <v>Bochum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44</v>
      </c>
      <c r="R97" s="2" t="s">
        <v>50</v>
      </c>
      <c r="S97" s="9">
        <f t="shared" si="9"/>
        <v>0.02</v>
      </c>
    </row>
    <row r="98" spans="1:19" x14ac:dyDescent="0.25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VLOOKUP('Customer Info'!A90,'Customer Info'!A90:I589,2,FALSE)</f>
        <v>Cathy</v>
      </c>
      <c r="H98" s="6" t="str">
        <f>VLOOKUP('Customer Info'!A90,'Customer Info'!A90:I590,3,FALSE)</f>
        <v>Hwang</v>
      </c>
      <c r="I98" s="6" t="str">
        <f>VLOOKUP('Customer Info'!A90,'Customer Info'!A90:I589,5,FALSE)</f>
        <v>Trier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2537</v>
      </c>
      <c r="R98" s="2" t="s">
        <v>28</v>
      </c>
      <c r="S98" s="9">
        <f t="shared" si="9"/>
        <v>7.0000000000000007E-2</v>
      </c>
    </row>
    <row r="99" spans="1:19" x14ac:dyDescent="0.25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VLOOKUP('Customer Info'!A91,'Customer Info'!A91:I590,2,FALSE)</f>
        <v>Cathy</v>
      </c>
      <c r="H99" s="6" t="str">
        <f>VLOOKUP('Customer Info'!A91,'Customer Info'!A91:I591,3,FALSE)</f>
        <v>Hwang</v>
      </c>
      <c r="I99" s="6" t="str">
        <f>VLOOKUP('Customer Info'!A91,'Customer Info'!A91:I590,5,FALSE)</f>
        <v>Ballarat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573</v>
      </c>
      <c r="R99" s="2" t="s">
        <v>50</v>
      </c>
      <c r="S99" s="9">
        <f t="shared" si="9"/>
        <v>0.02</v>
      </c>
    </row>
    <row r="100" spans="1:19" x14ac:dyDescent="0.25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VLOOKUP('Customer Info'!A92,'Customer Info'!A92:I591,2,FALSE)</f>
        <v>Charles</v>
      </c>
      <c r="H100" s="6" t="str">
        <f>VLOOKUP('Customer Info'!A92,'Customer Info'!A92:I592,3,FALSE)</f>
        <v>Sheldon</v>
      </c>
      <c r="I100" s="6" t="str">
        <f>VLOOKUP('Customer Info'!A92,'Customer Info'!A92:I591,5,FALSE)</f>
        <v>Jakarta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1487</v>
      </c>
      <c r="R100" s="2" t="s">
        <v>28</v>
      </c>
      <c r="S100" s="9">
        <f t="shared" si="9"/>
        <v>7.0000000000000007E-2</v>
      </c>
    </row>
    <row r="101" spans="1:19" x14ac:dyDescent="0.25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VLOOKUP('Customer Info'!A93,'Customer Info'!A93:I592,2,FALSE)</f>
        <v>Charles</v>
      </c>
      <c r="H101" s="6" t="str">
        <f>VLOOKUP('Customer Info'!A93,'Customer Info'!A93:I593,3,FALSE)</f>
        <v>Sheldon</v>
      </c>
      <c r="I101" s="6" t="str">
        <f>VLOOKUP('Customer Info'!A93,'Customer Info'!A93:I592,5,FALSE)</f>
        <v>Brisbane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544</v>
      </c>
      <c r="R101" s="2" t="s">
        <v>50</v>
      </c>
      <c r="S101" s="9">
        <f t="shared" si="9"/>
        <v>0.05</v>
      </c>
    </row>
    <row r="102" spans="1:19" x14ac:dyDescent="0.25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VLOOKUP('Customer Info'!A94,'Customer Info'!A94:I593,2,FALSE)</f>
        <v>Charlotte</v>
      </c>
      <c r="H102" s="6" t="str">
        <f>VLOOKUP('Customer Info'!A94,'Customer Info'!A94:I594,3,FALSE)</f>
        <v>Melton</v>
      </c>
      <c r="I102" s="6" t="str">
        <f>VLOOKUP('Customer Info'!A94,'Customer Info'!A94:I593,5,FALSE)</f>
        <v>Canberra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332</v>
      </c>
      <c r="R102" s="2" t="s">
        <v>28</v>
      </c>
      <c r="S102" s="9">
        <f t="shared" si="9"/>
        <v>0.02</v>
      </c>
    </row>
    <row r="103" spans="1:19" x14ac:dyDescent="0.25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VLOOKUP('Customer Info'!A95,'Customer Info'!A95:I594,2,FALSE)</f>
        <v>Christina</v>
      </c>
      <c r="H103" s="6" t="str">
        <f>VLOOKUP('Customer Info'!A95,'Customer Info'!A95:I595,3,FALSE)</f>
        <v>VanderZanden</v>
      </c>
      <c r="I103" s="6" t="str">
        <f>VLOOKUP('Customer Info'!A95,'Customer Info'!A95:I594,5,FALSE)</f>
        <v>Gold Coast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86</v>
      </c>
      <c r="R103" s="2" t="s">
        <v>28</v>
      </c>
      <c r="S103" s="9">
        <f t="shared" si="9"/>
        <v>0.02</v>
      </c>
    </row>
    <row r="104" spans="1:19" x14ac:dyDescent="0.25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VLOOKUP('Customer Info'!A96,'Customer Info'!A96:I595,2,FALSE)</f>
        <v>Christine</v>
      </c>
      <c r="H104" s="6" t="str">
        <f>VLOOKUP('Customer Info'!A96,'Customer Info'!A96:I596,3,FALSE)</f>
        <v>Abelman</v>
      </c>
      <c r="I104" s="6" t="str">
        <f>VLOOKUP('Customer Info'!A96,'Customer Info'!A96:I595,5,FALSE)</f>
        <v>Nasik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185</v>
      </c>
      <c r="R104" s="2" t="s">
        <v>28</v>
      </c>
      <c r="S104" s="9">
        <f t="shared" si="9"/>
        <v>0.02</v>
      </c>
    </row>
    <row r="105" spans="1:19" x14ac:dyDescent="0.25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VLOOKUP('Customer Info'!A97,'Customer Info'!A97:I596,2,FALSE)</f>
        <v>Christopher</v>
      </c>
      <c r="H105" s="6" t="str">
        <f>VLOOKUP('Customer Info'!A97,'Customer Info'!A97:I597,3,FALSE)</f>
        <v>Martinez</v>
      </c>
      <c r="I105" s="6" t="str">
        <f>VLOOKUP('Customer Info'!A97,'Customer Info'!A97:I596,5,FALSE)</f>
        <v>Qingdao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324</v>
      </c>
      <c r="R105" s="2" t="s">
        <v>28</v>
      </c>
      <c r="S105" s="9">
        <f t="shared" si="9"/>
        <v>0.05</v>
      </c>
    </row>
    <row r="106" spans="1:19" x14ac:dyDescent="0.25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VLOOKUP('Customer Info'!A98,'Customer Info'!A98:I597,2,FALSE)</f>
        <v>Christy</v>
      </c>
      <c r="H106" s="6" t="str">
        <f>VLOOKUP('Customer Info'!A98,'Customer Info'!A98:I598,3,FALSE)</f>
        <v>Brittain</v>
      </c>
      <c r="I106" s="6" t="str">
        <f>VLOOKUP('Customer Info'!A98,'Customer Info'!A98:I597,5,FALSE)</f>
        <v>Depok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321</v>
      </c>
      <c r="R106" s="2" t="s">
        <v>50</v>
      </c>
      <c r="S106" s="9">
        <f t="shared" si="9"/>
        <v>0.02</v>
      </c>
    </row>
    <row r="107" spans="1:19" x14ac:dyDescent="0.25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VLOOKUP('Customer Info'!A99,'Customer Info'!A99:I598,2,FALSE)</f>
        <v>Christy</v>
      </c>
      <c r="H107" s="6" t="str">
        <f>VLOOKUP('Customer Info'!A99,'Customer Info'!A99:I599,3,FALSE)</f>
        <v>Brittain</v>
      </c>
      <c r="I107" s="6" t="str">
        <f>VLOOKUP('Customer Info'!A99,'Customer Info'!A99:I598,5,FALSE)</f>
        <v>Ajmer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378</v>
      </c>
      <c r="R107" s="2" t="s">
        <v>28</v>
      </c>
      <c r="S107" s="9">
        <f t="shared" si="9"/>
        <v>0.02</v>
      </c>
    </row>
    <row r="108" spans="1:19" x14ac:dyDescent="0.25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VLOOKUP('Customer Info'!A100,'Customer Info'!A100:I599,2,FALSE)</f>
        <v>Cindy</v>
      </c>
      <c r="H108" s="6" t="str">
        <f>VLOOKUP('Customer Info'!A100,'Customer Info'!A100:I600,3,FALSE)</f>
        <v>Schnelling</v>
      </c>
      <c r="I108" s="6" t="str">
        <f>VLOOKUP('Customer Info'!A100,'Customer Info'!A100:I599,5,FALSE)</f>
        <v>Balikpapan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54</v>
      </c>
      <c r="R108" s="2" t="s">
        <v>50</v>
      </c>
      <c r="S108" s="9">
        <f t="shared" si="9"/>
        <v>0.02</v>
      </c>
    </row>
    <row r="109" spans="1:19" x14ac:dyDescent="0.25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VLOOKUP('Customer Info'!A101,'Customer Info'!A101:I600,2,FALSE)</f>
        <v>Claire</v>
      </c>
      <c r="H109" s="6" t="str">
        <f>VLOOKUP('Customer Info'!A101,'Customer Info'!A101:I601,3,FALSE)</f>
        <v>Gute</v>
      </c>
      <c r="I109" s="6" t="str">
        <f>VLOOKUP('Customer Info'!A101,'Customer Info'!A101:I600,5,FALSE)</f>
        <v>Shenzhen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906</v>
      </c>
      <c r="R109" s="2" t="s">
        <v>26</v>
      </c>
      <c r="S109" s="9">
        <f t="shared" si="9"/>
        <v>0.05</v>
      </c>
    </row>
    <row r="110" spans="1:19" x14ac:dyDescent="0.25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VLOOKUP('Customer Info'!A102,'Customer Info'!A102:I601,2,FALSE)</f>
        <v>Claire</v>
      </c>
      <c r="H110" s="6" t="str">
        <f>VLOOKUP('Customer Info'!A102,'Customer Info'!A102:I602,3,FALSE)</f>
        <v>Gute</v>
      </c>
      <c r="I110" s="6" t="str">
        <f>VLOOKUP('Customer Info'!A102,'Customer Info'!A102:I601,5,FALSE)</f>
        <v>Worms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414</v>
      </c>
      <c r="R110" s="2" t="s">
        <v>28</v>
      </c>
      <c r="S110" s="9">
        <f t="shared" si="9"/>
        <v>0.05</v>
      </c>
    </row>
    <row r="111" spans="1:19" x14ac:dyDescent="0.25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VLOOKUP('Customer Info'!A103,'Customer Info'!A103:I602,2,FALSE)</f>
        <v>Claudia</v>
      </c>
      <c r="H111" s="6" t="str">
        <f>VLOOKUP('Customer Info'!A103,'Customer Info'!A103:I603,3,FALSE)</f>
        <v>Bergmann</v>
      </c>
      <c r="I111" s="6" t="str">
        <f>VLOOKUP('Customer Info'!A103,'Customer Info'!A103:I602,5,FALSE)</f>
        <v>Aschaffenburg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2000</v>
      </c>
      <c r="R111" s="2" t="s">
        <v>28</v>
      </c>
      <c r="S111" s="9">
        <f t="shared" si="9"/>
        <v>0.05</v>
      </c>
    </row>
    <row r="112" spans="1:19" x14ac:dyDescent="0.25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VLOOKUP('Customer Info'!A104,'Customer Info'!A104:I603,2,FALSE)</f>
        <v>Clay</v>
      </c>
      <c r="H112" s="6" t="str">
        <f>VLOOKUP('Customer Info'!A104,'Customer Info'!A104:I604,3,FALSE)</f>
        <v>Cheatham</v>
      </c>
      <c r="I112" s="6" t="str">
        <f>VLOOKUP('Customer Info'!A104,'Customer Info'!A104:I603,5,FALSE)</f>
        <v>Freiburg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1776</v>
      </c>
      <c r="R112" s="2" t="s">
        <v>28</v>
      </c>
      <c r="S112" s="9">
        <f t="shared" si="9"/>
        <v>7.0000000000000007E-2</v>
      </c>
    </row>
    <row r="113" spans="1:19" x14ac:dyDescent="0.25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VLOOKUP('Customer Info'!A105,'Customer Info'!A105:I604,2,FALSE)</f>
        <v>Corey</v>
      </c>
      <c r="H113" s="6" t="str">
        <f>VLOOKUP('Customer Info'!A105,'Customer Info'!A105:I605,3,FALSE)</f>
        <v>Lock</v>
      </c>
      <c r="I113" s="6" t="str">
        <f>VLOOKUP('Customer Info'!A105,'Customer Info'!A105:I604,5,FALSE)</f>
        <v>Geelong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251</v>
      </c>
      <c r="R113" s="2" t="s">
        <v>50</v>
      </c>
      <c r="S113" s="9">
        <f t="shared" si="9"/>
        <v>0.02</v>
      </c>
    </row>
    <row r="114" spans="1:19" x14ac:dyDescent="0.25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VLOOKUP('Customer Info'!A106,'Customer Info'!A106:I605,2,FALSE)</f>
        <v>Corinna</v>
      </c>
      <c r="H114" s="6" t="str">
        <f>VLOOKUP('Customer Info'!A106,'Customer Info'!A106:I606,3,FALSE)</f>
        <v>Mitchell</v>
      </c>
      <c r="I114" s="6" t="str">
        <f>VLOOKUP('Customer Info'!A106,'Customer Info'!A106:I605,5,FALSE)</f>
        <v>Augsburg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42</v>
      </c>
      <c r="R114" s="2" t="s">
        <v>28</v>
      </c>
      <c r="S114" s="9">
        <f t="shared" si="9"/>
        <v>0.02</v>
      </c>
    </row>
    <row r="115" spans="1:19" x14ac:dyDescent="0.25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VLOOKUP('Customer Info'!A107,'Customer Info'!A107:I606,2,FALSE)</f>
        <v>Craig</v>
      </c>
      <c r="H115" s="6" t="str">
        <f>VLOOKUP('Customer Info'!A107,'Customer Info'!A107:I607,3,FALSE)</f>
        <v>Leslie</v>
      </c>
      <c r="I115" s="6" t="str">
        <f>VLOOKUP('Customer Info'!A107,'Customer Info'!A107:I606,5,FALSE)</f>
        <v>Wetzlar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48</v>
      </c>
      <c r="R115" s="2" t="s">
        <v>28</v>
      </c>
      <c r="S115" s="9">
        <f t="shared" si="9"/>
        <v>0.02</v>
      </c>
    </row>
    <row r="116" spans="1:19" x14ac:dyDescent="0.25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VLOOKUP('Customer Info'!A108,'Customer Info'!A108:I607,2,FALSE)</f>
        <v>Craig</v>
      </c>
      <c r="H116" s="6" t="str">
        <f>VLOOKUP('Customer Info'!A108,'Customer Info'!A108:I608,3,FALSE)</f>
        <v>Carroll</v>
      </c>
      <c r="I116" s="6" t="str">
        <f>VLOOKUP('Customer Info'!A108,'Customer Info'!A108:I607,5,FALSE)</f>
        <v>Suzhou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981</v>
      </c>
      <c r="R116" s="2" t="s">
        <v>50</v>
      </c>
      <c r="S116" s="9">
        <f t="shared" si="9"/>
        <v>0.05</v>
      </c>
    </row>
    <row r="117" spans="1:19" x14ac:dyDescent="0.25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VLOOKUP('Customer Info'!A109,'Customer Info'!A109:I608,2,FALSE)</f>
        <v>Craig</v>
      </c>
      <c r="H117" s="6" t="str">
        <f>VLOOKUP('Customer Info'!A109,'Customer Info'!A109:I609,3,FALSE)</f>
        <v>Yedwab</v>
      </c>
      <c r="I117" s="6" t="str">
        <f>VLOOKUP('Customer Info'!A109,'Customer Info'!A109:I608,5,FALSE)</f>
        <v>Aligarh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148</v>
      </c>
      <c r="R117" s="2" t="s">
        <v>28</v>
      </c>
      <c r="S117" s="9">
        <f t="shared" si="9"/>
        <v>0.02</v>
      </c>
    </row>
    <row r="118" spans="1:19" x14ac:dyDescent="0.25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VLOOKUP('Customer Info'!A110,'Customer Info'!A110:I609,2,FALSE)</f>
        <v>Craig</v>
      </c>
      <c r="H118" s="6" t="str">
        <f>VLOOKUP('Customer Info'!A110,'Customer Info'!A110:I610,3,FALSE)</f>
        <v>Carroll</v>
      </c>
      <c r="I118" s="6" t="str">
        <f>VLOOKUP('Customer Info'!A110,'Customer Info'!A110:I609,5,FALSE)</f>
        <v>Augsburg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183</v>
      </c>
      <c r="R118" s="2" t="s">
        <v>28</v>
      </c>
      <c r="S118" s="9">
        <f t="shared" si="9"/>
        <v>0.02</v>
      </c>
    </row>
    <row r="119" spans="1:19" x14ac:dyDescent="0.25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VLOOKUP('Customer Info'!A111,'Customer Info'!A111:I610,2,FALSE)</f>
        <v>Craig</v>
      </c>
      <c r="H119" s="6" t="str">
        <f>VLOOKUP('Customer Info'!A111,'Customer Info'!A111:I611,3,FALSE)</f>
        <v>Carreira</v>
      </c>
      <c r="I119" s="6" t="str">
        <f>VLOOKUP('Customer Info'!A111,'Customer Info'!A111:I610,5,FALSE)</f>
        <v>Worms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2201</v>
      </c>
      <c r="R119" s="2" t="s">
        <v>28</v>
      </c>
      <c r="S119" s="9">
        <f t="shared" si="9"/>
        <v>0.05</v>
      </c>
    </row>
    <row r="120" spans="1:19" x14ac:dyDescent="0.25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VLOOKUP('Customer Info'!A112,'Customer Info'!A112:I611,2,FALSE)</f>
        <v>Cynthia</v>
      </c>
      <c r="H120" s="6" t="str">
        <f>VLOOKUP('Customer Info'!A112,'Customer Info'!A112:I612,3,FALSE)</f>
        <v>Delaney</v>
      </c>
      <c r="I120" s="6" t="str">
        <f>VLOOKUP('Customer Info'!A112,'Customer Info'!A112:I611,5,FALSE)</f>
        <v>Wodonga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12</v>
      </c>
      <c r="R120" s="2" t="s">
        <v>50</v>
      </c>
      <c r="S120" s="9">
        <f t="shared" si="9"/>
        <v>0.02</v>
      </c>
    </row>
    <row r="121" spans="1:19" x14ac:dyDescent="0.25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VLOOKUP('Customer Info'!A113,'Customer Info'!A113:I612,2,FALSE)</f>
        <v>Cynthia</v>
      </c>
      <c r="H121" s="6" t="str">
        <f>VLOOKUP('Customer Info'!A113,'Customer Info'!A113:I613,3,FALSE)</f>
        <v>Delaney</v>
      </c>
      <c r="I121" s="6" t="str">
        <f>VLOOKUP('Customer Info'!A113,'Customer Info'!A113:I612,5,FALSE)</f>
        <v>Gold Coast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55</v>
      </c>
      <c r="R121" s="2" t="s">
        <v>28</v>
      </c>
      <c r="S121" s="9">
        <f t="shared" si="9"/>
        <v>0.02</v>
      </c>
    </row>
    <row r="122" spans="1:19" x14ac:dyDescent="0.25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VLOOKUP('Customer Info'!A114,'Customer Info'!A114:I613,2,FALSE)</f>
        <v>Cyra</v>
      </c>
      <c r="H122" s="6" t="str">
        <f>VLOOKUP('Customer Info'!A114,'Customer Info'!A114:I614,3,FALSE)</f>
        <v>Reiten</v>
      </c>
      <c r="I122" s="6" t="str">
        <f>VLOOKUP('Customer Info'!A114,'Customer Info'!A114:I613,5,FALSE)</f>
        <v>Samarinda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147</v>
      </c>
      <c r="R122" s="2" t="s">
        <v>28</v>
      </c>
      <c r="S122" s="9">
        <f t="shared" si="9"/>
        <v>0.02</v>
      </c>
    </row>
    <row r="123" spans="1:19" x14ac:dyDescent="0.25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VLOOKUP('Customer Info'!A115,'Customer Info'!A115:I614,2,FALSE)</f>
        <v>Cyra</v>
      </c>
      <c r="H123" s="6" t="str">
        <f>VLOOKUP('Customer Info'!A115,'Customer Info'!A115:I615,3,FALSE)</f>
        <v>Reiten</v>
      </c>
      <c r="I123" s="6" t="str">
        <f>VLOOKUP('Customer Info'!A115,'Customer Info'!A115:I614,5,FALSE)</f>
        <v>Srinagar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240</v>
      </c>
      <c r="R123" s="2" t="s">
        <v>26</v>
      </c>
      <c r="S123" s="9">
        <f t="shared" si="9"/>
        <v>0.02</v>
      </c>
    </row>
    <row r="124" spans="1:19" x14ac:dyDescent="0.25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VLOOKUP('Customer Info'!A116,'Customer Info'!A116:I615,2,FALSE)</f>
        <v>Damala</v>
      </c>
      <c r="H124" s="6" t="str">
        <f>VLOOKUP('Customer Info'!A116,'Customer Info'!A116:I616,3,FALSE)</f>
        <v>Kotsonis</v>
      </c>
      <c r="I124" s="6" t="str">
        <f>VLOOKUP('Customer Info'!A116,'Customer Info'!A116:I615,5,FALSE)</f>
        <v>Berlin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281</v>
      </c>
      <c r="R124" s="2" t="s">
        <v>26</v>
      </c>
      <c r="S124" s="9">
        <f t="shared" si="9"/>
        <v>0.02</v>
      </c>
    </row>
    <row r="125" spans="1:19" x14ac:dyDescent="0.25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VLOOKUP('Customer Info'!A117,'Customer Info'!A117:I616,2,FALSE)</f>
        <v>Dan</v>
      </c>
      <c r="H125" s="6" t="str">
        <f>VLOOKUP('Customer Info'!A117,'Customer Info'!A117:I617,3,FALSE)</f>
        <v>Campbell</v>
      </c>
      <c r="I125" s="6" t="str">
        <f>VLOOKUP('Customer Info'!A117,'Customer Info'!A117:I616,5,FALSE)</f>
        <v>Perth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235</v>
      </c>
      <c r="R125" s="2" t="s">
        <v>28</v>
      </c>
      <c r="S125" s="9">
        <f t="shared" si="9"/>
        <v>0.02</v>
      </c>
    </row>
    <row r="126" spans="1:19" x14ac:dyDescent="0.25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VLOOKUP('Customer Info'!A118,'Customer Info'!A118:I617,2,FALSE)</f>
        <v>Dana</v>
      </c>
      <c r="H126" s="6" t="str">
        <f>VLOOKUP('Customer Info'!A118,'Customer Info'!A118:I618,3,FALSE)</f>
        <v>Kaydos</v>
      </c>
      <c r="I126" s="6" t="str">
        <f>VLOOKUP('Customer Info'!A118,'Customer Info'!A118:I617,5,FALSE)</f>
        <v>Nagercoil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1520</v>
      </c>
      <c r="R126" s="2" t="s">
        <v>28</v>
      </c>
      <c r="S126" s="9">
        <f t="shared" si="9"/>
        <v>7.0000000000000007E-2</v>
      </c>
    </row>
    <row r="127" spans="1:19" x14ac:dyDescent="0.25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VLOOKUP('Customer Info'!A119,'Customer Info'!A119:I618,2,FALSE)</f>
        <v>Daniel</v>
      </c>
      <c r="H127" s="6" t="str">
        <f>VLOOKUP('Customer Info'!A119,'Customer Info'!A119:I619,3,FALSE)</f>
        <v>Raglin</v>
      </c>
      <c r="I127" s="6" t="str">
        <f>VLOOKUP('Customer Info'!A119,'Customer Info'!A119:I618,5,FALSE)</f>
        <v>Gold Coast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272</v>
      </c>
      <c r="R127" s="2" t="s">
        <v>28</v>
      </c>
      <c r="S127" s="9">
        <f t="shared" si="9"/>
        <v>0.02</v>
      </c>
    </row>
    <row r="128" spans="1:19" x14ac:dyDescent="0.25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VLOOKUP('Customer Info'!A120,'Customer Info'!A120:I619,2,FALSE)</f>
        <v>Darren</v>
      </c>
      <c r="H128" s="6" t="str">
        <f>VLOOKUP('Customer Info'!A120,'Customer Info'!A120:I620,3,FALSE)</f>
        <v>Koutras</v>
      </c>
      <c r="I128" s="6" t="str">
        <f>VLOOKUP('Customer Info'!A120,'Customer Info'!A120:I619,5,FALSE)</f>
        <v>Pune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5160</v>
      </c>
      <c r="R128" s="2" t="s">
        <v>26</v>
      </c>
      <c r="S128" s="9">
        <f t="shared" si="9"/>
        <v>0.09</v>
      </c>
    </row>
    <row r="129" spans="1:19" x14ac:dyDescent="0.25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VLOOKUP('Customer Info'!A121,'Customer Info'!A121:I620,2,FALSE)</f>
        <v>Darren</v>
      </c>
      <c r="H129" s="6" t="str">
        <f>VLOOKUP('Customer Info'!A121,'Customer Info'!A121:I621,3,FALSE)</f>
        <v>Budd</v>
      </c>
      <c r="I129" s="6" t="str">
        <f>VLOOKUP('Customer Info'!A121,'Customer Info'!A121:I620,5,FALSE)</f>
        <v>Jakarta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126</v>
      </c>
      <c r="R129" s="2" t="s">
        <v>50</v>
      </c>
      <c r="S129" s="9">
        <f t="shared" si="9"/>
        <v>0.02</v>
      </c>
    </row>
    <row r="130" spans="1:19" x14ac:dyDescent="0.25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VLOOKUP('Customer Info'!A122,'Customer Info'!A122:I621,2,FALSE)</f>
        <v>Darren</v>
      </c>
      <c r="H130" s="6" t="str">
        <f>VLOOKUP('Customer Info'!A122,'Customer Info'!A122:I622,3,FALSE)</f>
        <v>Budd</v>
      </c>
      <c r="I130" s="6" t="str">
        <f>VLOOKUP('Customer Info'!A122,'Customer Info'!A122:I621,5,FALSE)</f>
        <v>Regensburg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67</v>
      </c>
      <c r="R130" s="2" t="s">
        <v>28</v>
      </c>
      <c r="S130" s="9">
        <f t="shared" si="9"/>
        <v>0.02</v>
      </c>
    </row>
    <row r="131" spans="1:19" x14ac:dyDescent="0.25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VLOOKUP('Customer Info'!A123,'Customer Info'!A123:I622,2,FALSE)</f>
        <v>Darren</v>
      </c>
      <c r="H131" s="6" t="str">
        <f>VLOOKUP('Customer Info'!A123,'Customer Info'!A123:I623,3,FALSE)</f>
        <v>Powers</v>
      </c>
      <c r="I131" s="6" t="str">
        <f>VLOOKUP('Customer Info'!A123,'Customer Info'!A123:I622,5,FALSE)</f>
        <v>Depok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84</v>
      </c>
      <c r="R131" s="2" t="s">
        <v>50</v>
      </c>
      <c r="S131" s="9">
        <f t="shared" si="9"/>
        <v>0.02</v>
      </c>
    </row>
    <row r="132" spans="1:19" x14ac:dyDescent="0.25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VLOOKUP('Customer Info'!A124,'Customer Info'!A124:I623,2,FALSE)</f>
        <v>Darren</v>
      </c>
      <c r="H132" s="6" t="str">
        <f>VLOOKUP('Customer Info'!A124,'Customer Info'!A124:I624,3,FALSE)</f>
        <v>Budd</v>
      </c>
      <c r="I132" s="6" t="str">
        <f>VLOOKUP('Customer Info'!A124,'Customer Info'!A124:I623,5,FALSE)</f>
        <v>Perth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269</v>
      </c>
      <c r="R132" s="2" t="s">
        <v>56</v>
      </c>
      <c r="S132" s="9">
        <f t="shared" si="9"/>
        <v>0.02</v>
      </c>
    </row>
    <row r="133" spans="1:19" x14ac:dyDescent="0.25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VLOOKUP('Customer Info'!A125,'Customer Info'!A125:I624,2,FALSE)</f>
        <v>Darrin</v>
      </c>
      <c r="H133" s="6" t="str">
        <f>VLOOKUP('Customer Info'!A125,'Customer Info'!A125:I625,3,FALSE)</f>
        <v>Sayre</v>
      </c>
      <c r="I133" s="6" t="str">
        <f>VLOOKUP('Customer Info'!A125,'Customer Info'!A125:I624,5,FALSE)</f>
        <v>Duisburg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281</v>
      </c>
      <c r="R133" s="2" t="s">
        <v>28</v>
      </c>
      <c r="S133" s="9">
        <f t="shared" si="9"/>
        <v>0.05</v>
      </c>
    </row>
    <row r="134" spans="1:19" x14ac:dyDescent="0.25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VLOOKUP('Customer Info'!A126,'Customer Info'!A126:I625,2,FALSE)</f>
        <v>Darrin</v>
      </c>
      <c r="H134" s="6" t="str">
        <f>VLOOKUP('Customer Info'!A126,'Customer Info'!A126:I626,3,FALSE)</f>
        <v>Martin</v>
      </c>
      <c r="I134" s="6" t="str">
        <f>VLOOKUP('Customer Info'!A126,'Customer Info'!A126:I625,5,FALSE)</f>
        <v>Berlin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404</v>
      </c>
      <c r="R134" s="2" t="s">
        <v>50</v>
      </c>
      <c r="S134" s="9">
        <f t="shared" si="9"/>
        <v>0.05</v>
      </c>
    </row>
    <row r="135" spans="1:19" x14ac:dyDescent="0.25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VLOOKUP('Customer Info'!A127,'Customer Info'!A127:I626,2,FALSE)</f>
        <v>Dave</v>
      </c>
      <c r="H135" s="6" t="str">
        <f>VLOOKUP('Customer Info'!A127,'Customer Info'!A127:I627,3,FALSE)</f>
        <v>Hallsten</v>
      </c>
      <c r="I135" s="6" t="str">
        <f>VLOOKUP('Customer Info'!A127,'Customer Info'!A127:I626,5,FALSE)</f>
        <v>Melbourne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153</v>
      </c>
      <c r="R135" s="2" t="s">
        <v>28</v>
      </c>
      <c r="S135" s="9">
        <f t="shared" si="9"/>
        <v>0.02</v>
      </c>
    </row>
    <row r="136" spans="1:19" x14ac:dyDescent="0.25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VLOOKUP('Customer Info'!A128,'Customer Info'!A128:I627,2,FALSE)</f>
        <v>Dave</v>
      </c>
      <c r="H136" s="6" t="str">
        <f>VLOOKUP('Customer Info'!A128,'Customer Info'!A128:I628,3,FALSE)</f>
        <v>Poirier</v>
      </c>
      <c r="I136" s="6" t="str">
        <f>VLOOKUP('Customer Info'!A128,'Customer Info'!A128:I627,5,FALSE)</f>
        <v>Suizhou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435</v>
      </c>
      <c r="R136" s="2" t="s">
        <v>28</v>
      </c>
      <c r="S136" s="9">
        <f t="shared" si="9"/>
        <v>0.05</v>
      </c>
    </row>
    <row r="137" spans="1:19" x14ac:dyDescent="0.25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VLOOKUP('Customer Info'!A129,'Customer Info'!A129:I628,2,FALSE)</f>
        <v>Dave</v>
      </c>
      <c r="H137" s="6" t="str">
        <f>VLOOKUP('Customer Info'!A129,'Customer Info'!A129:I629,3,FALSE)</f>
        <v>Poirier</v>
      </c>
      <c r="I137" s="6" t="str">
        <f>VLOOKUP('Customer Info'!A129,'Customer Info'!A129:I628,5,FALSE)</f>
        <v>Changchun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222</v>
      </c>
      <c r="R137" s="2" t="s">
        <v>28</v>
      </c>
      <c r="S137" s="9">
        <f t="shared" si="9"/>
        <v>0.02</v>
      </c>
    </row>
    <row r="138" spans="1:19" x14ac:dyDescent="0.25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VLOOKUP('Customer Info'!A130,'Customer Info'!A130:I629,2,FALSE)</f>
        <v>Dave</v>
      </c>
      <c r="H138" s="6" t="str">
        <f>VLOOKUP('Customer Info'!A130,'Customer Info'!A130:I630,3,FALSE)</f>
        <v>Hallsten</v>
      </c>
      <c r="I138" s="6" t="str">
        <f>VLOOKUP('Customer Info'!A130,'Customer Info'!A130:I629,5,FALSE)</f>
        <v>Coimbatore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173</v>
      </c>
      <c r="R138" s="2" t="s">
        <v>50</v>
      </c>
      <c r="S138" s="9">
        <f t="shared" si="9"/>
        <v>0.02</v>
      </c>
    </row>
    <row r="139" spans="1:19" x14ac:dyDescent="0.25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VLOOKUP('Customer Info'!A131,'Customer Info'!A131:I630,2,FALSE)</f>
        <v>David</v>
      </c>
      <c r="H139" s="6" t="str">
        <f>VLOOKUP('Customer Info'!A131,'Customer Info'!A131:I631,3,FALSE)</f>
        <v>Smith</v>
      </c>
      <c r="I139" s="6" t="str">
        <f>VLOOKUP('Customer Info'!A131,'Customer Info'!A131:I630,5,FALSE)</f>
        <v>Surat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8">
        <f t="shared" ref="P139:P202" si="12">N139+O139</f>
        <v>2712</v>
      </c>
      <c r="Q139" s="8">
        <f t="shared" ref="Q139:Q202" si="13">P139-M139</f>
        <v>348</v>
      </c>
      <c r="R139" s="2" t="s">
        <v>28</v>
      </c>
      <c r="S139" s="9">
        <f t="shared" ref="S139:S202" si="14">VLOOKUP(P139,$T$2:$U$7,2,TRUE)</f>
        <v>0.02</v>
      </c>
    </row>
    <row r="140" spans="1:19" x14ac:dyDescent="0.25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VLOOKUP('Customer Info'!A132,'Customer Info'!A132:I631,2,FALSE)</f>
        <v>David</v>
      </c>
      <c r="H140" s="6" t="str">
        <f>VLOOKUP('Customer Info'!A132,'Customer Info'!A132:I632,3,FALSE)</f>
        <v>Kendrick</v>
      </c>
      <c r="I140" s="6" t="str">
        <f>VLOOKUP('Customer Info'!A132,'Customer Info'!A132:I631,5,FALSE)</f>
        <v>Kunming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351</v>
      </c>
      <c r="R140" s="2" t="s">
        <v>50</v>
      </c>
      <c r="S140" s="9">
        <f t="shared" si="14"/>
        <v>0.05</v>
      </c>
    </row>
    <row r="141" spans="1:19" x14ac:dyDescent="0.25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VLOOKUP('Customer Info'!A133,'Customer Info'!A133:I632,2,FALSE)</f>
        <v>David</v>
      </c>
      <c r="H141" s="6" t="str">
        <f>VLOOKUP('Customer Info'!A133,'Customer Info'!A133:I633,3,FALSE)</f>
        <v>Philippe</v>
      </c>
      <c r="I141" s="6" t="str">
        <f>VLOOKUP('Customer Info'!A133,'Customer Info'!A133:I632,5,FALSE)</f>
        <v>Hamburg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746</v>
      </c>
      <c r="R141" s="2" t="s">
        <v>28</v>
      </c>
      <c r="S141" s="9">
        <f t="shared" si="14"/>
        <v>0.05</v>
      </c>
    </row>
    <row r="142" spans="1:19" x14ac:dyDescent="0.25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VLOOKUP('Customer Info'!A134,'Customer Info'!A134:I633,2,FALSE)</f>
        <v>Dean</v>
      </c>
      <c r="H142" s="6" t="str">
        <f>VLOOKUP('Customer Info'!A134,'Customer Info'!A134:I634,3,FALSE)</f>
        <v>Katz</v>
      </c>
      <c r="I142" s="6" t="str">
        <f>VLOOKUP('Customer Info'!A134,'Customer Info'!A134:I633,5,FALSE)</f>
        <v>Changzhou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174</v>
      </c>
      <c r="R142" s="2" t="s">
        <v>50</v>
      </c>
      <c r="S142" s="9">
        <f t="shared" si="14"/>
        <v>0.02</v>
      </c>
    </row>
    <row r="143" spans="1:19" x14ac:dyDescent="0.25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VLOOKUP('Customer Info'!A135,'Customer Info'!A135:I634,2,FALSE)</f>
        <v>Deanra</v>
      </c>
      <c r="H143" s="6" t="str">
        <f>VLOOKUP('Customer Info'!A135,'Customer Info'!A135:I635,3,FALSE)</f>
        <v>Eno</v>
      </c>
      <c r="I143" s="6" t="str">
        <f>VLOOKUP('Customer Info'!A135,'Customer Info'!A135:I634,5,FALSE)</f>
        <v>Langen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1038</v>
      </c>
      <c r="R143" s="2" t="s">
        <v>28</v>
      </c>
      <c r="S143" s="9">
        <f t="shared" si="14"/>
        <v>7.0000000000000007E-2</v>
      </c>
    </row>
    <row r="144" spans="1:19" x14ac:dyDescent="0.25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VLOOKUP('Customer Info'!A136,'Customer Info'!A136:I635,2,FALSE)</f>
        <v>Debra</v>
      </c>
      <c r="H144" s="6" t="str">
        <f>VLOOKUP('Customer Info'!A136,'Customer Info'!A136:I636,3,FALSE)</f>
        <v>Catini</v>
      </c>
      <c r="I144" s="6" t="str">
        <f>VLOOKUP('Customer Info'!A136,'Customer Info'!A136:I635,5,FALSE)</f>
        <v>Zhengzhou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1903</v>
      </c>
      <c r="R144" s="2" t="s">
        <v>26</v>
      </c>
      <c r="S144" s="9">
        <f t="shared" si="14"/>
        <v>7.0000000000000007E-2</v>
      </c>
    </row>
    <row r="145" spans="1:19" x14ac:dyDescent="0.25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VLOOKUP('Customer Info'!A137,'Customer Info'!A137:I636,2,FALSE)</f>
        <v>Debra</v>
      </c>
      <c r="H145" s="6" t="str">
        <f>VLOOKUP('Customer Info'!A137,'Customer Info'!A137:I637,3,FALSE)</f>
        <v>Catini</v>
      </c>
      <c r="I145" s="6" t="str">
        <f>VLOOKUP('Customer Info'!A137,'Customer Info'!A137:I636,5,FALSE)</f>
        <v>Brisbane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761</v>
      </c>
      <c r="R145" s="2" t="s">
        <v>28</v>
      </c>
      <c r="S145" s="9">
        <f t="shared" si="14"/>
        <v>0.05</v>
      </c>
    </row>
    <row r="146" spans="1:19" x14ac:dyDescent="0.25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VLOOKUP('Customer Info'!A138,'Customer Info'!A138:I637,2,FALSE)</f>
        <v>Deirdre</v>
      </c>
      <c r="H146" s="6" t="str">
        <f>VLOOKUP('Customer Info'!A138,'Customer Info'!A138:I638,3,FALSE)</f>
        <v>Greer</v>
      </c>
      <c r="I146" s="6" t="str">
        <f>VLOOKUP('Customer Info'!A138,'Customer Info'!A138:I637,5,FALSE)</f>
        <v>Perth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267</v>
      </c>
      <c r="R146" s="2" t="s">
        <v>28</v>
      </c>
      <c r="S146" s="9">
        <f t="shared" si="14"/>
        <v>0.02</v>
      </c>
    </row>
    <row r="147" spans="1:19" x14ac:dyDescent="0.25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VLOOKUP('Customer Info'!A139,'Customer Info'!A139:I638,2,FALSE)</f>
        <v>Deirdre</v>
      </c>
      <c r="H147" s="6" t="str">
        <f>VLOOKUP('Customer Info'!A139,'Customer Info'!A139:I639,3,FALSE)</f>
        <v>Greer</v>
      </c>
      <c r="I147" s="6" t="str">
        <f>VLOOKUP('Customer Info'!A139,'Customer Info'!A139:I638,5,FALSE)</f>
        <v>Bandung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297</v>
      </c>
      <c r="R147" s="2" t="s">
        <v>50</v>
      </c>
      <c r="S147" s="9">
        <f t="shared" si="14"/>
        <v>0.05</v>
      </c>
    </row>
    <row r="148" spans="1:19" x14ac:dyDescent="0.25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VLOOKUP('Customer Info'!A140,'Customer Info'!A140:I639,2,FALSE)</f>
        <v>Delfina</v>
      </c>
      <c r="H148" s="6" t="str">
        <f>VLOOKUP('Customer Info'!A140,'Customer Info'!A140:I640,3,FALSE)</f>
        <v>Latchford</v>
      </c>
      <c r="I148" s="6" t="str">
        <f>VLOOKUP('Customer Info'!A140,'Customer Info'!A140:I639,5,FALSE)</f>
        <v>Yogyakarta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1825</v>
      </c>
      <c r="R148" s="2" t="s">
        <v>26</v>
      </c>
      <c r="S148" s="9">
        <f t="shared" si="14"/>
        <v>7.0000000000000007E-2</v>
      </c>
    </row>
    <row r="149" spans="1:19" x14ac:dyDescent="0.25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VLOOKUP('Customer Info'!A141,'Customer Info'!A141:I640,2,FALSE)</f>
        <v>Denise</v>
      </c>
      <c r="H149" s="6" t="str">
        <f>VLOOKUP('Customer Info'!A141,'Customer Info'!A141:I641,3,FALSE)</f>
        <v>Leinenbach</v>
      </c>
      <c r="I149" s="6" t="str">
        <f>VLOOKUP('Customer Info'!A141,'Customer Info'!A141:I640,5,FALSE)</f>
        <v>Bhiwandi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197</v>
      </c>
      <c r="R149" s="2" t="s">
        <v>28</v>
      </c>
      <c r="S149" s="9">
        <f t="shared" si="14"/>
        <v>0.05</v>
      </c>
    </row>
    <row r="150" spans="1:19" x14ac:dyDescent="0.25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VLOOKUP('Customer Info'!A142,'Customer Info'!A142:I641,2,FALSE)</f>
        <v>Dennis</v>
      </c>
      <c r="H150" s="6" t="str">
        <f>VLOOKUP('Customer Info'!A142,'Customer Info'!A142:I642,3,FALSE)</f>
        <v>Pardue</v>
      </c>
      <c r="I150" s="6" t="str">
        <f>VLOOKUP('Customer Info'!A142,'Customer Info'!A142:I641,5,FALSE)</f>
        <v>Wollongong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572</v>
      </c>
      <c r="R150" s="2" t="s">
        <v>28</v>
      </c>
      <c r="S150" s="9">
        <f t="shared" si="14"/>
        <v>0.05</v>
      </c>
    </row>
    <row r="151" spans="1:19" x14ac:dyDescent="0.25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VLOOKUP('Customer Info'!A143,'Customer Info'!A143:I642,2,FALSE)</f>
        <v>Dennis</v>
      </c>
      <c r="H151" s="6" t="str">
        <f>VLOOKUP('Customer Info'!A143,'Customer Info'!A143:I643,3,FALSE)</f>
        <v>Pardue</v>
      </c>
      <c r="I151" s="6" t="str">
        <f>VLOOKUP('Customer Info'!A143,'Customer Info'!A143:I642,5,FALSE)</f>
        <v>Townsville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804</v>
      </c>
      <c r="R151" s="2" t="s">
        <v>50</v>
      </c>
      <c r="S151" s="9">
        <f t="shared" si="14"/>
        <v>0.05</v>
      </c>
    </row>
    <row r="152" spans="1:19" x14ac:dyDescent="0.25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VLOOKUP('Customer Info'!A144,'Customer Info'!A144:I643,2,FALSE)</f>
        <v>Dennis</v>
      </c>
      <c r="H152" s="6" t="str">
        <f>VLOOKUP('Customer Info'!A144,'Customer Info'!A144:I644,3,FALSE)</f>
        <v>Pardue</v>
      </c>
      <c r="I152" s="6" t="str">
        <f>VLOOKUP('Customer Info'!A144,'Customer Info'!A144:I643,5,FALSE)</f>
        <v>Pekalongan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285</v>
      </c>
      <c r="R152" s="2" t="s">
        <v>28</v>
      </c>
      <c r="S152" s="9">
        <f t="shared" si="14"/>
        <v>0.02</v>
      </c>
    </row>
    <row r="153" spans="1:19" x14ac:dyDescent="0.25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VLOOKUP('Customer Info'!A145,'Customer Info'!A145:I644,2,FALSE)</f>
        <v>Denny</v>
      </c>
      <c r="H153" s="6" t="str">
        <f>VLOOKUP('Customer Info'!A145,'Customer Info'!A145:I645,3,FALSE)</f>
        <v>Ordway</v>
      </c>
      <c r="I153" s="6" t="str">
        <f>VLOOKUP('Customer Info'!A145,'Customer Info'!A145:I644,5,FALSE)</f>
        <v>Berlin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492</v>
      </c>
      <c r="R153" s="2" t="s">
        <v>28</v>
      </c>
      <c r="S153" s="9">
        <f t="shared" si="14"/>
        <v>0.05</v>
      </c>
    </row>
    <row r="154" spans="1:19" x14ac:dyDescent="0.25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VLOOKUP('Customer Info'!A146,'Customer Info'!A146:I645,2,FALSE)</f>
        <v>Dianna</v>
      </c>
      <c r="H154" s="6" t="str">
        <f>VLOOKUP('Customer Info'!A146,'Customer Info'!A146:I646,3,FALSE)</f>
        <v>Wilson</v>
      </c>
      <c r="I154" s="6" t="str">
        <f>VLOOKUP('Customer Info'!A146,'Customer Info'!A146:I645,5,FALSE)</f>
        <v>Gold Coast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252</v>
      </c>
      <c r="R154" s="2" t="s">
        <v>28</v>
      </c>
      <c r="S154" s="9">
        <f t="shared" si="14"/>
        <v>0.02</v>
      </c>
    </row>
    <row r="155" spans="1:19" x14ac:dyDescent="0.25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VLOOKUP('Customer Info'!A147,'Customer Info'!A147:I646,2,FALSE)</f>
        <v>Dianna</v>
      </c>
      <c r="H155" s="6" t="str">
        <f>VLOOKUP('Customer Info'!A147,'Customer Info'!A147:I647,3,FALSE)</f>
        <v>Vittorini</v>
      </c>
      <c r="I155" s="6" t="str">
        <f>VLOOKUP('Customer Info'!A147,'Customer Info'!A147:I646,5,FALSE)</f>
        <v>Gold Coast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620</v>
      </c>
      <c r="R155" s="2" t="s">
        <v>28</v>
      </c>
      <c r="S155" s="9">
        <f t="shared" si="14"/>
        <v>0.05</v>
      </c>
    </row>
    <row r="156" spans="1:19" x14ac:dyDescent="0.25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VLOOKUP('Customer Info'!A148,'Customer Info'!A148:I647,2,FALSE)</f>
        <v>Dianna</v>
      </c>
      <c r="H156" s="6" t="str">
        <f>VLOOKUP('Customer Info'!A148,'Customer Info'!A148:I648,3,FALSE)</f>
        <v>Wilson</v>
      </c>
      <c r="I156" s="6" t="str">
        <f>VLOOKUP('Customer Info'!A148,'Customer Info'!A148:I647,5,FALSE)</f>
        <v>Pematangsiantar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1427</v>
      </c>
      <c r="R156" s="2" t="s">
        <v>50</v>
      </c>
      <c r="S156" s="9">
        <f t="shared" si="14"/>
        <v>0.05</v>
      </c>
    </row>
    <row r="157" spans="1:19" x14ac:dyDescent="0.25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VLOOKUP('Customer Info'!A149,'Customer Info'!A149:I648,2,FALSE)</f>
        <v>Dianna</v>
      </c>
      <c r="H157" s="6" t="str">
        <f>VLOOKUP('Customer Info'!A149,'Customer Info'!A149:I649,3,FALSE)</f>
        <v>Vittorini</v>
      </c>
      <c r="I157" s="6" t="str">
        <f>VLOOKUP('Customer Info'!A149,'Customer Info'!A149:I648,5,FALSE)</f>
        <v>Cottbus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2892</v>
      </c>
      <c r="R157" s="2" t="s">
        <v>28</v>
      </c>
      <c r="S157" s="9">
        <f t="shared" si="14"/>
        <v>7.0000000000000007E-2</v>
      </c>
    </row>
    <row r="158" spans="1:19" x14ac:dyDescent="0.25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VLOOKUP('Customer Info'!A150,'Customer Info'!A150:I649,2,FALSE)</f>
        <v>Dionis</v>
      </c>
      <c r="H158" s="6" t="str">
        <f>VLOOKUP('Customer Info'!A150,'Customer Info'!A150:I650,3,FALSE)</f>
        <v>Lloyd</v>
      </c>
      <c r="I158" s="6" t="str">
        <f>VLOOKUP('Customer Info'!A150,'Customer Info'!A150:I649,5,FALSE)</f>
        <v>Kamarhati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326</v>
      </c>
      <c r="R158" s="2" t="s">
        <v>50</v>
      </c>
      <c r="S158" s="9">
        <f t="shared" si="14"/>
        <v>0.05</v>
      </c>
    </row>
    <row r="159" spans="1:19" x14ac:dyDescent="0.25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VLOOKUP('Customer Info'!A151,'Customer Info'!A151:I650,2,FALSE)</f>
        <v>Don</v>
      </c>
      <c r="H159" s="6" t="str">
        <f>VLOOKUP('Customer Info'!A151,'Customer Info'!A151:I651,3,FALSE)</f>
        <v>Weiss</v>
      </c>
      <c r="I159" s="6" t="str">
        <f>VLOOKUP('Customer Info'!A151,'Customer Info'!A151:I650,5,FALSE)</f>
        <v>Sydney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25</v>
      </c>
      <c r="R159" s="2" t="s">
        <v>28</v>
      </c>
      <c r="S159" s="9">
        <f t="shared" si="14"/>
        <v>0.02</v>
      </c>
    </row>
    <row r="160" spans="1:19" x14ac:dyDescent="0.25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VLOOKUP('Customer Info'!A152,'Customer Info'!A152:I651,2,FALSE)</f>
        <v>Dorothy</v>
      </c>
      <c r="H160" s="6" t="str">
        <f>VLOOKUP('Customer Info'!A152,'Customer Info'!A152:I652,3,FALSE)</f>
        <v>Wardle</v>
      </c>
      <c r="I160" s="6" t="str">
        <f>VLOOKUP('Customer Info'!A152,'Customer Info'!A152:I651,5,FALSE)</f>
        <v>Sydney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503</v>
      </c>
      <c r="R160" s="2" t="s">
        <v>50</v>
      </c>
      <c r="S160" s="9">
        <f t="shared" si="14"/>
        <v>0.05</v>
      </c>
    </row>
    <row r="161" spans="1:19" x14ac:dyDescent="0.25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VLOOKUP('Customer Info'!A153,'Customer Info'!A153:I652,2,FALSE)</f>
        <v>Dorothy</v>
      </c>
      <c r="H161" s="6" t="str">
        <f>VLOOKUP('Customer Info'!A153,'Customer Info'!A153:I653,3,FALSE)</f>
        <v>Badders</v>
      </c>
      <c r="I161" s="6" t="str">
        <f>VLOOKUP('Customer Info'!A153,'Customer Info'!A153:I652,5,FALSE)</f>
        <v>Nanning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200</v>
      </c>
      <c r="R161" s="2" t="s">
        <v>28</v>
      </c>
      <c r="S161" s="9">
        <f t="shared" si="14"/>
        <v>0.02</v>
      </c>
    </row>
    <row r="162" spans="1:19" x14ac:dyDescent="0.25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VLOOKUP('Customer Info'!A154,'Customer Info'!A154:I653,2,FALSE)</f>
        <v>Duane</v>
      </c>
      <c r="H162" s="6" t="str">
        <f>VLOOKUP('Customer Info'!A154,'Customer Info'!A154:I654,3,FALSE)</f>
        <v>Benoit</v>
      </c>
      <c r="I162" s="6" t="str">
        <f>VLOOKUP('Customer Info'!A154,'Customer Info'!A154:I653,5,FALSE)</f>
        <v>Tamworth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263</v>
      </c>
      <c r="R162" s="2" t="s">
        <v>50</v>
      </c>
      <c r="S162" s="9">
        <f t="shared" si="14"/>
        <v>0.02</v>
      </c>
    </row>
    <row r="163" spans="1:19" x14ac:dyDescent="0.25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VLOOKUP('Customer Info'!A155,'Customer Info'!A155:I654,2,FALSE)</f>
        <v>Duane</v>
      </c>
      <c r="H163" s="6" t="str">
        <f>VLOOKUP('Customer Info'!A155,'Customer Info'!A155:I655,3,FALSE)</f>
        <v>Huffman</v>
      </c>
      <c r="I163" s="6" t="str">
        <f>VLOOKUP('Customer Info'!A155,'Customer Info'!A155:I654,5,FALSE)</f>
        <v>Jakarta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26</v>
      </c>
      <c r="R163" s="2" t="s">
        <v>28</v>
      </c>
      <c r="S163" s="9">
        <f t="shared" si="14"/>
        <v>0.02</v>
      </c>
    </row>
    <row r="164" spans="1:19" x14ac:dyDescent="0.25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VLOOKUP('Customer Info'!A156,'Customer Info'!A156:I655,2,FALSE)</f>
        <v>Duane</v>
      </c>
      <c r="H164" s="6" t="str">
        <f>VLOOKUP('Customer Info'!A156,'Customer Info'!A156:I656,3,FALSE)</f>
        <v>Huffman</v>
      </c>
      <c r="I164" s="6" t="str">
        <f>VLOOKUP('Customer Info'!A156,'Customer Info'!A156:I655,5,FALSE)</f>
        <v>Perth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38</v>
      </c>
      <c r="R164" s="2" t="s">
        <v>28</v>
      </c>
      <c r="S164" s="9">
        <f t="shared" si="14"/>
        <v>0.02</v>
      </c>
    </row>
    <row r="165" spans="1:19" x14ac:dyDescent="0.25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VLOOKUP('Customer Info'!A157,'Customer Info'!A157:I656,2,FALSE)</f>
        <v>Duane</v>
      </c>
      <c r="H165" s="6" t="str">
        <f>VLOOKUP('Customer Info'!A157,'Customer Info'!A157:I657,3,FALSE)</f>
        <v>Noonan</v>
      </c>
      <c r="I165" s="6" t="str">
        <f>VLOOKUP('Customer Info'!A157,'Customer Info'!A157:I656,5,FALSE)</f>
        <v>Durg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1648</v>
      </c>
      <c r="R165" s="2" t="s">
        <v>28</v>
      </c>
      <c r="S165" s="9">
        <f t="shared" si="14"/>
        <v>0.05</v>
      </c>
    </row>
    <row r="166" spans="1:19" x14ac:dyDescent="0.25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VLOOKUP('Customer Info'!A158,'Customer Info'!A158:I657,2,FALSE)</f>
        <v>Ed</v>
      </c>
      <c r="H166" s="6" t="str">
        <f>VLOOKUP('Customer Info'!A158,'Customer Info'!A158:I658,3,FALSE)</f>
        <v>Braxton</v>
      </c>
      <c r="I166" s="6" t="str">
        <f>VLOOKUP('Customer Info'!A158,'Customer Info'!A158:I657,5,FALSE)</f>
        <v>Bhatpara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3050</v>
      </c>
      <c r="R166" s="2" t="s">
        <v>28</v>
      </c>
      <c r="S166" s="9">
        <f t="shared" si="14"/>
        <v>0.09</v>
      </c>
    </row>
    <row r="167" spans="1:19" x14ac:dyDescent="0.25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VLOOKUP('Customer Info'!A159,'Customer Info'!A159:I658,2,FALSE)</f>
        <v>Eileen</v>
      </c>
      <c r="H167" s="6" t="str">
        <f>VLOOKUP('Customer Info'!A159,'Customer Info'!A159:I659,3,FALSE)</f>
        <v>Kiefer</v>
      </c>
      <c r="I167" s="6" t="str">
        <f>VLOOKUP('Customer Info'!A159,'Customer Info'!A159:I658,5,FALSE)</f>
        <v>Hamm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635</v>
      </c>
      <c r="R167" s="2" t="s">
        <v>26</v>
      </c>
      <c r="S167" s="9">
        <f t="shared" si="14"/>
        <v>0.05</v>
      </c>
    </row>
    <row r="168" spans="1:19" x14ac:dyDescent="0.25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VLOOKUP('Customer Info'!A160,'Customer Info'!A160:I659,2,FALSE)</f>
        <v>Eileen</v>
      </c>
      <c r="H168" s="6" t="str">
        <f>VLOOKUP('Customer Info'!A160,'Customer Info'!A160:I660,3,FALSE)</f>
        <v>Kiefer</v>
      </c>
      <c r="I168" s="6" t="str">
        <f>VLOOKUP('Customer Info'!A160,'Customer Info'!A160:I659,5,FALSE)</f>
        <v>Cologne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1894</v>
      </c>
      <c r="R168" s="2" t="s">
        <v>28</v>
      </c>
      <c r="S168" s="9">
        <f t="shared" si="14"/>
        <v>0.05</v>
      </c>
    </row>
    <row r="169" spans="1:19" x14ac:dyDescent="0.25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VLOOKUP('Customer Info'!A161,'Customer Info'!A161:I660,2,FALSE)</f>
        <v>Elpida</v>
      </c>
      <c r="H169" s="6" t="str">
        <f>VLOOKUP('Customer Info'!A161,'Customer Info'!A161:I661,3,FALSE)</f>
        <v>Rittenbach</v>
      </c>
      <c r="I169" s="6" t="str">
        <f>VLOOKUP('Customer Info'!A161,'Customer Info'!A161:I660,5,FALSE)</f>
        <v>Melbourne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372</v>
      </c>
      <c r="R169" s="2" t="s">
        <v>28</v>
      </c>
      <c r="S169" s="9">
        <f t="shared" si="14"/>
        <v>0.02</v>
      </c>
    </row>
    <row r="170" spans="1:19" x14ac:dyDescent="0.25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VLOOKUP('Customer Info'!A162,'Customer Info'!A162:I661,2,FALSE)</f>
        <v>Emily</v>
      </c>
      <c r="H170" s="6" t="str">
        <f>VLOOKUP('Customer Info'!A162,'Customer Info'!A162:I662,3,FALSE)</f>
        <v>Burns</v>
      </c>
      <c r="I170" s="6" t="str">
        <f>VLOOKUP('Customer Info'!A162,'Customer Info'!A162:I661,5,FALSE)</f>
        <v>Adelaide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68</v>
      </c>
      <c r="R170" s="2" t="s">
        <v>50</v>
      </c>
      <c r="S170" s="9">
        <f t="shared" si="14"/>
        <v>0.02</v>
      </c>
    </row>
    <row r="171" spans="1:19" x14ac:dyDescent="0.25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VLOOKUP('Customer Info'!A163,'Customer Info'!A163:I662,2,FALSE)</f>
        <v>Emily</v>
      </c>
      <c r="H171" s="6" t="str">
        <f>VLOOKUP('Customer Info'!A163,'Customer Info'!A163:I663,3,FALSE)</f>
        <v>Ducich</v>
      </c>
      <c r="I171" s="6" t="str">
        <f>VLOOKUP('Customer Info'!A163,'Customer Info'!A163:I662,5,FALSE)</f>
        <v>Lohne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1819</v>
      </c>
      <c r="R171" s="2" t="s">
        <v>28</v>
      </c>
      <c r="S171" s="9">
        <f t="shared" si="14"/>
        <v>0.05</v>
      </c>
    </row>
    <row r="172" spans="1:19" x14ac:dyDescent="0.25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VLOOKUP('Customer Info'!A164,'Customer Info'!A164:I663,2,FALSE)</f>
        <v>Emily</v>
      </c>
      <c r="H172" s="6" t="str">
        <f>VLOOKUP('Customer Info'!A164,'Customer Info'!A164:I664,3,FALSE)</f>
        <v>Grady</v>
      </c>
      <c r="I172" s="6" t="str">
        <f>VLOOKUP('Customer Info'!A164,'Customer Info'!A164:I663,5,FALSE)</f>
        <v>Pimpri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165</v>
      </c>
      <c r="R172" s="2" t="s">
        <v>50</v>
      </c>
      <c r="S172" s="9">
        <f t="shared" si="14"/>
        <v>0.02</v>
      </c>
    </row>
    <row r="173" spans="1:19" x14ac:dyDescent="0.25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VLOOKUP('Customer Info'!A165,'Customer Info'!A165:I664,2,FALSE)</f>
        <v>Emily</v>
      </c>
      <c r="H173" s="6" t="str">
        <f>VLOOKUP('Customer Info'!A165,'Customer Info'!A165:I665,3,FALSE)</f>
        <v>Burns</v>
      </c>
      <c r="I173" s="6" t="str">
        <f>VLOOKUP('Customer Info'!A165,'Customer Info'!A165:I664,5,FALSE)</f>
        <v>Nasik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664</v>
      </c>
      <c r="R173" s="2" t="s">
        <v>28</v>
      </c>
      <c r="S173" s="9">
        <f t="shared" si="14"/>
        <v>0.05</v>
      </c>
    </row>
    <row r="174" spans="1:19" x14ac:dyDescent="0.25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VLOOKUP('Customer Info'!A166,'Customer Info'!A166:I665,2,FALSE)</f>
        <v>Emily</v>
      </c>
      <c r="H174" s="6" t="str">
        <f>VLOOKUP('Customer Info'!A166,'Customer Info'!A166:I666,3,FALSE)</f>
        <v>Burns</v>
      </c>
      <c r="I174" s="6" t="str">
        <f>VLOOKUP('Customer Info'!A166,'Customer Info'!A166:I665,5,FALSE)</f>
        <v>Chennai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6358</v>
      </c>
      <c r="R174" s="2" t="s">
        <v>28</v>
      </c>
      <c r="S174" s="9">
        <f t="shared" si="14"/>
        <v>0.09</v>
      </c>
    </row>
    <row r="175" spans="1:19" x14ac:dyDescent="0.25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VLOOKUP('Customer Info'!A167,'Customer Info'!A167:I666,2,FALSE)</f>
        <v>Eric</v>
      </c>
      <c r="H175" s="6" t="str">
        <f>VLOOKUP('Customer Info'!A167,'Customer Info'!A167:I667,3,FALSE)</f>
        <v>Barreto</v>
      </c>
      <c r="I175" s="6" t="str">
        <f>VLOOKUP('Customer Info'!A167,'Customer Info'!A167:I666,5,FALSE)</f>
        <v>Liaoyang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102</v>
      </c>
      <c r="R175" s="2" t="s">
        <v>50</v>
      </c>
      <c r="S175" s="9">
        <f t="shared" si="14"/>
        <v>0.02</v>
      </c>
    </row>
    <row r="176" spans="1:19" x14ac:dyDescent="0.25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VLOOKUP('Customer Info'!A168,'Customer Info'!A168:I667,2,FALSE)</f>
        <v>Erica</v>
      </c>
      <c r="H176" s="6" t="str">
        <f>VLOOKUP('Customer Info'!A168,'Customer Info'!A168:I668,3,FALSE)</f>
        <v>Smith</v>
      </c>
      <c r="I176" s="6" t="str">
        <f>VLOOKUP('Customer Info'!A168,'Customer Info'!A168:I667,5,FALSE)</f>
        <v>Halle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177</v>
      </c>
      <c r="R176" s="2" t="s">
        <v>28</v>
      </c>
      <c r="S176" s="9">
        <f t="shared" si="14"/>
        <v>0.02</v>
      </c>
    </row>
    <row r="177" spans="1:19" x14ac:dyDescent="0.25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VLOOKUP('Customer Info'!A169,'Customer Info'!A169:I668,2,FALSE)</f>
        <v>Erica</v>
      </c>
      <c r="H177" s="6" t="str">
        <f>VLOOKUP('Customer Info'!A169,'Customer Info'!A169:I669,3,FALSE)</f>
        <v>Hackney</v>
      </c>
      <c r="I177" s="6" t="str">
        <f>VLOOKUP('Customer Info'!A169,'Customer Info'!A169:I668,5,FALSE)</f>
        <v>Adelaide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77</v>
      </c>
      <c r="R177" s="2" t="s">
        <v>50</v>
      </c>
      <c r="S177" s="9">
        <f t="shared" si="14"/>
        <v>0.02</v>
      </c>
    </row>
    <row r="178" spans="1:19" x14ac:dyDescent="0.25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VLOOKUP('Customer Info'!A170,'Customer Info'!A170:I669,2,FALSE)</f>
        <v>Erica</v>
      </c>
      <c r="H178" s="6" t="str">
        <f>VLOOKUP('Customer Info'!A170,'Customer Info'!A170:I670,3,FALSE)</f>
        <v>Hernandez</v>
      </c>
      <c r="I178" s="6" t="str">
        <f>VLOOKUP('Customer Info'!A170,'Customer Info'!A170:I669,5,FALSE)</f>
        <v>Gold Coast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311</v>
      </c>
      <c r="R178" s="2" t="s">
        <v>26</v>
      </c>
      <c r="S178" s="9">
        <f t="shared" si="14"/>
        <v>0.02</v>
      </c>
    </row>
    <row r="179" spans="1:19" x14ac:dyDescent="0.25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VLOOKUP('Customer Info'!A171,'Customer Info'!A171:I670,2,FALSE)</f>
        <v>Erica</v>
      </c>
      <c r="H179" s="6" t="str">
        <f>VLOOKUP('Customer Info'!A171,'Customer Info'!A171:I671,3,FALSE)</f>
        <v>Hackney</v>
      </c>
      <c r="I179" s="6" t="str">
        <f>VLOOKUP('Customer Info'!A171,'Customer Info'!A171:I670,5,FALSE)</f>
        <v>Perth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378</v>
      </c>
      <c r="R179" s="2" t="s">
        <v>28</v>
      </c>
      <c r="S179" s="9">
        <f t="shared" si="14"/>
        <v>0.05</v>
      </c>
    </row>
    <row r="180" spans="1:19" x14ac:dyDescent="0.25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VLOOKUP('Customer Info'!A172,'Customer Info'!A172:I671,2,FALSE)</f>
        <v>Erin</v>
      </c>
      <c r="H180" s="6" t="str">
        <f>VLOOKUP('Customer Info'!A172,'Customer Info'!A172:I672,3,FALSE)</f>
        <v>Smith</v>
      </c>
      <c r="I180" s="6" t="str">
        <f>VLOOKUP('Customer Info'!A172,'Customer Info'!A172:I671,5,FALSE)</f>
        <v>Yuci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62</v>
      </c>
      <c r="R180" s="2" t="s">
        <v>28</v>
      </c>
      <c r="S180" s="9">
        <f t="shared" si="14"/>
        <v>0.02</v>
      </c>
    </row>
    <row r="181" spans="1:19" x14ac:dyDescent="0.25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VLOOKUP('Customer Info'!A173,'Customer Info'!A173:I672,2,FALSE)</f>
        <v>Erin</v>
      </c>
      <c r="H181" s="6" t="str">
        <f>VLOOKUP('Customer Info'!A173,'Customer Info'!A173:I673,3,FALSE)</f>
        <v>Smith</v>
      </c>
      <c r="I181" s="6" t="str">
        <f>VLOOKUP('Customer Info'!A173,'Customer Info'!A173:I672,5,FALSE)</f>
        <v>Bremen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788</v>
      </c>
      <c r="R181" s="2" t="s">
        <v>50</v>
      </c>
      <c r="S181" s="9">
        <f t="shared" si="14"/>
        <v>0.05</v>
      </c>
    </row>
    <row r="182" spans="1:19" x14ac:dyDescent="0.25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VLOOKUP('Customer Info'!A174,'Customer Info'!A174:I673,2,FALSE)</f>
        <v>Eugene</v>
      </c>
      <c r="H182" s="6" t="str">
        <f>VLOOKUP('Customer Info'!A174,'Customer Info'!A174:I674,3,FALSE)</f>
        <v>Moren</v>
      </c>
      <c r="I182" s="6" t="str">
        <f>VLOOKUP('Customer Info'!A174,'Customer Info'!A174:I673,5,FALSE)</f>
        <v>Patiala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75</v>
      </c>
      <c r="R182" s="2" t="s">
        <v>50</v>
      </c>
      <c r="S182" s="9">
        <f t="shared" si="14"/>
        <v>0.02</v>
      </c>
    </row>
    <row r="183" spans="1:19" x14ac:dyDescent="0.25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VLOOKUP('Customer Info'!A175,'Customer Info'!A175:I674,2,FALSE)</f>
        <v>Eugene</v>
      </c>
      <c r="H183" s="6" t="str">
        <f>VLOOKUP('Customer Info'!A175,'Customer Info'!A175:I675,3,FALSE)</f>
        <v>Hildebrand</v>
      </c>
      <c r="I183" s="6" t="str">
        <f>VLOOKUP('Customer Info'!A175,'Customer Info'!A175:I674,5,FALSE)</f>
        <v>Liaocheng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209</v>
      </c>
      <c r="R183" s="2" t="s">
        <v>28</v>
      </c>
      <c r="S183" s="9">
        <f t="shared" si="14"/>
        <v>0.02</v>
      </c>
    </row>
    <row r="184" spans="1:19" x14ac:dyDescent="0.25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VLOOKUP('Customer Info'!A176,'Customer Info'!A176:I675,2,FALSE)</f>
        <v>Eugene</v>
      </c>
      <c r="H184" s="6" t="str">
        <f>VLOOKUP('Customer Info'!A176,'Customer Info'!A176:I676,3,FALSE)</f>
        <v>Hildebrand</v>
      </c>
      <c r="I184" s="6" t="str">
        <f>VLOOKUP('Customer Info'!A176,'Customer Info'!A176:I675,5,FALSE)</f>
        <v>Coffs Harbour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341</v>
      </c>
      <c r="R184" s="2" t="s">
        <v>50</v>
      </c>
      <c r="S184" s="9">
        <f t="shared" si="14"/>
        <v>0.05</v>
      </c>
    </row>
    <row r="185" spans="1:19" x14ac:dyDescent="0.25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VLOOKUP('Customer Info'!A177,'Customer Info'!A177:I676,2,FALSE)</f>
        <v>Eugene</v>
      </c>
      <c r="H185" s="6" t="str">
        <f>VLOOKUP('Customer Info'!A177,'Customer Info'!A177:I677,3,FALSE)</f>
        <v>Barchas</v>
      </c>
      <c r="I185" s="6" t="str">
        <f>VLOOKUP('Customer Info'!A177,'Customer Info'!A177:I676,5,FALSE)</f>
        <v>Aksu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243</v>
      </c>
      <c r="R185" s="2" t="s">
        <v>28</v>
      </c>
      <c r="S185" s="9">
        <f t="shared" si="14"/>
        <v>0.02</v>
      </c>
    </row>
    <row r="186" spans="1:19" x14ac:dyDescent="0.25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VLOOKUP('Customer Info'!A178,'Customer Info'!A178:I677,2,FALSE)</f>
        <v>Eugene</v>
      </c>
      <c r="H186" s="6" t="str">
        <f>VLOOKUP('Customer Info'!A178,'Customer Info'!A178:I678,3,FALSE)</f>
        <v>Hildebrand</v>
      </c>
      <c r="I186" s="6" t="str">
        <f>VLOOKUP('Customer Info'!A178,'Customer Info'!A178:I677,5,FALSE)</f>
        <v>Sindelfingen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581</v>
      </c>
      <c r="R186" s="2" t="s">
        <v>26</v>
      </c>
      <c r="S186" s="9">
        <f t="shared" si="14"/>
        <v>0.05</v>
      </c>
    </row>
    <row r="187" spans="1:19" x14ac:dyDescent="0.25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VLOOKUP('Customer Info'!A179,'Customer Info'!A179:I678,2,FALSE)</f>
        <v>Evan</v>
      </c>
      <c r="H187" s="6" t="str">
        <f>VLOOKUP('Customer Info'!A179,'Customer Info'!A179:I679,3,FALSE)</f>
        <v>Bailliet</v>
      </c>
      <c r="I187" s="6" t="str">
        <f>VLOOKUP('Customer Info'!A179,'Customer Info'!A179:I678,5,FALSE)</f>
        <v>Brisbane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138</v>
      </c>
      <c r="R187" s="2" t="s">
        <v>56</v>
      </c>
      <c r="S187" s="9">
        <f t="shared" si="14"/>
        <v>0.02</v>
      </c>
    </row>
    <row r="188" spans="1:19" x14ac:dyDescent="0.25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VLOOKUP('Customer Info'!A180,'Customer Info'!A180:I679,2,FALSE)</f>
        <v>Evan</v>
      </c>
      <c r="H188" s="6" t="str">
        <f>VLOOKUP('Customer Info'!A180,'Customer Info'!A180:I680,3,FALSE)</f>
        <v>Bailliet</v>
      </c>
      <c r="I188" s="6" t="str">
        <f>VLOOKUP('Customer Info'!A180,'Customer Info'!A180:I679,5,FALSE)</f>
        <v>Sydney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1527</v>
      </c>
      <c r="R188" s="2" t="s">
        <v>28</v>
      </c>
      <c r="S188" s="9">
        <f t="shared" si="14"/>
        <v>0.05</v>
      </c>
    </row>
    <row r="189" spans="1:19" x14ac:dyDescent="0.25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VLOOKUP('Customer Info'!A181,'Customer Info'!A181:I680,2,FALSE)</f>
        <v>Evan</v>
      </c>
      <c r="H189" s="6" t="str">
        <f>VLOOKUP('Customer Info'!A181,'Customer Info'!A181:I681,3,FALSE)</f>
        <v>Henry</v>
      </c>
      <c r="I189" s="6" t="str">
        <f>VLOOKUP('Customer Info'!A181,'Customer Info'!A181:I680,5,FALSE)</f>
        <v>Zhoukou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37</v>
      </c>
      <c r="R189" s="2" t="s">
        <v>50</v>
      </c>
      <c r="S189" s="9">
        <f t="shared" si="14"/>
        <v>0.02</v>
      </c>
    </row>
    <row r="190" spans="1:19" x14ac:dyDescent="0.25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VLOOKUP('Customer Info'!A182,'Customer Info'!A182:I681,2,FALSE)</f>
        <v>Filia</v>
      </c>
      <c r="H190" s="6" t="str">
        <f>VLOOKUP('Customer Info'!A182,'Customer Info'!A182:I682,3,FALSE)</f>
        <v>McAdams</v>
      </c>
      <c r="I190" s="6" t="str">
        <f>VLOOKUP('Customer Info'!A182,'Customer Info'!A182:I681,5,FALSE)</f>
        <v>Lucknow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522</v>
      </c>
      <c r="R190" s="2" t="s">
        <v>28</v>
      </c>
      <c r="S190" s="9">
        <f t="shared" si="14"/>
        <v>0.05</v>
      </c>
    </row>
    <row r="191" spans="1:19" x14ac:dyDescent="0.25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VLOOKUP('Customer Info'!A183,'Customer Info'!A183:I682,2,FALSE)</f>
        <v>Frank</v>
      </c>
      <c r="H191" s="6" t="str">
        <f>VLOOKUP('Customer Info'!A183,'Customer Info'!A183:I683,3,FALSE)</f>
        <v>Hawley</v>
      </c>
      <c r="I191" s="6" t="str">
        <f>VLOOKUP('Customer Info'!A183,'Customer Info'!A183:I682,5,FALSE)</f>
        <v>Gold Coast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1606</v>
      </c>
      <c r="R191" s="2" t="s">
        <v>26</v>
      </c>
      <c r="S191" s="9">
        <f t="shared" si="14"/>
        <v>0.05</v>
      </c>
    </row>
    <row r="192" spans="1:19" x14ac:dyDescent="0.25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VLOOKUP('Customer Info'!A184,'Customer Info'!A184:I683,2,FALSE)</f>
        <v>Fred</v>
      </c>
      <c r="H192" s="6" t="str">
        <f>VLOOKUP('Customer Info'!A184,'Customer Info'!A184:I684,3,FALSE)</f>
        <v>Hopkins</v>
      </c>
      <c r="I192" s="6" t="str">
        <f>VLOOKUP('Customer Info'!A184,'Customer Info'!A184:I683,5,FALSE)</f>
        <v>Sydney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820</v>
      </c>
      <c r="R192" s="2" t="s">
        <v>28</v>
      </c>
      <c r="S192" s="9">
        <f t="shared" si="14"/>
        <v>0.05</v>
      </c>
    </row>
    <row r="193" spans="1:19" x14ac:dyDescent="0.25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VLOOKUP('Customer Info'!A185,'Customer Info'!A185:I684,2,FALSE)</f>
        <v>Fred</v>
      </c>
      <c r="H193" s="6" t="str">
        <f>VLOOKUP('Customer Info'!A185,'Customer Info'!A185:I685,3,FALSE)</f>
        <v>Wasserman</v>
      </c>
      <c r="I193" s="6" t="str">
        <f>VLOOKUP('Customer Info'!A185,'Customer Info'!A185:I684,5,FALSE)</f>
        <v>Willich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535</v>
      </c>
      <c r="R193" s="2" t="s">
        <v>28</v>
      </c>
      <c r="S193" s="9">
        <f t="shared" si="14"/>
        <v>0.05</v>
      </c>
    </row>
    <row r="194" spans="1:19" x14ac:dyDescent="0.25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VLOOKUP('Customer Info'!A186,'Customer Info'!A186:I685,2,FALSE)</f>
        <v>Gary</v>
      </c>
      <c r="H194" s="6" t="str">
        <f>VLOOKUP('Customer Info'!A186,'Customer Info'!A186:I686,3,FALSE)</f>
        <v>Hansen</v>
      </c>
      <c r="I194" s="6" t="str">
        <f>VLOOKUP('Customer Info'!A186,'Customer Info'!A186:I685,5,FALSE)</f>
        <v>Dewas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1701</v>
      </c>
      <c r="R194" s="2" t="s">
        <v>28</v>
      </c>
      <c r="S194" s="9">
        <f t="shared" si="14"/>
        <v>0.05</v>
      </c>
    </row>
    <row r="195" spans="1:19" x14ac:dyDescent="0.25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VLOOKUP('Customer Info'!A187,'Customer Info'!A187:I686,2,FALSE)</f>
        <v>Gary</v>
      </c>
      <c r="H195" s="6" t="str">
        <f>VLOOKUP('Customer Info'!A187,'Customer Info'!A187:I687,3,FALSE)</f>
        <v>Zandusky</v>
      </c>
      <c r="I195" s="6" t="str">
        <f>VLOOKUP('Customer Info'!A187,'Customer Info'!A187:I686,5,FALSE)</f>
        <v>Aligarh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545</v>
      </c>
      <c r="R195" s="2" t="s">
        <v>50</v>
      </c>
      <c r="S195" s="9">
        <f t="shared" si="14"/>
        <v>0.05</v>
      </c>
    </row>
    <row r="196" spans="1:19" x14ac:dyDescent="0.25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VLOOKUP('Customer Info'!A188,'Customer Info'!A188:I687,2,FALSE)</f>
        <v>Gary</v>
      </c>
      <c r="H196" s="6" t="str">
        <f>VLOOKUP('Customer Info'!A188,'Customer Info'!A188:I688,3,FALSE)</f>
        <v>Zandusky</v>
      </c>
      <c r="I196" s="6" t="str">
        <f>VLOOKUP('Customer Info'!A188,'Customer Info'!A188:I687,5,FALSE)</f>
        <v>Gold Coast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102</v>
      </c>
      <c r="R196" s="2" t="s">
        <v>28</v>
      </c>
      <c r="S196" s="9">
        <f t="shared" si="14"/>
        <v>0.02</v>
      </c>
    </row>
    <row r="197" spans="1:19" x14ac:dyDescent="0.25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VLOOKUP('Customer Info'!A189,'Customer Info'!A189:I688,2,FALSE)</f>
        <v>Gary</v>
      </c>
      <c r="H197" s="6" t="str">
        <f>VLOOKUP('Customer Info'!A189,'Customer Info'!A189:I689,3,FALSE)</f>
        <v>Mitchum</v>
      </c>
      <c r="I197" s="6" t="str">
        <f>VLOOKUP('Customer Info'!A189,'Customer Info'!A189:I688,5,FALSE)</f>
        <v>Mildura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1969</v>
      </c>
      <c r="R197" s="2" t="s">
        <v>50</v>
      </c>
      <c r="S197" s="9">
        <f t="shared" si="14"/>
        <v>7.0000000000000007E-2</v>
      </c>
    </row>
    <row r="198" spans="1:19" x14ac:dyDescent="0.25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VLOOKUP('Customer Info'!A190,'Customer Info'!A190:I689,2,FALSE)</f>
        <v>George</v>
      </c>
      <c r="H198" s="6" t="str">
        <f>VLOOKUP('Customer Info'!A190,'Customer Info'!A190:I690,3,FALSE)</f>
        <v>Ashbrook</v>
      </c>
      <c r="I198" s="6" t="str">
        <f>VLOOKUP('Customer Info'!A190,'Customer Info'!A190:I689,5,FALSE)</f>
        <v>Jakarta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698</v>
      </c>
      <c r="R198" s="2" t="s">
        <v>50</v>
      </c>
      <c r="S198" s="9">
        <f t="shared" si="14"/>
        <v>0.05</v>
      </c>
    </row>
    <row r="199" spans="1:19" x14ac:dyDescent="0.25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VLOOKUP('Customer Info'!A191,'Customer Info'!A191:I690,2,FALSE)</f>
        <v>Georgia</v>
      </c>
      <c r="H199" s="6" t="str">
        <f>VLOOKUP('Customer Info'!A191,'Customer Info'!A191:I691,3,FALSE)</f>
        <v>Rosenberg</v>
      </c>
      <c r="I199" s="6" t="str">
        <f>VLOOKUP('Customer Info'!A191,'Customer Info'!A191:I690,5,FALSE)</f>
        <v>Srinagar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18</v>
      </c>
      <c r="R199" s="2" t="s">
        <v>28</v>
      </c>
      <c r="S199" s="9">
        <f t="shared" si="14"/>
        <v>0.02</v>
      </c>
    </row>
    <row r="200" spans="1:19" x14ac:dyDescent="0.25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VLOOKUP('Customer Info'!A192,'Customer Info'!A192:I691,2,FALSE)</f>
        <v>Giulietta</v>
      </c>
      <c r="H200" s="6" t="str">
        <f>VLOOKUP('Customer Info'!A192,'Customer Info'!A192:I692,3,FALSE)</f>
        <v>Weimer</v>
      </c>
      <c r="I200" s="6" t="str">
        <f>VLOOKUP('Customer Info'!A192,'Customer Info'!A192:I691,5,FALSE)</f>
        <v>Suihua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40</v>
      </c>
      <c r="R200" s="2" t="s">
        <v>26</v>
      </c>
      <c r="S200" s="9">
        <f t="shared" si="14"/>
        <v>0.02</v>
      </c>
    </row>
    <row r="201" spans="1:19" x14ac:dyDescent="0.25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VLOOKUP('Customer Info'!A193,'Customer Info'!A193:I692,2,FALSE)</f>
        <v>Greg</v>
      </c>
      <c r="H201" s="6" t="str">
        <f>VLOOKUP('Customer Info'!A193,'Customer Info'!A193:I693,3,FALSE)</f>
        <v>Tran</v>
      </c>
      <c r="I201" s="6" t="str">
        <f>VLOOKUP('Customer Info'!A193,'Customer Info'!A193:I692,5,FALSE)</f>
        <v>Recklinghausen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546</v>
      </c>
      <c r="R201" s="2" t="s">
        <v>28</v>
      </c>
      <c r="S201" s="9">
        <f t="shared" si="14"/>
        <v>0.05</v>
      </c>
    </row>
    <row r="202" spans="1:19" x14ac:dyDescent="0.25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VLOOKUP('Customer Info'!A194,'Customer Info'!A194:I693,2,FALSE)</f>
        <v>Greg</v>
      </c>
      <c r="H202" s="6" t="str">
        <f>VLOOKUP('Customer Info'!A194,'Customer Info'!A194:I694,3,FALSE)</f>
        <v>Hansen</v>
      </c>
      <c r="I202" s="6" t="str">
        <f>VLOOKUP('Customer Info'!A194,'Customer Info'!A194:I693,5,FALSE)</f>
        <v>Canberra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255</v>
      </c>
      <c r="R202" s="2" t="s">
        <v>28</v>
      </c>
      <c r="S202" s="9">
        <f t="shared" si="14"/>
        <v>0.05</v>
      </c>
    </row>
    <row r="203" spans="1:19" x14ac:dyDescent="0.25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VLOOKUP('Customer Info'!A195,'Customer Info'!A195:I694,2,FALSE)</f>
        <v>Guy</v>
      </c>
      <c r="H203" s="6" t="str">
        <f>VLOOKUP('Customer Info'!A195,'Customer Info'!A195:I695,3,FALSE)</f>
        <v>Phonely</v>
      </c>
      <c r="I203" s="6" t="str">
        <f>VLOOKUP('Customer Info'!A195,'Customer Info'!A195:I694,5,FALSE)</f>
        <v>Jodhpur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8">
        <f t="shared" ref="P203:P266" si="17">N203+O203</f>
        <v>9062</v>
      </c>
      <c r="Q203" s="8">
        <f t="shared" ref="Q203:Q266" si="18">P203-M203</f>
        <v>762</v>
      </c>
      <c r="R203" s="2" t="s">
        <v>28</v>
      </c>
      <c r="S203" s="9">
        <f t="shared" ref="S203:S266" si="19">VLOOKUP(P203,$T$2:$U$7,2,TRUE)</f>
        <v>0.05</v>
      </c>
    </row>
    <row r="204" spans="1:19" x14ac:dyDescent="0.25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VLOOKUP('Customer Info'!A196,'Customer Info'!A196:I695,2,FALSE)</f>
        <v>Hallie</v>
      </c>
      <c r="H204" s="6" t="str">
        <f>VLOOKUP('Customer Info'!A196,'Customer Info'!A196:I696,3,FALSE)</f>
        <v>Redmond</v>
      </c>
      <c r="I204" s="6" t="str">
        <f>VLOOKUP('Customer Info'!A196,'Customer Info'!A196:I695,5,FALSE)</f>
        <v>Caloundra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1072</v>
      </c>
      <c r="R204" s="2" t="s">
        <v>28</v>
      </c>
      <c r="S204" s="9">
        <f t="shared" si="19"/>
        <v>0.05</v>
      </c>
    </row>
    <row r="205" spans="1:19" x14ac:dyDescent="0.25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VLOOKUP('Customer Info'!A197,'Customer Info'!A197:I696,2,FALSE)</f>
        <v>Harold</v>
      </c>
      <c r="H205" s="6" t="str">
        <f>VLOOKUP('Customer Info'!A197,'Customer Info'!A197:I697,3,FALSE)</f>
        <v>Pawlan</v>
      </c>
      <c r="I205" s="6" t="str">
        <f>VLOOKUP('Customer Info'!A197,'Customer Info'!A197:I696,5,FALSE)</f>
        <v>Banda Aceh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862</v>
      </c>
      <c r="R205" s="2" t="s">
        <v>26</v>
      </c>
      <c r="S205" s="9">
        <f t="shared" si="19"/>
        <v>0.05</v>
      </c>
    </row>
    <row r="206" spans="1:19" x14ac:dyDescent="0.25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VLOOKUP('Customer Info'!A198,'Customer Info'!A198:I697,2,FALSE)</f>
        <v>Harold</v>
      </c>
      <c r="H206" s="6" t="str">
        <f>VLOOKUP('Customer Info'!A198,'Customer Info'!A198:I698,3,FALSE)</f>
        <v>Dahlen</v>
      </c>
      <c r="I206" s="6" t="str">
        <f>VLOOKUP('Customer Info'!A198,'Customer Info'!A198:I697,5,FALSE)</f>
        <v>Melbourne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579</v>
      </c>
      <c r="R206" s="2" t="s">
        <v>50</v>
      </c>
      <c r="S206" s="9">
        <f t="shared" si="19"/>
        <v>0.02</v>
      </c>
    </row>
    <row r="207" spans="1:19" x14ac:dyDescent="0.25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VLOOKUP('Customer Info'!A199,'Customer Info'!A199:I698,2,FALSE)</f>
        <v>Harold</v>
      </c>
      <c r="H207" s="6" t="str">
        <f>VLOOKUP('Customer Info'!A199,'Customer Info'!A199:I699,3,FALSE)</f>
        <v>Engle</v>
      </c>
      <c r="I207" s="6" t="str">
        <f>VLOOKUP('Customer Info'!A199,'Customer Info'!A199:I698,5,FALSE)</f>
        <v>Chennai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1243</v>
      </c>
      <c r="R207" s="2" t="s">
        <v>50</v>
      </c>
      <c r="S207" s="9">
        <f t="shared" si="19"/>
        <v>0.05</v>
      </c>
    </row>
    <row r="208" spans="1:19" x14ac:dyDescent="0.25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VLOOKUP('Customer Info'!A200,'Customer Info'!A200:I699,2,FALSE)</f>
        <v>Harold</v>
      </c>
      <c r="H208" s="6" t="str">
        <f>VLOOKUP('Customer Info'!A200,'Customer Info'!A200:I700,3,FALSE)</f>
        <v>Dahlen</v>
      </c>
      <c r="I208" s="6" t="str">
        <f>VLOOKUP('Customer Info'!A200,'Customer Info'!A200:I699,5,FALSE)</f>
        <v>Jakarta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393</v>
      </c>
      <c r="R208" s="2" t="s">
        <v>50</v>
      </c>
      <c r="S208" s="9">
        <f t="shared" si="19"/>
        <v>0.02</v>
      </c>
    </row>
    <row r="209" spans="1:19" x14ac:dyDescent="0.25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VLOOKUP('Customer Info'!A201,'Customer Info'!A201:I700,2,FALSE)</f>
        <v>Harry</v>
      </c>
      <c r="H209" s="6" t="str">
        <f>VLOOKUP('Customer Info'!A201,'Customer Info'!A201:I701,3,FALSE)</f>
        <v>Marie</v>
      </c>
      <c r="I209" s="6" t="str">
        <f>VLOOKUP('Customer Info'!A201,'Customer Info'!A201:I700,5,FALSE)</f>
        <v>Dortmund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1360</v>
      </c>
      <c r="R209" s="2" t="s">
        <v>28</v>
      </c>
      <c r="S209" s="9">
        <f t="shared" si="19"/>
        <v>0.05</v>
      </c>
    </row>
    <row r="210" spans="1:19" x14ac:dyDescent="0.25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VLOOKUP('Customer Info'!A202,'Customer Info'!A202:I701,2,FALSE)</f>
        <v>Harry</v>
      </c>
      <c r="H210" s="6" t="str">
        <f>VLOOKUP('Customer Info'!A202,'Customer Info'!A202:I702,3,FALSE)</f>
        <v>Marie</v>
      </c>
      <c r="I210" s="6" t="str">
        <f>VLOOKUP('Customer Info'!A202,'Customer Info'!A202:I701,5,FALSE)</f>
        <v>Mataram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1900</v>
      </c>
      <c r="R210" s="2" t="s">
        <v>28</v>
      </c>
      <c r="S210" s="9">
        <f t="shared" si="19"/>
        <v>0.05</v>
      </c>
    </row>
    <row r="211" spans="1:19" x14ac:dyDescent="0.25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VLOOKUP('Customer Info'!A203,'Customer Info'!A203:I702,2,FALSE)</f>
        <v>Heather</v>
      </c>
      <c r="H211" s="6" t="str">
        <f>VLOOKUP('Customer Info'!A203,'Customer Info'!A203:I703,3,FALSE)</f>
        <v>Kirkland</v>
      </c>
      <c r="I211" s="6" t="str">
        <f>VLOOKUP('Customer Info'!A203,'Customer Info'!A203:I702,5,FALSE)</f>
        <v>Townsville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114</v>
      </c>
      <c r="R211" s="2" t="s">
        <v>26</v>
      </c>
      <c r="S211" s="9">
        <f t="shared" si="19"/>
        <v>0.02</v>
      </c>
    </row>
    <row r="212" spans="1:19" x14ac:dyDescent="0.25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VLOOKUP('Customer Info'!A204,'Customer Info'!A204:I703,2,FALSE)</f>
        <v>Heather</v>
      </c>
      <c r="H212" s="6" t="str">
        <f>VLOOKUP('Customer Info'!A204,'Customer Info'!A204:I704,3,FALSE)</f>
        <v>Kirkland</v>
      </c>
      <c r="I212" s="6" t="str">
        <f>VLOOKUP('Customer Info'!A204,'Customer Info'!A204:I703,5,FALSE)</f>
        <v>Luoyang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211</v>
      </c>
      <c r="R212" s="2" t="s">
        <v>28</v>
      </c>
      <c r="S212" s="9">
        <f t="shared" si="19"/>
        <v>0.02</v>
      </c>
    </row>
    <row r="213" spans="1:19" x14ac:dyDescent="0.25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VLOOKUP('Customer Info'!A205,'Customer Info'!A205:I704,2,FALSE)</f>
        <v>Helen</v>
      </c>
      <c r="H213" s="6" t="str">
        <f>VLOOKUP('Customer Info'!A205,'Customer Info'!A205:I705,3,FALSE)</f>
        <v>Abelman</v>
      </c>
      <c r="I213" s="6" t="str">
        <f>VLOOKUP('Customer Info'!A205,'Customer Info'!A205:I704,5,FALSE)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20</v>
      </c>
      <c r="R213" s="2" t="s">
        <v>50</v>
      </c>
      <c r="S213" s="9">
        <f t="shared" si="19"/>
        <v>0.02</v>
      </c>
    </row>
    <row r="214" spans="1:19" x14ac:dyDescent="0.25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VLOOKUP('Customer Info'!A206,'Customer Info'!A206:I705,2,FALSE)</f>
        <v>Helen</v>
      </c>
      <c r="H214" s="6" t="str">
        <f>VLOOKUP('Customer Info'!A206,'Customer Info'!A206:I706,3,FALSE)</f>
        <v>Abelman</v>
      </c>
      <c r="I214" s="6" t="str">
        <f>VLOOKUP('Customer Info'!A206,'Customer Info'!A206:I705,5,FALSE)</f>
        <v>Munich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1760</v>
      </c>
      <c r="R214" s="2" t="s">
        <v>50</v>
      </c>
      <c r="S214" s="9">
        <f t="shared" si="19"/>
        <v>7.0000000000000007E-2</v>
      </c>
    </row>
    <row r="215" spans="1:19" x14ac:dyDescent="0.25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VLOOKUP('Customer Info'!A207,'Customer Info'!A207:I706,2,FALSE)</f>
        <v>Helen</v>
      </c>
      <c r="H215" s="6" t="str">
        <f>VLOOKUP('Customer Info'!A207,'Customer Info'!A207:I707,3,FALSE)</f>
        <v>Abelman</v>
      </c>
      <c r="I215" s="6" t="str">
        <f>VLOOKUP('Customer Info'!A207,'Customer Info'!A207:I706,5,FALSE)</f>
        <v>Mangalore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470</v>
      </c>
      <c r="R215" s="2" t="s">
        <v>28</v>
      </c>
      <c r="S215" s="9">
        <f t="shared" si="19"/>
        <v>0.05</v>
      </c>
    </row>
    <row r="216" spans="1:19" x14ac:dyDescent="0.25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VLOOKUP('Customer Info'!A208,'Customer Info'!A208:I707,2,FALSE)</f>
        <v>Hilary</v>
      </c>
      <c r="H216" s="6" t="str">
        <f>VLOOKUP('Customer Info'!A208,'Customer Info'!A208:I708,3,FALSE)</f>
        <v>Holden</v>
      </c>
      <c r="I216" s="6" t="str">
        <f>VLOOKUP('Customer Info'!A208,'Customer Info'!A208:I707,5,FALSE)</f>
        <v>Mysore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760</v>
      </c>
      <c r="R216" s="2" t="s">
        <v>28</v>
      </c>
      <c r="S216" s="9">
        <f t="shared" si="19"/>
        <v>0.05</v>
      </c>
    </row>
    <row r="217" spans="1:19" x14ac:dyDescent="0.25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VLOOKUP('Customer Info'!A209,'Customer Info'!A209:I708,2,FALSE)</f>
        <v>Hunter</v>
      </c>
      <c r="H217" s="6" t="str">
        <f>VLOOKUP('Customer Info'!A209,'Customer Info'!A209:I709,3,FALSE)</f>
        <v>Glantz</v>
      </c>
      <c r="I217" s="6" t="str">
        <f>VLOOKUP('Customer Info'!A209,'Customer Info'!A209:I708,5,FALSE)</f>
        <v>Panihati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95</v>
      </c>
      <c r="R217" s="2" t="s">
        <v>28</v>
      </c>
      <c r="S217" s="9">
        <f t="shared" si="19"/>
        <v>0.02</v>
      </c>
    </row>
    <row r="218" spans="1:19" x14ac:dyDescent="0.25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VLOOKUP('Customer Info'!A210,'Customer Info'!A210:I709,2,FALSE)</f>
        <v>Hunter</v>
      </c>
      <c r="H218" s="6" t="str">
        <f>VLOOKUP('Customer Info'!A210,'Customer Info'!A210:I710,3,FALSE)</f>
        <v>Lopez</v>
      </c>
      <c r="I218" s="6" t="str">
        <f>VLOOKUP('Customer Info'!A210,'Customer Info'!A210:I709,5,FALSE)</f>
        <v>Wollongong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152</v>
      </c>
      <c r="R218" s="2" t="s">
        <v>28</v>
      </c>
      <c r="S218" s="9">
        <f t="shared" si="19"/>
        <v>0.02</v>
      </c>
    </row>
    <row r="219" spans="1:19" x14ac:dyDescent="0.25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VLOOKUP('Customer Info'!A211,'Customer Info'!A211:I710,2,FALSE)</f>
        <v>Hunter</v>
      </c>
      <c r="H219" s="6" t="str">
        <f>VLOOKUP('Customer Info'!A211,'Customer Info'!A211:I711,3,FALSE)</f>
        <v>Lopez</v>
      </c>
      <c r="I219" s="6" t="str">
        <f>VLOOKUP('Customer Info'!A211,'Customer Info'!A211:I710,5,FALSE)</f>
        <v>Cuttack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239</v>
      </c>
      <c r="R219" s="2" t="s">
        <v>28</v>
      </c>
      <c r="S219" s="9">
        <f t="shared" si="19"/>
        <v>0.02</v>
      </c>
    </row>
    <row r="220" spans="1:19" x14ac:dyDescent="0.25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VLOOKUP('Customer Info'!A212,'Customer Info'!A212:I711,2,FALSE)</f>
        <v>Hunter</v>
      </c>
      <c r="H220" s="6" t="str">
        <f>VLOOKUP('Customer Info'!A212,'Customer Info'!A212:I712,3,FALSE)</f>
        <v>Lopez</v>
      </c>
      <c r="I220" s="6" t="str">
        <f>VLOOKUP('Customer Info'!A212,'Customer Info'!A212:I711,5,FALSE)</f>
        <v>Pekanbaru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473</v>
      </c>
      <c r="R220" s="2" t="s">
        <v>50</v>
      </c>
      <c r="S220" s="9">
        <f t="shared" si="19"/>
        <v>0.05</v>
      </c>
    </row>
    <row r="221" spans="1:19" x14ac:dyDescent="0.25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VLOOKUP('Customer Info'!A213,'Customer Info'!A213:I712,2,FALSE)</f>
        <v>Ionia</v>
      </c>
      <c r="H221" s="6" t="str">
        <f>VLOOKUP('Customer Info'!A213,'Customer Info'!A213:I713,3,FALSE)</f>
        <v>McGrath</v>
      </c>
      <c r="I221" s="6" t="str">
        <f>VLOOKUP('Customer Info'!A213,'Customer Info'!A213:I712,5,FALSE)</f>
        <v>Dormagen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428</v>
      </c>
      <c r="R221" s="2" t="s">
        <v>50</v>
      </c>
      <c r="S221" s="9">
        <f t="shared" si="19"/>
        <v>0.05</v>
      </c>
    </row>
    <row r="222" spans="1:19" x14ac:dyDescent="0.25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VLOOKUP('Customer Info'!A214,'Customer Info'!A214:I713,2,FALSE)</f>
        <v>Irene</v>
      </c>
      <c r="H222" s="6" t="str">
        <f>VLOOKUP('Customer Info'!A214,'Customer Info'!A214:I714,3,FALSE)</f>
        <v>Maddox</v>
      </c>
      <c r="I222" s="6" t="str">
        <f>VLOOKUP('Customer Info'!A214,'Customer Info'!A214:I713,5,FALSE)</f>
        <v>Bhavnagar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48</v>
      </c>
      <c r="R222" s="2" t="s">
        <v>50</v>
      </c>
      <c r="S222" s="9">
        <f t="shared" si="19"/>
        <v>0.02</v>
      </c>
    </row>
    <row r="223" spans="1:19" x14ac:dyDescent="0.25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VLOOKUP('Customer Info'!A215,'Customer Info'!A215:I714,2,FALSE)</f>
        <v>Ivan</v>
      </c>
      <c r="H223" s="6" t="str">
        <f>VLOOKUP('Customer Info'!A215,'Customer Info'!A215:I715,3,FALSE)</f>
        <v>Gibson</v>
      </c>
      <c r="I223" s="6" t="str">
        <f>VLOOKUP('Customer Info'!A215,'Customer Info'!A215:I714,5,FALSE)</f>
        <v>Shanghai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352</v>
      </c>
      <c r="R223" s="2" t="s">
        <v>28</v>
      </c>
      <c r="S223" s="9">
        <f t="shared" si="19"/>
        <v>0.02</v>
      </c>
    </row>
    <row r="224" spans="1:19" x14ac:dyDescent="0.25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VLOOKUP('Customer Info'!A216,'Customer Info'!A216:I715,2,FALSE)</f>
        <v>Ivan</v>
      </c>
      <c r="H224" s="6" t="str">
        <f>VLOOKUP('Customer Info'!A216,'Customer Info'!A216:I716,3,FALSE)</f>
        <v>Gibson</v>
      </c>
      <c r="I224" s="6" t="str">
        <f>VLOOKUP('Customer Info'!A216,'Customer Info'!A216:I715,5,FALSE)</f>
        <v>Perth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496</v>
      </c>
      <c r="R224" s="2" t="s">
        <v>28</v>
      </c>
      <c r="S224" s="9">
        <f t="shared" si="19"/>
        <v>0.05</v>
      </c>
    </row>
    <row r="225" spans="1:19" x14ac:dyDescent="0.25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VLOOKUP('Customer Info'!A217,'Customer Info'!A217:I716,2,FALSE)</f>
        <v>Jack</v>
      </c>
      <c r="H225" s="6" t="str">
        <f>VLOOKUP('Customer Info'!A217,'Customer Info'!A217:I717,3,FALSE)</f>
        <v>Garza</v>
      </c>
      <c r="I225" s="6" t="str">
        <f>VLOOKUP('Customer Info'!A217,'Customer Info'!A217:I716,5,FALSE)</f>
        <v>Taiyuan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56</v>
      </c>
      <c r="R225" s="2" t="s">
        <v>28</v>
      </c>
      <c r="S225" s="9">
        <f t="shared" si="19"/>
        <v>0.02</v>
      </c>
    </row>
    <row r="226" spans="1:19" x14ac:dyDescent="0.25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VLOOKUP('Customer Info'!A218,'Customer Info'!A218:I717,2,FALSE)</f>
        <v>Jack</v>
      </c>
      <c r="H226" s="6" t="str">
        <f>VLOOKUP('Customer Info'!A218,'Customer Info'!A218:I718,3,FALSE)</f>
        <v>Lebron</v>
      </c>
      <c r="I226" s="6" t="str">
        <f>VLOOKUP('Customer Info'!A218,'Customer Info'!A218:I717,5,FALSE)</f>
        <v>Erftstadt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1291</v>
      </c>
      <c r="R226" s="2" t="s">
        <v>28</v>
      </c>
      <c r="S226" s="9">
        <f t="shared" si="19"/>
        <v>0.05</v>
      </c>
    </row>
    <row r="227" spans="1:19" x14ac:dyDescent="0.25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VLOOKUP('Customer Info'!A219,'Customer Info'!A219:I718,2,FALSE)</f>
        <v>Jack</v>
      </c>
      <c r="H227" s="6" t="str">
        <f>VLOOKUP('Customer Info'!A219,'Customer Info'!A219:I719,3,FALSE)</f>
        <v>Lebron</v>
      </c>
      <c r="I227" s="6" t="str">
        <f>VLOOKUP('Customer Info'!A219,'Customer Info'!A219:I718,5,FALSE)</f>
        <v>Bremen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44</v>
      </c>
      <c r="R227" s="2" t="s">
        <v>28</v>
      </c>
      <c r="S227" s="9">
        <f t="shared" si="19"/>
        <v>0.02</v>
      </c>
    </row>
    <row r="228" spans="1:19" x14ac:dyDescent="0.25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VLOOKUP('Customer Info'!A220,'Customer Info'!A220:I719,2,FALSE)</f>
        <v>Jack</v>
      </c>
      <c r="H228" s="6" t="str">
        <f>VLOOKUP('Customer Info'!A220,'Customer Info'!A220:I720,3,FALSE)</f>
        <v>Garza</v>
      </c>
      <c r="I228" s="6" t="str">
        <f>VLOOKUP('Customer Info'!A220,'Customer Info'!A220:I719,5,FALSE)</f>
        <v>Oldenburg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741</v>
      </c>
      <c r="R228" s="2" t="s">
        <v>28</v>
      </c>
      <c r="S228" s="9">
        <f t="shared" si="19"/>
        <v>0.05</v>
      </c>
    </row>
    <row r="229" spans="1:19" x14ac:dyDescent="0.25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VLOOKUP('Customer Info'!A221,'Customer Info'!A221:I720,2,FALSE)</f>
        <v>Jack</v>
      </c>
      <c r="H229" s="6" t="str">
        <f>VLOOKUP('Customer Info'!A221,'Customer Info'!A221:I721,3,FALSE)</f>
        <v>O'Briant</v>
      </c>
      <c r="I229" s="6" t="str">
        <f>VLOOKUP('Customer Info'!A221,'Customer Info'!A221:I720,5,FALSE)</f>
        <v>Jammu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78</v>
      </c>
      <c r="R229" s="2" t="s">
        <v>28</v>
      </c>
      <c r="S229" s="9">
        <f t="shared" si="19"/>
        <v>0.02</v>
      </c>
    </row>
    <row r="230" spans="1:19" x14ac:dyDescent="0.25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VLOOKUP('Customer Info'!A222,'Customer Info'!A222:I721,2,FALSE)</f>
        <v>James</v>
      </c>
      <c r="H230" s="6" t="str">
        <f>VLOOKUP('Customer Info'!A222,'Customer Info'!A222:I722,3,FALSE)</f>
        <v>Lanier</v>
      </c>
      <c r="I230" s="6" t="str">
        <f>VLOOKUP('Customer Info'!A222,'Customer Info'!A222:I721,5,FALSE)</f>
        <v>Dortmund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1430</v>
      </c>
      <c r="R230" s="2" t="s">
        <v>28</v>
      </c>
      <c r="S230" s="9">
        <f t="shared" si="19"/>
        <v>0.05</v>
      </c>
    </row>
    <row r="231" spans="1:19" x14ac:dyDescent="0.25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VLOOKUP('Customer Info'!A223,'Customer Info'!A223:I722,2,FALSE)</f>
        <v>Jas</v>
      </c>
      <c r="H231" s="6" t="str">
        <f>VLOOKUP('Customer Info'!A223,'Customer Info'!A223:I723,3,FALSE)</f>
        <v>O'Carroll</v>
      </c>
      <c r="I231" s="6" t="str">
        <f>VLOOKUP('Customer Info'!A223,'Customer Info'!A223:I722,5,FALSE)</f>
        <v>Essen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265</v>
      </c>
      <c r="R231" s="2" t="s">
        <v>28</v>
      </c>
      <c r="S231" s="9">
        <f t="shared" si="19"/>
        <v>0.05</v>
      </c>
    </row>
    <row r="232" spans="1:19" x14ac:dyDescent="0.25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VLOOKUP('Customer Info'!A224,'Customer Info'!A224:I723,2,FALSE)</f>
        <v>Jason</v>
      </c>
      <c r="H232" s="6" t="str">
        <f>VLOOKUP('Customer Info'!A224,'Customer Info'!A224:I724,3,FALSE)</f>
        <v>Gross</v>
      </c>
      <c r="I232" s="6" t="str">
        <f>VLOOKUP('Customer Info'!A224,'Customer Info'!A224:I723,5,FALSE)</f>
        <v>Sydney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306</v>
      </c>
      <c r="R232" s="2" t="s">
        <v>56</v>
      </c>
      <c r="S232" s="9">
        <f t="shared" si="19"/>
        <v>0.02</v>
      </c>
    </row>
    <row r="233" spans="1:19" x14ac:dyDescent="0.25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VLOOKUP('Customer Info'!A225,'Customer Info'!A225:I724,2,FALSE)</f>
        <v>Jenna</v>
      </c>
      <c r="H233" s="6" t="str">
        <f>VLOOKUP('Customer Info'!A225,'Customer Info'!A225:I725,3,FALSE)</f>
        <v>Caffey</v>
      </c>
      <c r="I233" s="6" t="str">
        <f>VLOOKUP('Customer Info'!A225,'Customer Info'!A225:I724,5,FALSE)</f>
        <v>Kanpur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600</v>
      </c>
      <c r="R233" s="2" t="s">
        <v>28</v>
      </c>
      <c r="S233" s="9">
        <f t="shared" si="19"/>
        <v>0.05</v>
      </c>
    </row>
    <row r="234" spans="1:19" x14ac:dyDescent="0.25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VLOOKUP('Customer Info'!A226,'Customer Info'!A226:I725,2,FALSE)</f>
        <v>Jennifer</v>
      </c>
      <c r="H234" s="6" t="str">
        <f>VLOOKUP('Customer Info'!A226,'Customer Info'!A226:I726,3,FALSE)</f>
        <v>Jackson</v>
      </c>
      <c r="I234" s="6" t="str">
        <f>VLOOKUP('Customer Info'!A226,'Customer Info'!A226:I725,5,FALSE)</f>
        <v>Queanbeyan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46</v>
      </c>
      <c r="R234" s="2" t="s">
        <v>28</v>
      </c>
      <c r="S234" s="9">
        <f t="shared" si="19"/>
        <v>0.02</v>
      </c>
    </row>
    <row r="235" spans="1:19" x14ac:dyDescent="0.25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VLOOKUP('Customer Info'!A227,'Customer Info'!A227:I726,2,FALSE)</f>
        <v>Jennifer</v>
      </c>
      <c r="H235" s="6" t="str">
        <f>VLOOKUP('Customer Info'!A227,'Customer Info'!A227:I727,3,FALSE)</f>
        <v>Halladay</v>
      </c>
      <c r="I235" s="6" t="str">
        <f>VLOOKUP('Customer Info'!A227,'Customer Info'!A227:I726,5,FALSE)</f>
        <v>Krefeld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105</v>
      </c>
      <c r="R235" s="2" t="s">
        <v>28</v>
      </c>
      <c r="S235" s="9">
        <f t="shared" si="19"/>
        <v>0.02</v>
      </c>
    </row>
    <row r="236" spans="1:19" x14ac:dyDescent="0.25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VLOOKUP('Customer Info'!A228,'Customer Info'!A228:I727,2,FALSE)</f>
        <v>Jennifer</v>
      </c>
      <c r="H236" s="6" t="str">
        <f>VLOOKUP('Customer Info'!A228,'Customer Info'!A228:I728,3,FALSE)</f>
        <v>Halladay</v>
      </c>
      <c r="I236" s="6" t="str">
        <f>VLOOKUP('Customer Info'!A228,'Customer Info'!A228:I727,5,FALSE)</f>
        <v>Bielefeld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618</v>
      </c>
      <c r="R236" s="2" t="s">
        <v>50</v>
      </c>
      <c r="S236" s="9">
        <f t="shared" si="19"/>
        <v>0.02</v>
      </c>
    </row>
    <row r="237" spans="1:19" x14ac:dyDescent="0.25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VLOOKUP('Customer Info'!A229,'Customer Info'!A229:I728,2,FALSE)</f>
        <v>Jeremy</v>
      </c>
      <c r="H237" s="6" t="str">
        <f>VLOOKUP('Customer Info'!A229,'Customer Info'!A229:I729,3,FALSE)</f>
        <v>Ellison</v>
      </c>
      <c r="I237" s="6" t="str">
        <f>VLOOKUP('Customer Info'!A229,'Customer Info'!A229:I728,5,FALSE)</f>
        <v>Faridabad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646</v>
      </c>
      <c r="R237" s="2" t="s">
        <v>28</v>
      </c>
      <c r="S237" s="9">
        <f t="shared" si="19"/>
        <v>0.05</v>
      </c>
    </row>
    <row r="238" spans="1:19" x14ac:dyDescent="0.25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VLOOKUP('Customer Info'!A230,'Customer Info'!A230:I729,2,FALSE)</f>
        <v>Jeremy</v>
      </c>
      <c r="H238" s="6" t="str">
        <f>VLOOKUP('Customer Info'!A230,'Customer Info'!A230:I730,3,FALSE)</f>
        <v>Ellison</v>
      </c>
      <c r="I238" s="6" t="str">
        <f>VLOOKUP('Customer Info'!A230,'Customer Info'!A230:I729,5,FALSE)</f>
        <v>Jammu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191</v>
      </c>
      <c r="R238" s="2" t="s">
        <v>26</v>
      </c>
      <c r="S238" s="9">
        <f t="shared" si="19"/>
        <v>0.02</v>
      </c>
    </row>
    <row r="239" spans="1:19" x14ac:dyDescent="0.25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VLOOKUP('Customer Info'!A231,'Customer Info'!A231:I730,2,FALSE)</f>
        <v>Jessica</v>
      </c>
      <c r="H239" s="6" t="str">
        <f>VLOOKUP('Customer Info'!A231,'Customer Info'!A231:I731,3,FALSE)</f>
        <v>Myrick</v>
      </c>
      <c r="I239" s="6" t="str">
        <f>VLOOKUP('Customer Info'!A231,'Customer Info'!A231:I730,5,FALSE)</f>
        <v>Krefeld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30</v>
      </c>
      <c r="R239" s="2" t="s">
        <v>50</v>
      </c>
      <c r="S239" s="9">
        <f t="shared" si="19"/>
        <v>0.02</v>
      </c>
    </row>
    <row r="240" spans="1:19" x14ac:dyDescent="0.25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VLOOKUP('Customer Info'!A232,'Customer Info'!A232:I731,2,FALSE)</f>
        <v>Jessica</v>
      </c>
      <c r="H240" s="6" t="str">
        <f>VLOOKUP('Customer Info'!A232,'Customer Info'!A232:I732,3,FALSE)</f>
        <v>Myrick</v>
      </c>
      <c r="I240" s="6" t="str">
        <f>VLOOKUP('Customer Info'!A232,'Customer Info'!A232:I731,5,FALSE)</f>
        <v>Jakarta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699</v>
      </c>
      <c r="R240" s="2" t="s">
        <v>28</v>
      </c>
      <c r="S240" s="9">
        <f t="shared" si="19"/>
        <v>0.05</v>
      </c>
    </row>
    <row r="241" spans="1:19" x14ac:dyDescent="0.25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VLOOKUP('Customer Info'!A233,'Customer Info'!A233:I732,2,FALSE)</f>
        <v>Jesus</v>
      </c>
      <c r="H241" s="6" t="str">
        <f>VLOOKUP('Customer Info'!A233,'Customer Info'!A233:I733,3,FALSE)</f>
        <v>Ocampo</v>
      </c>
      <c r="I241" s="6" t="str">
        <f>VLOOKUP('Customer Info'!A233,'Customer Info'!A233:I732,5,FALSE)</f>
        <v>Herten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107</v>
      </c>
      <c r="R241" s="2" t="s">
        <v>50</v>
      </c>
      <c r="S241" s="9">
        <f t="shared" si="19"/>
        <v>0.02</v>
      </c>
    </row>
    <row r="242" spans="1:19" x14ac:dyDescent="0.25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VLOOKUP('Customer Info'!A234,'Customer Info'!A234:I733,2,FALSE)</f>
        <v>Jill</v>
      </c>
      <c r="H242" s="6" t="str">
        <f>VLOOKUP('Customer Info'!A234,'Customer Info'!A234:I734,3,FALSE)</f>
        <v>Fjeld</v>
      </c>
      <c r="I242" s="6" t="str">
        <f>VLOOKUP('Customer Info'!A234,'Customer Info'!A234:I733,5,FALSE)</f>
        <v>Wollongong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796</v>
      </c>
      <c r="R242" s="2" t="s">
        <v>28</v>
      </c>
      <c r="S242" s="9">
        <f t="shared" si="19"/>
        <v>0.05</v>
      </c>
    </row>
    <row r="243" spans="1:19" x14ac:dyDescent="0.25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VLOOKUP('Customer Info'!A235,'Customer Info'!A235:I734,2,FALSE)</f>
        <v>Jill</v>
      </c>
      <c r="H243" s="6" t="str">
        <f>VLOOKUP('Customer Info'!A235,'Customer Info'!A235:I735,3,FALSE)</f>
        <v>Stevenson</v>
      </c>
      <c r="I243" s="6" t="str">
        <f>VLOOKUP('Customer Info'!A235,'Customer Info'!A235:I734,5,FALSE)</f>
        <v>Bengbu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604</v>
      </c>
      <c r="R243" s="2" t="s">
        <v>28</v>
      </c>
      <c r="S243" s="9">
        <f t="shared" si="19"/>
        <v>0.05</v>
      </c>
    </row>
    <row r="244" spans="1:19" x14ac:dyDescent="0.25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VLOOKUP('Customer Info'!A236,'Customer Info'!A236:I735,2,FALSE)</f>
        <v>Jim</v>
      </c>
      <c r="H244" s="6" t="str">
        <f>VLOOKUP('Customer Info'!A236,'Customer Info'!A236:I736,3,FALSE)</f>
        <v>Epp</v>
      </c>
      <c r="I244" s="6" t="str">
        <f>VLOOKUP('Customer Info'!A236,'Customer Info'!A236:I735,5,FALSE)</f>
        <v>Qingdao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254</v>
      </c>
      <c r="R244" s="2" t="s">
        <v>28</v>
      </c>
      <c r="S244" s="9">
        <f t="shared" si="19"/>
        <v>0.02</v>
      </c>
    </row>
    <row r="245" spans="1:19" x14ac:dyDescent="0.25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VLOOKUP('Customer Info'!A237,'Customer Info'!A237:I736,2,FALSE)</f>
        <v>Jim</v>
      </c>
      <c r="H245" s="6" t="str">
        <f>VLOOKUP('Customer Info'!A237,'Customer Info'!A237:I737,3,FALSE)</f>
        <v>Karlsson</v>
      </c>
      <c r="I245" s="6" t="str">
        <f>VLOOKUP('Customer Info'!A237,'Customer Info'!A237:I736,5,FALSE)</f>
        <v>Geelong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242</v>
      </c>
      <c r="R245" s="2" t="s">
        <v>28</v>
      </c>
      <c r="S245" s="9">
        <f t="shared" si="19"/>
        <v>0.05</v>
      </c>
    </row>
    <row r="246" spans="1:19" x14ac:dyDescent="0.25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VLOOKUP('Customer Info'!A238,'Customer Info'!A238:I737,2,FALSE)</f>
        <v>Jim</v>
      </c>
      <c r="H246" s="6" t="str">
        <f>VLOOKUP('Customer Info'!A238,'Customer Info'!A238:I738,3,FALSE)</f>
        <v>Epp</v>
      </c>
      <c r="I246" s="6" t="str">
        <f>VLOOKUP('Customer Info'!A238,'Customer Info'!A238:I737,5,FALSE)</f>
        <v>Jingmen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1778</v>
      </c>
      <c r="R246" s="2" t="s">
        <v>28</v>
      </c>
      <c r="S246" s="9">
        <f t="shared" si="19"/>
        <v>0.05</v>
      </c>
    </row>
    <row r="247" spans="1:19" x14ac:dyDescent="0.25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VLOOKUP('Customer Info'!A239,'Customer Info'!A239:I738,2,FALSE)</f>
        <v>Joel</v>
      </c>
      <c r="H247" s="6" t="str">
        <f>VLOOKUP('Customer Info'!A239,'Customer Info'!A239:I739,3,FALSE)</f>
        <v>Eaton</v>
      </c>
      <c r="I247" s="6" t="str">
        <f>VLOOKUP('Customer Info'!A239,'Customer Info'!A239:I738,5,FALSE)</f>
        <v>Nuremberg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2370</v>
      </c>
      <c r="R247" s="2" t="s">
        <v>28</v>
      </c>
      <c r="S247" s="9">
        <f t="shared" si="19"/>
        <v>7.0000000000000007E-2</v>
      </c>
    </row>
    <row r="248" spans="1:19" x14ac:dyDescent="0.25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VLOOKUP('Customer Info'!A240,'Customer Info'!A240:I739,2,FALSE)</f>
        <v>John</v>
      </c>
      <c r="H248" s="6" t="str">
        <f>VLOOKUP('Customer Info'!A240,'Customer Info'!A240:I740,3,FALSE)</f>
        <v>Lucas</v>
      </c>
      <c r="I248" s="6" t="str">
        <f>VLOOKUP('Customer Info'!A240,'Customer Info'!A240:I739,5,FALSE)</f>
        <v>Beijing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46</v>
      </c>
      <c r="R248" s="2" t="s">
        <v>50</v>
      </c>
      <c r="S248" s="9">
        <f t="shared" si="19"/>
        <v>0.02</v>
      </c>
    </row>
    <row r="249" spans="1:19" x14ac:dyDescent="0.25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VLOOKUP('Customer Info'!A241,'Customer Info'!A241:I740,2,FALSE)</f>
        <v>John</v>
      </c>
      <c r="H249" s="6" t="str">
        <f>VLOOKUP('Customer Info'!A241,'Customer Info'!A241:I741,3,FALSE)</f>
        <v>Grady</v>
      </c>
      <c r="I249" s="6" t="str">
        <f>VLOOKUP('Customer Info'!A241,'Customer Info'!A241:I740,5,FALSE)</f>
        <v>Mianyang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145</v>
      </c>
      <c r="R249" s="2" t="s">
        <v>28</v>
      </c>
      <c r="S249" s="9">
        <f t="shared" si="19"/>
        <v>0.02</v>
      </c>
    </row>
    <row r="250" spans="1:19" x14ac:dyDescent="0.25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VLOOKUP('Customer Info'!A242,'Customer Info'!A242:I741,2,FALSE)</f>
        <v>John</v>
      </c>
      <c r="H250" s="6" t="str">
        <f>VLOOKUP('Customer Info'!A242,'Customer Info'!A242:I742,3,FALSE)</f>
        <v>Huston</v>
      </c>
      <c r="I250" s="6" t="str">
        <f>VLOOKUP('Customer Info'!A242,'Customer Info'!A242:I741,5,FALSE)</f>
        <v>Jena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467</v>
      </c>
      <c r="R250" s="2" t="s">
        <v>28</v>
      </c>
      <c r="S250" s="9">
        <f t="shared" si="19"/>
        <v>0.05</v>
      </c>
    </row>
    <row r="251" spans="1:19" x14ac:dyDescent="0.25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VLOOKUP('Customer Info'!A243,'Customer Info'!A243:I742,2,FALSE)</f>
        <v>John</v>
      </c>
      <c r="H251" s="6" t="str">
        <f>VLOOKUP('Customer Info'!A243,'Customer Info'!A243:I743,3,FALSE)</f>
        <v>Castell</v>
      </c>
      <c r="I251" s="6" t="str">
        <f>VLOOKUP('Customer Info'!A243,'Customer Info'!A243:I742,5,FALSE)</f>
        <v>Jakarta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63</v>
      </c>
      <c r="R251" s="2" t="s">
        <v>28</v>
      </c>
      <c r="S251" s="9">
        <f t="shared" si="19"/>
        <v>0.02</v>
      </c>
    </row>
    <row r="252" spans="1:19" x14ac:dyDescent="0.25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VLOOKUP('Customer Info'!A244,'Customer Info'!A244:I743,2,FALSE)</f>
        <v>John</v>
      </c>
      <c r="H252" s="6" t="str">
        <f>VLOOKUP('Customer Info'!A244,'Customer Info'!A244:I744,3,FALSE)</f>
        <v>Grady</v>
      </c>
      <c r="I252" s="6" t="str">
        <f>VLOOKUP('Customer Info'!A244,'Customer Info'!A244:I743,5,FALSE)</f>
        <v>Queanbeyan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961</v>
      </c>
      <c r="R252" s="2" t="s">
        <v>28</v>
      </c>
      <c r="S252" s="9">
        <f t="shared" si="19"/>
        <v>0.05</v>
      </c>
    </row>
    <row r="253" spans="1:19" x14ac:dyDescent="0.25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VLOOKUP('Customer Info'!A245,'Customer Info'!A245:I744,2,FALSE)</f>
        <v>Jonathan</v>
      </c>
      <c r="H253" s="6" t="str">
        <f>VLOOKUP('Customer Info'!A245,'Customer Info'!A245:I745,3,FALSE)</f>
        <v>Howell</v>
      </c>
      <c r="I253" s="6" t="str">
        <f>VLOOKUP('Customer Info'!A245,'Customer Info'!A245:I744,5,FALSE)</f>
        <v>Guangshui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45</v>
      </c>
      <c r="R253" s="2" t="s">
        <v>28</v>
      </c>
      <c r="S253" s="9">
        <f t="shared" si="19"/>
        <v>0.02</v>
      </c>
    </row>
    <row r="254" spans="1:19" x14ac:dyDescent="0.25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VLOOKUP('Customer Info'!A246,'Customer Info'!A246:I745,2,FALSE)</f>
        <v>Joy</v>
      </c>
      <c r="H254" s="6" t="str">
        <f>VLOOKUP('Customer Info'!A246,'Customer Info'!A246:I746,3,FALSE)</f>
        <v>Bell</v>
      </c>
      <c r="I254" s="6" t="str">
        <f>VLOOKUP('Customer Info'!A246,'Customer Info'!A246:I745,5,FALSE)</f>
        <v>Tongchuan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100</v>
      </c>
      <c r="R254" s="2" t="s">
        <v>56</v>
      </c>
      <c r="S254" s="9">
        <f t="shared" si="19"/>
        <v>0.02</v>
      </c>
    </row>
    <row r="255" spans="1:19" x14ac:dyDescent="0.25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VLOOKUP('Customer Info'!A247,'Customer Info'!A247:I746,2,FALSE)</f>
        <v>Joy</v>
      </c>
      <c r="H255" s="6" t="str">
        <f>VLOOKUP('Customer Info'!A247,'Customer Info'!A247:I747,3,FALSE)</f>
        <v>Bell</v>
      </c>
      <c r="I255" s="6" t="str">
        <f>VLOOKUP('Customer Info'!A247,'Customer Info'!A247:I746,5,FALSE)</f>
        <v>Vijayawada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132</v>
      </c>
      <c r="R255" s="2" t="s">
        <v>28</v>
      </c>
      <c r="S255" s="9">
        <f t="shared" si="19"/>
        <v>0.02</v>
      </c>
    </row>
    <row r="256" spans="1:19" x14ac:dyDescent="0.25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VLOOKUP('Customer Info'!A248,'Customer Info'!A248:I747,2,FALSE)</f>
        <v>Joy</v>
      </c>
      <c r="H256" s="6" t="str">
        <f>VLOOKUP('Customer Info'!A248,'Customer Info'!A248:I748,3,FALSE)</f>
        <v>Daniels</v>
      </c>
      <c r="I256" s="6" t="str">
        <f>VLOOKUP('Customer Info'!A248,'Customer Info'!A248:I747,5,FALSE)</f>
        <v>Cairns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134</v>
      </c>
      <c r="R256" s="2" t="s">
        <v>50</v>
      </c>
      <c r="S256" s="9">
        <f t="shared" si="19"/>
        <v>0.02</v>
      </c>
    </row>
    <row r="257" spans="1:19" x14ac:dyDescent="0.25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VLOOKUP('Customer Info'!A249,'Customer Info'!A249:I748,2,FALSE)</f>
        <v>Julia</v>
      </c>
      <c r="H257" s="6" t="str">
        <f>VLOOKUP('Customer Info'!A249,'Customer Info'!A249:I749,3,FALSE)</f>
        <v>Barnett</v>
      </c>
      <c r="I257" s="6" t="str">
        <f>VLOOKUP('Customer Info'!A249,'Customer Info'!A249:I748,5,FALSE)</f>
        <v>Zhuhai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1058</v>
      </c>
      <c r="R257" s="2" t="s">
        <v>50</v>
      </c>
      <c r="S257" s="9">
        <f t="shared" si="19"/>
        <v>0.05</v>
      </c>
    </row>
    <row r="258" spans="1:19" x14ac:dyDescent="0.25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VLOOKUP('Customer Info'!A250,'Customer Info'!A250:I749,2,FALSE)</f>
        <v>Julia</v>
      </c>
      <c r="H258" s="6" t="str">
        <f>VLOOKUP('Customer Info'!A250,'Customer Info'!A250:I750,3,FALSE)</f>
        <v>Dunbar</v>
      </c>
      <c r="I258" s="6" t="str">
        <f>VLOOKUP('Customer Info'!A250,'Customer Info'!A250:I749,5,FALSE)</f>
        <v>Melbourne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1656</v>
      </c>
      <c r="R258" s="2" t="s">
        <v>28</v>
      </c>
      <c r="S258" s="9">
        <f t="shared" si="19"/>
        <v>0.05</v>
      </c>
    </row>
    <row r="259" spans="1:19" x14ac:dyDescent="0.25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VLOOKUP('Customer Info'!A251,'Customer Info'!A251:I750,2,FALSE)</f>
        <v>Julia</v>
      </c>
      <c r="H259" s="6" t="str">
        <f>VLOOKUP('Customer Info'!A251,'Customer Info'!A251:I751,3,FALSE)</f>
        <v>Dunbar</v>
      </c>
      <c r="I259" s="6" t="str">
        <f>VLOOKUP('Customer Info'!A251,'Customer Info'!A251:I750,5,FALSE)</f>
        <v>Cologne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249</v>
      </c>
      <c r="R259" s="2" t="s">
        <v>28</v>
      </c>
      <c r="S259" s="9">
        <f t="shared" si="19"/>
        <v>0.05</v>
      </c>
    </row>
    <row r="260" spans="1:19" x14ac:dyDescent="0.25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VLOOKUP('Customer Info'!A252,'Customer Info'!A252:I751,2,FALSE)</f>
        <v>Julie</v>
      </c>
      <c r="H260" s="6" t="str">
        <f>VLOOKUP('Customer Info'!A252,'Customer Info'!A252:I752,3,FALSE)</f>
        <v>Prescott</v>
      </c>
      <c r="I260" s="6" t="str">
        <f>VLOOKUP('Customer Info'!A252,'Customer Info'!A252:I751,5,FALSE)</f>
        <v>Norderstedt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1374</v>
      </c>
      <c r="R260" s="2" t="s">
        <v>28</v>
      </c>
      <c r="S260" s="9">
        <f t="shared" si="19"/>
        <v>0.05</v>
      </c>
    </row>
    <row r="261" spans="1:19" x14ac:dyDescent="0.25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VLOOKUP('Customer Info'!A253,'Customer Info'!A253:I752,2,FALSE)</f>
        <v>Julie</v>
      </c>
      <c r="H261" s="6" t="str">
        <f>VLOOKUP('Customer Info'!A253,'Customer Info'!A253:I753,3,FALSE)</f>
        <v>Creighton</v>
      </c>
      <c r="I261" s="6" t="str">
        <f>VLOOKUP('Customer Info'!A253,'Customer Info'!A253:I752,5,FALSE)</f>
        <v>Ballarat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74</v>
      </c>
      <c r="R261" s="2" t="s">
        <v>26</v>
      </c>
      <c r="S261" s="9">
        <f t="shared" si="19"/>
        <v>0.02</v>
      </c>
    </row>
    <row r="262" spans="1:19" x14ac:dyDescent="0.25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VLOOKUP('Customer Info'!A254,'Customer Info'!A254:I753,2,FALSE)</f>
        <v>Julie</v>
      </c>
      <c r="H262" s="6" t="str">
        <f>VLOOKUP('Customer Info'!A254,'Customer Info'!A254:I754,3,FALSE)</f>
        <v>Creighton</v>
      </c>
      <c r="I262" s="6" t="str">
        <f>VLOOKUP('Customer Info'!A254,'Customer Info'!A254:I753,5,FALSE)</f>
        <v>Bandung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4625</v>
      </c>
      <c r="R262" s="2" t="s">
        <v>28</v>
      </c>
      <c r="S262" s="9">
        <f t="shared" si="19"/>
        <v>7.0000000000000007E-2</v>
      </c>
    </row>
    <row r="263" spans="1:19" x14ac:dyDescent="0.25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VLOOKUP('Customer Info'!A255,'Customer Info'!A255:I754,2,FALSE)</f>
        <v>Justin</v>
      </c>
      <c r="H263" s="6" t="str">
        <f>VLOOKUP('Customer Info'!A255,'Customer Info'!A255:I755,3,FALSE)</f>
        <v>Deggeller</v>
      </c>
      <c r="I263" s="6" t="str">
        <f>VLOOKUP('Customer Info'!A255,'Customer Info'!A255:I754,5,FALSE)</f>
        <v>Gawler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519</v>
      </c>
      <c r="R263" s="2" t="s">
        <v>28</v>
      </c>
      <c r="S263" s="9">
        <f t="shared" si="19"/>
        <v>0.05</v>
      </c>
    </row>
    <row r="264" spans="1:19" x14ac:dyDescent="0.25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VLOOKUP('Customer Info'!A256,'Customer Info'!A256:I755,2,FALSE)</f>
        <v>Justin</v>
      </c>
      <c r="H264" s="6" t="str">
        <f>VLOOKUP('Customer Info'!A256,'Customer Info'!A256:I756,3,FALSE)</f>
        <v>Hirsh</v>
      </c>
      <c r="I264" s="6" t="str">
        <f>VLOOKUP('Customer Info'!A256,'Customer Info'!A256:I755,5,FALSE)</f>
        <v>Surakarta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138</v>
      </c>
      <c r="R264" s="2" t="s">
        <v>26</v>
      </c>
      <c r="S264" s="9">
        <f t="shared" si="19"/>
        <v>0.02</v>
      </c>
    </row>
    <row r="265" spans="1:19" x14ac:dyDescent="0.25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VLOOKUP('Customer Info'!A257,'Customer Info'!A257:I756,2,FALSE)</f>
        <v>Justin</v>
      </c>
      <c r="H265" s="6" t="str">
        <f>VLOOKUP('Customer Info'!A257,'Customer Info'!A257:I757,3,FALSE)</f>
        <v>Hirsh</v>
      </c>
      <c r="I265" s="6" t="str">
        <f>VLOOKUP('Customer Info'!A257,'Customer Info'!A257:I756,5,FALSE)</f>
        <v>Shangzhi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923</v>
      </c>
      <c r="R265" s="2" t="s">
        <v>28</v>
      </c>
      <c r="S265" s="9">
        <f t="shared" si="19"/>
        <v>0.05</v>
      </c>
    </row>
    <row r="266" spans="1:19" x14ac:dyDescent="0.25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VLOOKUP('Customer Info'!A258,'Customer Info'!A258:I757,2,FALSE)</f>
        <v>Karen</v>
      </c>
      <c r="H266" s="6" t="str">
        <f>VLOOKUP('Customer Info'!A258,'Customer Info'!A258:I758,3,FALSE)</f>
        <v>Daniels</v>
      </c>
      <c r="I266" s="6" t="str">
        <f>VLOOKUP('Customer Info'!A258,'Customer Info'!A258:I757,5,FALSE)</f>
        <v>Jiutai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44</v>
      </c>
      <c r="R266" s="2" t="s">
        <v>28</v>
      </c>
      <c r="S266" s="9">
        <f t="shared" si="19"/>
        <v>0.02</v>
      </c>
    </row>
    <row r="267" spans="1:19" x14ac:dyDescent="0.25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VLOOKUP('Customer Info'!A259,'Customer Info'!A259:I758,2,FALSE)</f>
        <v>Katherine</v>
      </c>
      <c r="H267" s="6" t="str">
        <f>VLOOKUP('Customer Info'!A259,'Customer Info'!A259:I759,3,FALSE)</f>
        <v>Murray</v>
      </c>
      <c r="I267" s="6" t="str">
        <f>VLOOKUP('Customer Info'!A259,'Customer Info'!A259:I758,5,FALSE)</f>
        <v>Sydney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8">
        <f t="shared" ref="P267:P330" si="22">N267+O267</f>
        <v>36953</v>
      </c>
      <c r="Q267" s="8">
        <f t="shared" ref="Q267:Q330" si="23">P267-M267</f>
        <v>3773</v>
      </c>
      <c r="R267" s="2" t="s">
        <v>28</v>
      </c>
      <c r="S267" s="9">
        <f t="shared" ref="S267:S330" si="24">VLOOKUP(P267,$T$2:$U$7,2,TRUE)</f>
        <v>7.0000000000000007E-2</v>
      </c>
    </row>
    <row r="268" spans="1:19" x14ac:dyDescent="0.25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VLOOKUP('Customer Info'!A260,'Customer Info'!A260:I759,2,FALSE)</f>
        <v>Katrina</v>
      </c>
      <c r="H268" s="6" t="str">
        <f>VLOOKUP('Customer Info'!A260,'Customer Info'!A260:I760,3,FALSE)</f>
        <v>Bavinger</v>
      </c>
      <c r="I268" s="6" t="str">
        <f>VLOOKUP('Customer Info'!A260,'Customer Info'!A260:I759,5,FALSE)</f>
        <v>Melbourne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584</v>
      </c>
      <c r="R268" s="2" t="s">
        <v>28</v>
      </c>
      <c r="S268" s="9">
        <f t="shared" si="24"/>
        <v>0.02</v>
      </c>
    </row>
    <row r="269" spans="1:19" x14ac:dyDescent="0.25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VLOOKUP('Customer Info'!A261,'Customer Info'!A261:I760,2,FALSE)</f>
        <v>Kean</v>
      </c>
      <c r="H269" s="6" t="str">
        <f>VLOOKUP('Customer Info'!A261,'Customer Info'!A261:I761,3,FALSE)</f>
        <v>Thornton</v>
      </c>
      <c r="I269" s="6" t="str">
        <f>VLOOKUP('Customer Info'!A261,'Customer Info'!A261:I760,5,FALSE)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305</v>
      </c>
      <c r="R269" s="2" t="s">
        <v>28</v>
      </c>
      <c r="S269" s="9">
        <f t="shared" si="24"/>
        <v>0.02</v>
      </c>
    </row>
    <row r="270" spans="1:19" x14ac:dyDescent="0.25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VLOOKUP('Customer Info'!A262,'Customer Info'!A262:I761,2,FALSE)</f>
        <v>Kean</v>
      </c>
      <c r="H270" s="6" t="str">
        <f>VLOOKUP('Customer Info'!A262,'Customer Info'!A262:I762,3,FALSE)</f>
        <v>Takahito</v>
      </c>
      <c r="I270" s="6" t="str">
        <f>VLOOKUP('Customer Info'!A262,'Customer Info'!A262:I761,5,FALSE)</f>
        <v>Jakarta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2068</v>
      </c>
      <c r="R270" s="2" t="s">
        <v>50</v>
      </c>
      <c r="S270" s="9">
        <f t="shared" si="24"/>
        <v>7.0000000000000007E-2</v>
      </c>
    </row>
    <row r="271" spans="1:19" x14ac:dyDescent="0.25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VLOOKUP('Customer Info'!A263,'Customer Info'!A263:I762,2,FALSE)</f>
        <v>Kean</v>
      </c>
      <c r="H271" s="6" t="str">
        <f>VLOOKUP('Customer Info'!A263,'Customer Info'!A263:I763,3,FALSE)</f>
        <v>Thornton</v>
      </c>
      <c r="I271" s="6" t="str">
        <f>VLOOKUP('Customer Info'!A263,'Customer Info'!A263:I762,5,FALSE)</f>
        <v>Brisbane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612</v>
      </c>
      <c r="R271" s="2" t="s">
        <v>56</v>
      </c>
      <c r="S271" s="9">
        <f t="shared" si="24"/>
        <v>0.05</v>
      </c>
    </row>
    <row r="272" spans="1:19" x14ac:dyDescent="0.25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VLOOKUP('Customer Info'!A264,'Customer Info'!A264:I763,2,FALSE)</f>
        <v>Keith</v>
      </c>
      <c r="H272" s="6" t="str">
        <f>VLOOKUP('Customer Info'!A264,'Customer Info'!A264:I764,3,FALSE)</f>
        <v>Herrera</v>
      </c>
      <c r="I272" s="6" t="str">
        <f>VLOOKUP('Customer Info'!A264,'Customer Info'!A264:I763,5,FALSE)</f>
        <v>Jakarta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2356</v>
      </c>
      <c r="R272" s="2" t="s">
        <v>50</v>
      </c>
      <c r="S272" s="9">
        <f t="shared" si="24"/>
        <v>7.0000000000000007E-2</v>
      </c>
    </row>
    <row r="273" spans="1:19" x14ac:dyDescent="0.25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VLOOKUP('Customer Info'!A265,'Customer Info'!A265:I764,2,FALSE)</f>
        <v>Kelly</v>
      </c>
      <c r="H273" s="6" t="str">
        <f>VLOOKUP('Customer Info'!A265,'Customer Info'!A265:I765,3,FALSE)</f>
        <v>Collister</v>
      </c>
      <c r="I273" s="6" t="str">
        <f>VLOOKUP('Customer Info'!A265,'Customer Info'!A265:I764,5,FALSE)</f>
        <v>Sydney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516</v>
      </c>
      <c r="R273" s="2" t="s">
        <v>56</v>
      </c>
      <c r="S273" s="9">
        <f t="shared" si="24"/>
        <v>0.05</v>
      </c>
    </row>
    <row r="274" spans="1:19" x14ac:dyDescent="0.25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VLOOKUP('Customer Info'!A266,'Customer Info'!A266:I765,2,FALSE)</f>
        <v>Kelly</v>
      </c>
      <c r="H274" s="6" t="str">
        <f>VLOOKUP('Customer Info'!A266,'Customer Info'!A266:I766,3,FALSE)</f>
        <v>Williams</v>
      </c>
      <c r="I274" s="6" t="str">
        <f>VLOOKUP('Customer Info'!A266,'Customer Info'!A266:I765,5,FALSE)</f>
        <v>Palu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1299</v>
      </c>
      <c r="R274" s="2" t="s">
        <v>28</v>
      </c>
      <c r="S274" s="9">
        <f t="shared" si="24"/>
        <v>7.0000000000000007E-2</v>
      </c>
    </row>
    <row r="275" spans="1:19" x14ac:dyDescent="0.25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VLOOKUP('Customer Info'!A267,'Customer Info'!A267:I766,2,FALSE)</f>
        <v>Kelly</v>
      </c>
      <c r="H275" s="6" t="str">
        <f>VLOOKUP('Customer Info'!A267,'Customer Info'!A267:I767,3,FALSE)</f>
        <v>Williams</v>
      </c>
      <c r="I275" s="6" t="str">
        <f>VLOOKUP('Customer Info'!A267,'Customer Info'!A267:I766,5,FALSE)</f>
        <v>Sydney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1002</v>
      </c>
      <c r="R275" s="2" t="s">
        <v>50</v>
      </c>
      <c r="S275" s="9">
        <f t="shared" si="24"/>
        <v>0.05</v>
      </c>
    </row>
    <row r="276" spans="1:19" x14ac:dyDescent="0.25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VLOOKUP('Customer Info'!A268,'Customer Info'!A268:I767,2,FALSE)</f>
        <v>Kelly</v>
      </c>
      <c r="H276" s="6" t="str">
        <f>VLOOKUP('Customer Info'!A268,'Customer Info'!A268:I768,3,FALSE)</f>
        <v>Collister</v>
      </c>
      <c r="I276" s="6" t="str">
        <f>VLOOKUP('Customer Info'!A268,'Customer Info'!A268:I767,5,FALSE)</f>
        <v>Tangshan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70</v>
      </c>
      <c r="R276" s="2" t="s">
        <v>50</v>
      </c>
      <c r="S276" s="9">
        <f t="shared" si="24"/>
        <v>0.02</v>
      </c>
    </row>
    <row r="277" spans="1:19" x14ac:dyDescent="0.25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VLOOKUP('Customer Info'!A269,'Customer Info'!A269:I768,2,FALSE)</f>
        <v>Ken</v>
      </c>
      <c r="H277" s="6" t="str">
        <f>VLOOKUP('Customer Info'!A269,'Customer Info'!A269:I769,3,FALSE)</f>
        <v>Heidel</v>
      </c>
      <c r="I277" s="6" t="str">
        <f>VLOOKUP('Customer Info'!A269,'Customer Info'!A269:I768,5,FALSE)</f>
        <v>Tegal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1555</v>
      </c>
      <c r="R277" s="2" t="s">
        <v>50</v>
      </c>
      <c r="S277" s="9">
        <f t="shared" si="24"/>
        <v>0.05</v>
      </c>
    </row>
    <row r="278" spans="1:19" x14ac:dyDescent="0.25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VLOOKUP('Customer Info'!A270,'Customer Info'!A270:I769,2,FALSE)</f>
        <v>Kristen</v>
      </c>
      <c r="H278" s="6" t="str">
        <f>VLOOKUP('Customer Info'!A270,'Customer Info'!A270:I770,3,FALSE)</f>
        <v>Hastings</v>
      </c>
      <c r="I278" s="6" t="str">
        <f>VLOOKUP('Customer Info'!A270,'Customer Info'!A270:I769,5,FALSE)</f>
        <v>Shihezi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51</v>
      </c>
      <c r="R278" s="2" t="s">
        <v>50</v>
      </c>
      <c r="S278" s="9">
        <f t="shared" si="24"/>
        <v>0.02</v>
      </c>
    </row>
    <row r="279" spans="1:19" x14ac:dyDescent="0.25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VLOOKUP('Customer Info'!A271,'Customer Info'!A271:I770,2,FALSE)</f>
        <v>Kristina</v>
      </c>
      <c r="H279" s="6" t="str">
        <f>VLOOKUP('Customer Info'!A271,'Customer Info'!A271:I771,3,FALSE)</f>
        <v>Nunn</v>
      </c>
      <c r="I279" s="6" t="str">
        <f>VLOOKUP('Customer Info'!A271,'Customer Info'!A271:I770,5,FALSE)</f>
        <v>Jakarta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429</v>
      </c>
      <c r="R279" s="2" t="s">
        <v>50</v>
      </c>
      <c r="S279" s="9">
        <f t="shared" si="24"/>
        <v>0.05</v>
      </c>
    </row>
    <row r="280" spans="1:19" x14ac:dyDescent="0.25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VLOOKUP('Customer Info'!A272,'Customer Info'!A272:I771,2,FALSE)</f>
        <v>Kristina</v>
      </c>
      <c r="H280" s="6" t="str">
        <f>VLOOKUP('Customer Info'!A272,'Customer Info'!A272:I772,3,FALSE)</f>
        <v>Nunn</v>
      </c>
      <c r="I280" s="6" t="str">
        <f>VLOOKUP('Customer Info'!A272,'Customer Info'!A272:I771,5,FALSE)</f>
        <v>Sydney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428</v>
      </c>
      <c r="R280" s="2" t="s">
        <v>26</v>
      </c>
      <c r="S280" s="9">
        <f t="shared" si="24"/>
        <v>0.05</v>
      </c>
    </row>
    <row r="281" spans="1:19" x14ac:dyDescent="0.25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VLOOKUP('Customer Info'!A273,'Customer Info'!A273:I772,2,FALSE)</f>
        <v>Kunst</v>
      </c>
      <c r="H281" s="6" t="str">
        <f>VLOOKUP('Customer Info'!A273,'Customer Info'!A273:I773,3,FALSE)</f>
        <v>Miller</v>
      </c>
      <c r="I281" s="6" t="str">
        <f>VLOOKUP('Customer Info'!A273,'Customer Info'!A273:I772,5,FALSE)</f>
        <v>Jakarta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18</v>
      </c>
      <c r="R281" s="2" t="s">
        <v>26</v>
      </c>
      <c r="S281" s="9">
        <f t="shared" si="24"/>
        <v>0.02</v>
      </c>
    </row>
    <row r="282" spans="1:19" x14ac:dyDescent="0.25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VLOOKUP('Customer Info'!A274,'Customer Info'!A274:I773,2,FALSE)</f>
        <v>Larry</v>
      </c>
      <c r="H282" s="6" t="str">
        <f>VLOOKUP('Customer Info'!A274,'Customer Info'!A274:I774,3,FALSE)</f>
        <v>Blacks</v>
      </c>
      <c r="I282" s="6" t="str">
        <f>VLOOKUP('Customer Info'!A274,'Customer Info'!A274:I773,5,FALSE)</f>
        <v>Shangyu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792</v>
      </c>
      <c r="R282" s="2" t="s">
        <v>50</v>
      </c>
      <c r="S282" s="9">
        <f t="shared" si="24"/>
        <v>0.05</v>
      </c>
    </row>
    <row r="283" spans="1:19" x14ac:dyDescent="0.25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VLOOKUP('Customer Info'!A275,'Customer Info'!A275:I774,2,FALSE)</f>
        <v>Laura</v>
      </c>
      <c r="H283" s="6" t="str">
        <f>VLOOKUP('Customer Info'!A275,'Customer Info'!A275:I775,3,FALSE)</f>
        <v>Armstrong</v>
      </c>
      <c r="I283" s="6" t="str">
        <f>VLOOKUP('Customer Info'!A275,'Customer Info'!A275:I774,5,FALSE)</f>
        <v>Torquay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442</v>
      </c>
      <c r="R283" s="2" t="s">
        <v>50</v>
      </c>
      <c r="S283" s="9">
        <f t="shared" si="24"/>
        <v>0.02</v>
      </c>
    </row>
    <row r="284" spans="1:19" x14ac:dyDescent="0.25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VLOOKUP('Customer Info'!A276,'Customer Info'!A276:I775,2,FALSE)</f>
        <v>Laurel</v>
      </c>
      <c r="H284" s="6" t="str">
        <f>VLOOKUP('Customer Info'!A276,'Customer Info'!A276:I776,3,FALSE)</f>
        <v>Elliston</v>
      </c>
      <c r="I284" s="6" t="str">
        <f>VLOOKUP('Customer Info'!A276,'Customer Info'!A276:I775,5,FALSE)</f>
        <v>Herten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432</v>
      </c>
      <c r="R284" s="2" t="s">
        <v>50</v>
      </c>
      <c r="S284" s="9">
        <f t="shared" si="24"/>
        <v>0.05</v>
      </c>
    </row>
    <row r="285" spans="1:19" x14ac:dyDescent="0.25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VLOOKUP('Customer Info'!A277,'Customer Info'!A277:I776,2,FALSE)</f>
        <v>Laurel</v>
      </c>
      <c r="H285" s="6" t="str">
        <f>VLOOKUP('Customer Info'!A277,'Customer Info'!A277:I777,3,FALSE)</f>
        <v>Workman</v>
      </c>
      <c r="I285" s="6" t="str">
        <f>VLOOKUP('Customer Info'!A277,'Customer Info'!A277:I776,5,FALSE)</f>
        <v>Dongguan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319</v>
      </c>
      <c r="R285" s="2" t="s">
        <v>26</v>
      </c>
      <c r="S285" s="9">
        <f t="shared" si="24"/>
        <v>0.02</v>
      </c>
    </row>
    <row r="286" spans="1:19" x14ac:dyDescent="0.25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VLOOKUP('Customer Info'!A278,'Customer Info'!A278:I777,2,FALSE)</f>
        <v>Laurel</v>
      </c>
      <c r="H286" s="6" t="str">
        <f>VLOOKUP('Customer Info'!A278,'Customer Info'!A278:I778,3,FALSE)</f>
        <v>Beltran</v>
      </c>
      <c r="I286" s="6" t="str">
        <f>VLOOKUP('Customer Info'!A278,'Customer Info'!A278:I777,5,FALSE)</f>
        <v>Melbourne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171</v>
      </c>
      <c r="R286" s="2" t="s">
        <v>28</v>
      </c>
      <c r="S286" s="9">
        <f t="shared" si="24"/>
        <v>0.02</v>
      </c>
    </row>
    <row r="287" spans="1:19" x14ac:dyDescent="0.25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VLOOKUP('Customer Info'!A279,'Customer Info'!A279:I778,2,FALSE)</f>
        <v>Laurel</v>
      </c>
      <c r="H287" s="6" t="str">
        <f>VLOOKUP('Customer Info'!A279,'Customer Info'!A279:I779,3,FALSE)</f>
        <v>Beltran</v>
      </c>
      <c r="I287" s="6" t="str">
        <f>VLOOKUP('Customer Info'!A279,'Customer Info'!A279:I778,5,FALSE)</f>
        <v>Bonn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42</v>
      </c>
      <c r="R287" s="2" t="s">
        <v>50</v>
      </c>
      <c r="S287" s="9">
        <f t="shared" si="24"/>
        <v>0.02</v>
      </c>
    </row>
    <row r="288" spans="1:19" x14ac:dyDescent="0.25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VLOOKUP('Customer Info'!A280,'Customer Info'!A280:I779,2,FALSE)</f>
        <v>Laurel</v>
      </c>
      <c r="H288" s="6" t="str">
        <f>VLOOKUP('Customer Info'!A280,'Customer Info'!A280:I780,3,FALSE)</f>
        <v>Elliston</v>
      </c>
      <c r="I288" s="6" t="str">
        <f>VLOOKUP('Customer Info'!A280,'Customer Info'!A280:I779,5,FALSE)</f>
        <v>Tasikmalaya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690</v>
      </c>
      <c r="R288" s="2" t="s">
        <v>28</v>
      </c>
      <c r="S288" s="9">
        <f t="shared" si="24"/>
        <v>0.05</v>
      </c>
    </row>
    <row r="289" spans="1:19" x14ac:dyDescent="0.25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VLOOKUP('Customer Info'!A281,'Customer Info'!A281:I780,2,FALSE)</f>
        <v>Laurel</v>
      </c>
      <c r="H289" s="6" t="str">
        <f>VLOOKUP('Customer Info'!A281,'Customer Info'!A281:I781,3,FALSE)</f>
        <v>Beltran</v>
      </c>
      <c r="I289" s="6" t="str">
        <f>VLOOKUP('Customer Info'!A281,'Customer Info'!A281:I780,5,FALSE)</f>
        <v>Wuppertal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995</v>
      </c>
      <c r="R289" s="2" t="s">
        <v>28</v>
      </c>
      <c r="S289" s="9">
        <f t="shared" si="24"/>
        <v>0.05</v>
      </c>
    </row>
    <row r="290" spans="1:19" x14ac:dyDescent="0.25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VLOOKUP('Customer Info'!A282,'Customer Info'!A282:I781,2,FALSE)</f>
        <v>Laurel</v>
      </c>
      <c r="H290" s="6" t="str">
        <f>VLOOKUP('Customer Info'!A282,'Customer Info'!A282:I782,3,FALSE)</f>
        <v>Workman</v>
      </c>
      <c r="I290" s="6" t="str">
        <f>VLOOKUP('Customer Info'!A282,'Customer Info'!A282:I781,5,FALSE)</f>
        <v>Leipzig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902</v>
      </c>
      <c r="R290" s="2" t="s">
        <v>28</v>
      </c>
      <c r="S290" s="9">
        <f t="shared" si="24"/>
        <v>0.05</v>
      </c>
    </row>
    <row r="291" spans="1:19" x14ac:dyDescent="0.25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VLOOKUP('Customer Info'!A283,'Customer Info'!A283:I782,2,FALSE)</f>
        <v>Linda</v>
      </c>
      <c r="H291" s="6" t="str">
        <f>VLOOKUP('Customer Info'!A283,'Customer Info'!A283:I783,3,FALSE)</f>
        <v>Southworth</v>
      </c>
      <c r="I291" s="6" t="str">
        <f>VLOOKUP('Customer Info'!A283,'Customer Info'!A283:I782,5,FALSE)</f>
        <v>Brisbane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816</v>
      </c>
      <c r="R291" s="2" t="s">
        <v>50</v>
      </c>
      <c r="S291" s="9">
        <f t="shared" si="24"/>
        <v>0.05</v>
      </c>
    </row>
    <row r="292" spans="1:19" x14ac:dyDescent="0.25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VLOOKUP('Customer Info'!A284,'Customer Info'!A284:I783,2,FALSE)</f>
        <v>Lindsay</v>
      </c>
      <c r="H292" s="6" t="str">
        <f>VLOOKUP('Customer Info'!A284,'Customer Info'!A284:I784,3,FALSE)</f>
        <v>Castell</v>
      </c>
      <c r="I292" s="6" t="str">
        <f>VLOOKUP('Customer Info'!A284,'Customer Info'!A284:I783,5,FALSE)</f>
        <v>Depok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313</v>
      </c>
      <c r="R292" s="2" t="s">
        <v>28</v>
      </c>
      <c r="S292" s="9">
        <f t="shared" si="24"/>
        <v>0.02</v>
      </c>
    </row>
    <row r="293" spans="1:19" x14ac:dyDescent="0.25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VLOOKUP('Customer Info'!A285,'Customer Info'!A285:I784,2,FALSE)</f>
        <v>Lindsay</v>
      </c>
      <c r="H293" s="6" t="str">
        <f>VLOOKUP('Customer Info'!A285,'Customer Info'!A285:I785,3,FALSE)</f>
        <v>Williams</v>
      </c>
      <c r="I293" s="6" t="str">
        <f>VLOOKUP('Customer Info'!A285,'Customer Info'!A285:I784,5,FALSE)</f>
        <v>Akola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590</v>
      </c>
      <c r="R293" s="2" t="s">
        <v>28</v>
      </c>
      <c r="S293" s="9">
        <f t="shared" si="24"/>
        <v>0.05</v>
      </c>
    </row>
    <row r="294" spans="1:19" x14ac:dyDescent="0.25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VLOOKUP('Customer Info'!A286,'Customer Info'!A286:I785,2,FALSE)</f>
        <v>Lindsay</v>
      </c>
      <c r="H294" s="6" t="str">
        <f>VLOOKUP('Customer Info'!A286,'Customer Info'!A286:I786,3,FALSE)</f>
        <v>Shagiari</v>
      </c>
      <c r="I294" s="6" t="str">
        <f>VLOOKUP('Customer Info'!A286,'Customer Info'!A286:I785,5,FALSE)</f>
        <v>Canberra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48</v>
      </c>
      <c r="R294" s="2" t="s">
        <v>28</v>
      </c>
      <c r="S294" s="9">
        <f t="shared" si="24"/>
        <v>0.02</v>
      </c>
    </row>
    <row r="295" spans="1:19" x14ac:dyDescent="0.25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VLOOKUP('Customer Info'!A287,'Customer Info'!A287:I786,2,FALSE)</f>
        <v>Lisa</v>
      </c>
      <c r="H295" s="6" t="str">
        <f>VLOOKUP('Customer Info'!A287,'Customer Info'!A287:I787,3,FALSE)</f>
        <v>Ryan</v>
      </c>
      <c r="I295" s="6" t="str">
        <f>VLOOKUP('Customer Info'!A287,'Customer Info'!A287:I786,5,FALSE)</f>
        <v>Berlin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723</v>
      </c>
      <c r="R295" s="2" t="s">
        <v>28</v>
      </c>
      <c r="S295" s="9">
        <f t="shared" si="24"/>
        <v>0.05</v>
      </c>
    </row>
    <row r="296" spans="1:19" x14ac:dyDescent="0.25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VLOOKUP('Customer Info'!A288,'Customer Info'!A288:I787,2,FALSE)</f>
        <v>Lisa</v>
      </c>
      <c r="H296" s="6" t="str">
        <f>VLOOKUP('Customer Info'!A288,'Customer Info'!A288:I788,3,FALSE)</f>
        <v>Ryan</v>
      </c>
      <c r="I296" s="6" t="str">
        <f>VLOOKUP('Customer Info'!A288,'Customer Info'!A288:I787,5,FALSE)</f>
        <v>Townsville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530</v>
      </c>
      <c r="R296" s="2" t="s">
        <v>28</v>
      </c>
      <c r="S296" s="9">
        <f t="shared" si="24"/>
        <v>0.05</v>
      </c>
    </row>
    <row r="297" spans="1:19" x14ac:dyDescent="0.25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VLOOKUP('Customer Info'!A289,'Customer Info'!A289:I788,2,FALSE)</f>
        <v>Lisa</v>
      </c>
      <c r="H297" s="6" t="str">
        <f>VLOOKUP('Customer Info'!A289,'Customer Info'!A289:I789,3,FALSE)</f>
        <v>DeCherney</v>
      </c>
      <c r="I297" s="6" t="str">
        <f>VLOOKUP('Customer Info'!A289,'Customer Info'!A289:I788,5,FALSE)</f>
        <v>Ningbo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485</v>
      </c>
      <c r="R297" s="2" t="s">
        <v>28</v>
      </c>
      <c r="S297" s="9">
        <f t="shared" si="24"/>
        <v>0.05</v>
      </c>
    </row>
    <row r="298" spans="1:19" x14ac:dyDescent="0.25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VLOOKUP('Customer Info'!A290,'Customer Info'!A290:I789,2,FALSE)</f>
        <v>Lisa</v>
      </c>
      <c r="H298" s="6" t="str">
        <f>VLOOKUP('Customer Info'!A290,'Customer Info'!A290:I790,3,FALSE)</f>
        <v>DeCherney</v>
      </c>
      <c r="I298" s="6" t="str">
        <f>VLOOKUP('Customer Info'!A290,'Customer Info'!A290:I789,5,FALSE)</f>
        <v>Sydney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195</v>
      </c>
      <c r="R298" s="2" t="s">
        <v>28</v>
      </c>
      <c r="S298" s="9">
        <f t="shared" si="24"/>
        <v>0.02</v>
      </c>
    </row>
    <row r="299" spans="1:19" x14ac:dyDescent="0.25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VLOOKUP('Customer Info'!A291,'Customer Info'!A291:I790,2,FALSE)</f>
        <v>Liz</v>
      </c>
      <c r="H299" s="6" t="str">
        <f>VLOOKUP('Customer Info'!A291,'Customer Info'!A291:I791,3,FALSE)</f>
        <v>Pelletier</v>
      </c>
      <c r="I299" s="6" t="str">
        <f>VLOOKUP('Customer Info'!A291,'Customer Info'!A291:I790,5,FALSE)</f>
        <v>Zigong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33</v>
      </c>
      <c r="R299" s="2" t="s">
        <v>28</v>
      </c>
      <c r="S299" s="9">
        <f t="shared" si="24"/>
        <v>0.02</v>
      </c>
    </row>
    <row r="300" spans="1:19" x14ac:dyDescent="0.25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VLOOKUP('Customer Info'!A292,'Customer Info'!A292:I791,2,FALSE)</f>
        <v>Liz</v>
      </c>
      <c r="H300" s="6" t="str">
        <f>VLOOKUP('Customer Info'!A292,'Customer Info'!A292:I792,3,FALSE)</f>
        <v>Carlisle</v>
      </c>
      <c r="I300" s="6" t="str">
        <f>VLOOKUP('Customer Info'!A292,'Customer Info'!A292:I791,5,FALSE)</f>
        <v>Luoyang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285</v>
      </c>
      <c r="R300" s="2" t="s">
        <v>28</v>
      </c>
      <c r="S300" s="9">
        <f t="shared" si="24"/>
        <v>0.02</v>
      </c>
    </row>
    <row r="301" spans="1:19" x14ac:dyDescent="0.25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VLOOKUP('Customer Info'!A293,'Customer Info'!A293:I792,2,FALSE)</f>
        <v>Logan</v>
      </c>
      <c r="H301" s="6" t="str">
        <f>VLOOKUP('Customer Info'!A293,'Customer Info'!A293:I793,3,FALSE)</f>
        <v>Haushalter</v>
      </c>
      <c r="I301" s="6" t="str">
        <f>VLOOKUP('Customer Info'!A293,'Customer Info'!A293:I792,5,FALSE)</f>
        <v>Canberra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2571</v>
      </c>
      <c r="R301" s="2" t="s">
        <v>28</v>
      </c>
      <c r="S301" s="9">
        <f t="shared" si="24"/>
        <v>0.05</v>
      </c>
    </row>
    <row r="302" spans="1:19" x14ac:dyDescent="0.25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VLOOKUP('Customer Info'!A294,'Customer Info'!A294:I793,2,FALSE)</f>
        <v>Logan</v>
      </c>
      <c r="H302" s="6" t="str">
        <f>VLOOKUP('Customer Info'!A294,'Customer Info'!A294:I794,3,FALSE)</f>
        <v>Currie</v>
      </c>
      <c r="I302" s="6" t="str">
        <f>VLOOKUP('Customer Info'!A294,'Customer Info'!A294:I793,5,FALSE)</f>
        <v>Gold Coast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1683</v>
      </c>
      <c r="R302" s="2" t="s">
        <v>28</v>
      </c>
      <c r="S302" s="9">
        <f t="shared" si="24"/>
        <v>0.05</v>
      </c>
    </row>
    <row r="303" spans="1:19" x14ac:dyDescent="0.25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VLOOKUP('Customer Info'!A295,'Customer Info'!A295:I794,2,FALSE)</f>
        <v>Logan</v>
      </c>
      <c r="H303" s="6" t="str">
        <f>VLOOKUP('Customer Info'!A295,'Customer Info'!A295:I795,3,FALSE)</f>
        <v>Currie</v>
      </c>
      <c r="I303" s="6" t="str">
        <f>VLOOKUP('Customer Info'!A295,'Customer Info'!A295:I794,5,FALSE)</f>
        <v>Amravati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228</v>
      </c>
      <c r="R303" s="2" t="s">
        <v>28</v>
      </c>
      <c r="S303" s="9">
        <f t="shared" si="24"/>
        <v>0.02</v>
      </c>
    </row>
    <row r="304" spans="1:19" x14ac:dyDescent="0.25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VLOOKUP('Customer Info'!A296,'Customer Info'!A296:I795,2,FALSE)</f>
        <v>Logan</v>
      </c>
      <c r="H304" s="6" t="str">
        <f>VLOOKUP('Customer Info'!A296,'Customer Info'!A296:I796,3,FALSE)</f>
        <v>Currie</v>
      </c>
      <c r="I304" s="6" t="str">
        <f>VLOOKUP('Customer Info'!A296,'Customer Info'!A296:I795,5,FALSE)</f>
        <v>Anshan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1075</v>
      </c>
      <c r="R304" s="2" t="s">
        <v>50</v>
      </c>
      <c r="S304" s="9">
        <f t="shared" si="24"/>
        <v>0.05</v>
      </c>
    </row>
    <row r="305" spans="1:19" x14ac:dyDescent="0.25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VLOOKUP('Customer Info'!A297,'Customer Info'!A297:I796,2,FALSE)</f>
        <v>Lynn</v>
      </c>
      <c r="H305" s="6" t="str">
        <f>VLOOKUP('Customer Info'!A297,'Customer Info'!A297:I797,3,FALSE)</f>
        <v>Smith</v>
      </c>
      <c r="I305" s="6" t="str">
        <f>VLOOKUP('Customer Info'!A297,'Customer Info'!A297:I796,5,FALSE)</f>
        <v>Kanpur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507</v>
      </c>
      <c r="R305" s="2" t="s">
        <v>28</v>
      </c>
      <c r="S305" s="9">
        <f t="shared" si="24"/>
        <v>0.05</v>
      </c>
    </row>
    <row r="306" spans="1:19" x14ac:dyDescent="0.25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VLOOKUP('Customer Info'!A298,'Customer Info'!A298:I797,2,FALSE)</f>
        <v>Lynn</v>
      </c>
      <c r="H306" s="6" t="str">
        <f>VLOOKUP('Customer Info'!A298,'Customer Info'!A298:I798,3,FALSE)</f>
        <v>Smith</v>
      </c>
      <c r="I306" s="6" t="str">
        <f>VLOOKUP('Customer Info'!A298,'Customer Info'!A298:I797,5,FALSE)</f>
        <v>Guiping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720</v>
      </c>
      <c r="R306" s="2" t="s">
        <v>28</v>
      </c>
      <c r="S306" s="9">
        <f t="shared" si="24"/>
        <v>0.05</v>
      </c>
    </row>
    <row r="307" spans="1:19" x14ac:dyDescent="0.25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VLOOKUP('Customer Info'!A299,'Customer Info'!A299:I798,2,FALSE)</f>
        <v>Magdelene</v>
      </c>
      <c r="H307" s="6" t="str">
        <f>VLOOKUP('Customer Info'!A299,'Customer Info'!A299:I799,3,FALSE)</f>
        <v>Morse</v>
      </c>
      <c r="I307" s="6" t="str">
        <f>VLOOKUP('Customer Info'!A299,'Customer Info'!A299:I798,5,FALSE)</f>
        <v>Berlin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18</v>
      </c>
      <c r="R307" s="2" t="s">
        <v>50</v>
      </c>
      <c r="S307" s="9">
        <f t="shared" si="24"/>
        <v>0.02</v>
      </c>
    </row>
    <row r="308" spans="1:19" x14ac:dyDescent="0.25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VLOOKUP('Customer Info'!A300,'Customer Info'!A300:I799,2,FALSE)</f>
        <v>Marc</v>
      </c>
      <c r="H308" s="6" t="str">
        <f>VLOOKUP('Customer Info'!A300,'Customer Info'!A300:I800,3,FALSE)</f>
        <v>Harrigan</v>
      </c>
      <c r="I308" s="6" t="str">
        <f>VLOOKUP('Customer Info'!A300,'Customer Info'!A300:I799,5,FALSE)</f>
        <v>Bogor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202</v>
      </c>
      <c r="R308" s="2" t="s">
        <v>50</v>
      </c>
      <c r="S308" s="9">
        <f t="shared" si="24"/>
        <v>0.05</v>
      </c>
    </row>
    <row r="309" spans="1:19" x14ac:dyDescent="0.25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VLOOKUP('Customer Info'!A301,'Customer Info'!A301:I800,2,FALSE)</f>
        <v>Maribeth</v>
      </c>
      <c r="H309" s="6" t="str">
        <f>VLOOKUP('Customer Info'!A301,'Customer Info'!A301:I801,3,FALSE)</f>
        <v>Dona</v>
      </c>
      <c r="I309" s="6" t="str">
        <f>VLOOKUP('Customer Info'!A301,'Customer Info'!A301:I800,5,FALSE)</f>
        <v>Adelaide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492</v>
      </c>
      <c r="R309" s="2" t="s">
        <v>26</v>
      </c>
      <c r="S309" s="9">
        <f t="shared" si="24"/>
        <v>0.05</v>
      </c>
    </row>
    <row r="310" spans="1:19" x14ac:dyDescent="0.25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VLOOKUP('Customer Info'!A302,'Customer Info'!A302:I801,2,FALSE)</f>
        <v>Marina</v>
      </c>
      <c r="H310" s="6" t="str">
        <f>VLOOKUP('Customer Info'!A302,'Customer Info'!A302:I802,3,FALSE)</f>
        <v>Lichtenstein</v>
      </c>
      <c r="I310" s="6" t="str">
        <f>VLOOKUP('Customer Info'!A302,'Customer Info'!A302:I801,5,FALSE)</f>
        <v>Denpasar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90</v>
      </c>
      <c r="R310" s="2" t="s">
        <v>26</v>
      </c>
      <c r="S310" s="9">
        <f t="shared" si="24"/>
        <v>0.02</v>
      </c>
    </row>
    <row r="311" spans="1:19" x14ac:dyDescent="0.25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VLOOKUP('Customer Info'!A303,'Customer Info'!A303:I802,2,FALSE)</f>
        <v>Mark</v>
      </c>
      <c r="H311" s="6" t="str">
        <f>VLOOKUP('Customer Info'!A303,'Customer Info'!A303:I803,3,FALSE)</f>
        <v>Packer</v>
      </c>
      <c r="I311" s="6" t="str">
        <f>VLOOKUP('Customer Info'!A303,'Customer Info'!A303:I802,5,FALSE)</f>
        <v>Perth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294</v>
      </c>
      <c r="R311" s="2" t="s">
        <v>50</v>
      </c>
      <c r="S311" s="9">
        <f t="shared" si="24"/>
        <v>0.05</v>
      </c>
    </row>
    <row r="312" spans="1:19" x14ac:dyDescent="0.25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VLOOKUP('Customer Info'!A304,'Customer Info'!A304:I803,2,FALSE)</f>
        <v>Mark</v>
      </c>
      <c r="H312" s="6" t="str">
        <f>VLOOKUP('Customer Info'!A304,'Customer Info'!A304:I804,3,FALSE)</f>
        <v>Cousins</v>
      </c>
      <c r="I312" s="6" t="str">
        <f>VLOOKUP('Customer Info'!A304,'Customer Info'!A304:I803,5,FALSE)</f>
        <v>Karimnagar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194</v>
      </c>
      <c r="R312" s="2" t="s">
        <v>28</v>
      </c>
      <c r="S312" s="9">
        <f t="shared" si="24"/>
        <v>0.02</v>
      </c>
    </row>
    <row r="313" spans="1:19" x14ac:dyDescent="0.25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VLOOKUP('Customer Info'!A305,'Customer Info'!A305:I804,2,FALSE)</f>
        <v>MaryBeth</v>
      </c>
      <c r="H313" s="6" t="str">
        <f>VLOOKUP('Customer Info'!A305,'Customer Info'!A305:I805,3,FALSE)</f>
        <v>Skach</v>
      </c>
      <c r="I313" s="6" t="str">
        <f>VLOOKUP('Customer Info'!A305,'Customer Info'!A305:I804,5,FALSE)</f>
        <v>Licheng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333</v>
      </c>
      <c r="R313" s="2" t="s">
        <v>28</v>
      </c>
      <c r="S313" s="9">
        <f t="shared" si="24"/>
        <v>0.05</v>
      </c>
    </row>
    <row r="314" spans="1:19" x14ac:dyDescent="0.25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VLOOKUP('Customer Info'!A306,'Customer Info'!A306:I805,2,FALSE)</f>
        <v>Matt</v>
      </c>
      <c r="H314" s="6" t="str">
        <f>VLOOKUP('Customer Info'!A306,'Customer Info'!A306:I806,3,FALSE)</f>
        <v>Collins</v>
      </c>
      <c r="I314" s="6" t="str">
        <f>VLOOKUP('Customer Info'!A306,'Customer Info'!A306:I805,5,FALSE)</f>
        <v>Mumbai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320</v>
      </c>
      <c r="R314" s="2" t="s">
        <v>50</v>
      </c>
      <c r="S314" s="9">
        <f t="shared" si="24"/>
        <v>0.02</v>
      </c>
    </row>
    <row r="315" spans="1:19" x14ac:dyDescent="0.25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VLOOKUP('Customer Info'!A307,'Customer Info'!A307:I806,2,FALSE)</f>
        <v>Maureen</v>
      </c>
      <c r="H315" s="6" t="str">
        <f>VLOOKUP('Customer Info'!A307,'Customer Info'!A307:I807,3,FALSE)</f>
        <v>Gastineau</v>
      </c>
      <c r="I315" s="6" t="str">
        <f>VLOOKUP('Customer Info'!A307,'Customer Info'!A307:I806,5,FALSE)</f>
        <v>Melton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660</v>
      </c>
      <c r="R315" s="2" t="s">
        <v>28</v>
      </c>
      <c r="S315" s="9">
        <f t="shared" si="24"/>
        <v>0.05</v>
      </c>
    </row>
    <row r="316" spans="1:19" x14ac:dyDescent="0.25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VLOOKUP('Customer Info'!A308,'Customer Info'!A308:I807,2,FALSE)</f>
        <v>Maureen</v>
      </c>
      <c r="H316" s="6" t="str">
        <f>VLOOKUP('Customer Info'!A308,'Customer Info'!A308:I808,3,FALSE)</f>
        <v>Fritzler</v>
      </c>
      <c r="I316" s="6" t="str">
        <f>VLOOKUP('Customer Info'!A308,'Customer Info'!A308:I807,5,FALSE)</f>
        <v>BadenBaden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461</v>
      </c>
      <c r="R316" s="2" t="s">
        <v>50</v>
      </c>
      <c r="S316" s="9">
        <f t="shared" si="24"/>
        <v>0.05</v>
      </c>
    </row>
    <row r="317" spans="1:19" x14ac:dyDescent="0.25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VLOOKUP('Customer Info'!A309,'Customer Info'!A309:I808,2,FALSE)</f>
        <v>Max</v>
      </c>
      <c r="H317" s="6" t="str">
        <f>VLOOKUP('Customer Info'!A309,'Customer Info'!A309:I809,3,FALSE)</f>
        <v>Ludwig</v>
      </c>
      <c r="I317" s="6" t="str">
        <f>VLOOKUP('Customer Info'!A309,'Customer Info'!A309:I808,5,FALSE)</f>
        <v>Cirebon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905</v>
      </c>
      <c r="R317" s="2" t="s">
        <v>50</v>
      </c>
      <c r="S317" s="9">
        <f t="shared" si="24"/>
        <v>0.05</v>
      </c>
    </row>
    <row r="318" spans="1:19" x14ac:dyDescent="0.25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VLOOKUP('Customer Info'!A310,'Customer Info'!A310:I809,2,FALSE)</f>
        <v>Max</v>
      </c>
      <c r="H318" s="6" t="str">
        <f>VLOOKUP('Customer Info'!A310,'Customer Info'!A310:I810,3,FALSE)</f>
        <v>Ludwig</v>
      </c>
      <c r="I318" s="6" t="str">
        <f>VLOOKUP('Customer Info'!A310,'Customer Info'!A310:I809,5,FALSE)</f>
        <v>Newcastle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1647</v>
      </c>
      <c r="R318" s="2" t="s">
        <v>50</v>
      </c>
      <c r="S318" s="9">
        <f t="shared" si="24"/>
        <v>0.05</v>
      </c>
    </row>
    <row r="319" spans="1:19" x14ac:dyDescent="0.25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VLOOKUP('Customer Info'!A311,'Customer Info'!A311:I810,2,FALSE)</f>
        <v>Max</v>
      </c>
      <c r="H319" s="6" t="str">
        <f>VLOOKUP('Customer Info'!A311,'Customer Info'!A311:I811,3,FALSE)</f>
        <v>Jones</v>
      </c>
      <c r="I319" s="6" t="str">
        <f>VLOOKUP('Customer Info'!A311,'Customer Info'!A311:I810,5,FALSE)</f>
        <v>Yuncheng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473</v>
      </c>
      <c r="R319" s="2" t="s">
        <v>28</v>
      </c>
      <c r="S319" s="9">
        <f t="shared" si="24"/>
        <v>0.05</v>
      </c>
    </row>
    <row r="320" spans="1:19" x14ac:dyDescent="0.25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VLOOKUP('Customer Info'!A312,'Customer Info'!A312:I811,2,FALSE)</f>
        <v>Meg</v>
      </c>
      <c r="H320" s="6" t="str">
        <f>VLOOKUP('Customer Info'!A312,'Customer Info'!A312:I812,3,FALSE)</f>
        <v>Tillman</v>
      </c>
      <c r="I320" s="6" t="str">
        <f>VLOOKUP('Customer Info'!A312,'Customer Info'!A312:I811,5,FALSE)</f>
        <v>Melbourne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1238</v>
      </c>
      <c r="R320" s="2" t="s">
        <v>50</v>
      </c>
      <c r="S320" s="9">
        <f t="shared" si="24"/>
        <v>0.05</v>
      </c>
    </row>
    <row r="321" spans="1:19" x14ac:dyDescent="0.25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VLOOKUP('Customer Info'!A313,'Customer Info'!A313:I812,2,FALSE)</f>
        <v>Meg</v>
      </c>
      <c r="H321" s="6" t="str">
        <f>VLOOKUP('Customer Info'!A313,'Customer Info'!A313:I813,3,FALSE)</f>
        <v>Tillman</v>
      </c>
      <c r="I321" s="6" t="str">
        <f>VLOOKUP('Customer Info'!A313,'Customer Info'!A313:I812,5,FALSE)</f>
        <v>Bangalore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131</v>
      </c>
      <c r="R321" s="2" t="s">
        <v>28</v>
      </c>
      <c r="S321" s="9">
        <f t="shared" si="24"/>
        <v>0.02</v>
      </c>
    </row>
    <row r="322" spans="1:19" x14ac:dyDescent="0.25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VLOOKUP('Customer Info'!A314,'Customer Info'!A314:I813,2,FALSE)</f>
        <v>Melanie</v>
      </c>
      <c r="H322" s="6" t="str">
        <f>VLOOKUP('Customer Info'!A314,'Customer Info'!A314:I814,3,FALSE)</f>
        <v>Seite</v>
      </c>
      <c r="I322" s="6" t="str">
        <f>VLOOKUP('Customer Info'!A314,'Customer Info'!A314:I813,5,FALSE)</f>
        <v>Xining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871</v>
      </c>
      <c r="R322" s="2" t="s">
        <v>26</v>
      </c>
      <c r="S322" s="9">
        <f t="shared" si="24"/>
        <v>0.05</v>
      </c>
    </row>
    <row r="323" spans="1:19" x14ac:dyDescent="0.25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VLOOKUP('Customer Info'!A315,'Customer Info'!A315:I814,2,FALSE)</f>
        <v>Michael</v>
      </c>
      <c r="H323" s="6" t="str">
        <f>VLOOKUP('Customer Info'!A315,'Customer Info'!A315:I815,3,FALSE)</f>
        <v>Granlund</v>
      </c>
      <c r="I323" s="6" t="str">
        <f>VLOOKUP('Customer Info'!A315,'Customer Info'!A315:I814,5,FALSE)</f>
        <v>Sydney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20</v>
      </c>
      <c r="R323" s="2" t="s">
        <v>28</v>
      </c>
      <c r="S323" s="9">
        <f t="shared" si="24"/>
        <v>0.02</v>
      </c>
    </row>
    <row r="324" spans="1:19" x14ac:dyDescent="0.25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VLOOKUP('Customer Info'!A316,'Customer Info'!A316:I815,2,FALSE)</f>
        <v>Michael</v>
      </c>
      <c r="H324" s="6" t="str">
        <f>VLOOKUP('Customer Info'!A316,'Customer Info'!A316:I816,3,FALSE)</f>
        <v>Moore</v>
      </c>
      <c r="I324" s="6" t="str">
        <f>VLOOKUP('Customer Info'!A316,'Customer Info'!A316:I815,5,FALSE)</f>
        <v>Geelong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521</v>
      </c>
      <c r="R324" s="2" t="s">
        <v>50</v>
      </c>
      <c r="S324" s="9">
        <f t="shared" si="24"/>
        <v>0.05</v>
      </c>
    </row>
    <row r="325" spans="1:19" x14ac:dyDescent="0.25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VLOOKUP('Customer Info'!A317,'Customer Info'!A317:I816,2,FALSE)</f>
        <v>Michael</v>
      </c>
      <c r="H325" s="6" t="str">
        <f>VLOOKUP('Customer Info'!A317,'Customer Info'!A317:I817,3,FALSE)</f>
        <v>Nguyen</v>
      </c>
      <c r="I325" s="6" t="str">
        <f>VLOOKUP('Customer Info'!A317,'Customer Info'!A317:I816,5,FALSE)</f>
        <v>Berlin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960</v>
      </c>
      <c r="R325" s="2" t="s">
        <v>28</v>
      </c>
      <c r="S325" s="9">
        <f t="shared" si="24"/>
        <v>0.05</v>
      </c>
    </row>
    <row r="326" spans="1:19" x14ac:dyDescent="0.25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VLOOKUP('Customer Info'!A318,'Customer Info'!A318:I817,2,FALSE)</f>
        <v>Michael</v>
      </c>
      <c r="H326" s="6" t="str">
        <f>VLOOKUP('Customer Info'!A318,'Customer Info'!A318:I818,3,FALSE)</f>
        <v>Chen</v>
      </c>
      <c r="I326" s="6" t="str">
        <f>VLOOKUP('Customer Info'!A318,'Customer Info'!A318:I817,5,FALSE)</f>
        <v>Jakarta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339</v>
      </c>
      <c r="R326" s="2" t="s">
        <v>50</v>
      </c>
      <c r="S326" s="9">
        <f t="shared" si="24"/>
        <v>0.05</v>
      </c>
    </row>
    <row r="327" spans="1:19" x14ac:dyDescent="0.25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VLOOKUP('Customer Info'!A319,'Customer Info'!A319:I818,2,FALSE)</f>
        <v>Michael</v>
      </c>
      <c r="H327" s="6" t="str">
        <f>VLOOKUP('Customer Info'!A319,'Customer Info'!A319:I819,3,FALSE)</f>
        <v>Moore</v>
      </c>
      <c r="I327" s="6" t="str">
        <f>VLOOKUP('Customer Info'!A319,'Customer Info'!A319:I818,5,FALSE)</f>
        <v>Melbourne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186</v>
      </c>
      <c r="R327" s="2" t="s">
        <v>28</v>
      </c>
      <c r="S327" s="9">
        <f t="shared" si="24"/>
        <v>0.02</v>
      </c>
    </row>
    <row r="328" spans="1:19" x14ac:dyDescent="0.25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VLOOKUP('Customer Info'!A320,'Customer Info'!A320:I819,2,FALSE)</f>
        <v>Michael</v>
      </c>
      <c r="H328" s="6" t="str">
        <f>VLOOKUP('Customer Info'!A320,'Customer Info'!A320:I820,3,FALSE)</f>
        <v>Moore</v>
      </c>
      <c r="I328" s="6" t="str">
        <f>VLOOKUP('Customer Info'!A320,'Customer Info'!A320:I819,5,FALSE)</f>
        <v>Medan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176</v>
      </c>
      <c r="R328" s="2" t="s">
        <v>50</v>
      </c>
      <c r="S328" s="9">
        <f t="shared" si="24"/>
        <v>0.02</v>
      </c>
    </row>
    <row r="329" spans="1:19" x14ac:dyDescent="0.25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VLOOKUP('Customer Info'!A321,'Customer Info'!A321:I820,2,FALSE)</f>
        <v>Michael</v>
      </c>
      <c r="H329" s="6" t="str">
        <f>VLOOKUP('Customer Info'!A321,'Customer Info'!A321:I821,3,FALSE)</f>
        <v>Moore</v>
      </c>
      <c r="I329" s="6" t="str">
        <f>VLOOKUP('Customer Info'!A321,'Customer Info'!A321:I820,5,FALSE)</f>
        <v>Vadodara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112</v>
      </c>
      <c r="R329" s="2" t="s">
        <v>26</v>
      </c>
      <c r="S329" s="9">
        <f t="shared" si="24"/>
        <v>0.02</v>
      </c>
    </row>
    <row r="330" spans="1:19" x14ac:dyDescent="0.25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VLOOKUP('Customer Info'!A322,'Customer Info'!A322:I821,2,FALSE)</f>
        <v>Michelle</v>
      </c>
      <c r="H330" s="6" t="str">
        <f>VLOOKUP('Customer Info'!A322,'Customer Info'!A322:I822,3,FALSE)</f>
        <v>Tran</v>
      </c>
      <c r="I330" s="6" t="str">
        <f>VLOOKUP('Customer Info'!A322,'Customer Info'!A322:I821,5,FALSE)</f>
        <v>Mount Gambier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489</v>
      </c>
      <c r="R330" s="2" t="s">
        <v>28</v>
      </c>
      <c r="S330" s="9">
        <f t="shared" si="24"/>
        <v>0.05</v>
      </c>
    </row>
    <row r="331" spans="1:19" x14ac:dyDescent="0.25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VLOOKUP('Customer Info'!A323,'Customer Info'!A323:I822,2,FALSE)</f>
        <v>Michelle</v>
      </c>
      <c r="H331" s="6" t="str">
        <f>VLOOKUP('Customer Info'!A323,'Customer Info'!A323:I823,3,FALSE)</f>
        <v>Arnett</v>
      </c>
      <c r="I331" s="6" t="str">
        <f>VLOOKUP('Customer Info'!A323,'Customer Info'!A323:I822,5,FALSE)</f>
        <v>Palembang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8">
        <f t="shared" ref="P331:P394" si="27">N331+O331</f>
        <v>5390</v>
      </c>
      <c r="Q331" s="8">
        <f t="shared" ref="Q331:Q394" si="28">P331-M331</f>
        <v>554</v>
      </c>
      <c r="R331" s="2" t="s">
        <v>50</v>
      </c>
      <c r="S331" s="9">
        <f t="shared" ref="S331:S394" si="29">VLOOKUP(P331,$T$2:$U$7,2,TRUE)</f>
        <v>0.05</v>
      </c>
    </row>
    <row r="332" spans="1:19" x14ac:dyDescent="0.25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VLOOKUP('Customer Info'!A324,'Customer Info'!A324:I823,2,FALSE)</f>
        <v>Michelle</v>
      </c>
      <c r="H332" s="6" t="str">
        <f>VLOOKUP('Customer Info'!A324,'Customer Info'!A324:I824,3,FALSE)</f>
        <v>Arnett</v>
      </c>
      <c r="I332" s="6" t="str">
        <f>VLOOKUP('Customer Info'!A324,'Customer Info'!A324:I823,5,FALSE)</f>
        <v>Yancheng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1037</v>
      </c>
      <c r="R332" s="2" t="s">
        <v>28</v>
      </c>
      <c r="S332" s="9">
        <f t="shared" si="29"/>
        <v>0.05</v>
      </c>
    </row>
    <row r="333" spans="1:19" x14ac:dyDescent="0.25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VLOOKUP('Customer Info'!A325,'Customer Info'!A325:I824,2,FALSE)</f>
        <v>Mick</v>
      </c>
      <c r="H333" s="6" t="str">
        <f>VLOOKUP('Customer Info'!A325,'Customer Info'!A325:I825,3,FALSE)</f>
        <v>Brown</v>
      </c>
      <c r="I333" s="6" t="str">
        <f>VLOOKUP('Customer Info'!A325,'Customer Info'!A325:I824,5,FALSE)</f>
        <v>Shenzhen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184</v>
      </c>
      <c r="R333" s="2" t="s">
        <v>50</v>
      </c>
      <c r="S333" s="9">
        <f t="shared" si="29"/>
        <v>0.02</v>
      </c>
    </row>
    <row r="334" spans="1:19" x14ac:dyDescent="0.25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VLOOKUP('Customer Info'!A326,'Customer Info'!A326:I825,2,FALSE)</f>
        <v>Mick</v>
      </c>
      <c r="H334" s="6" t="str">
        <f>VLOOKUP('Customer Info'!A326,'Customer Info'!A326:I826,3,FALSE)</f>
        <v>Crebagga</v>
      </c>
      <c r="I334" s="6" t="str">
        <f>VLOOKUP('Customer Info'!A326,'Customer Info'!A326:I825,5,FALSE)</f>
        <v>Banjarmasin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90</v>
      </c>
      <c r="R334" s="2" t="s">
        <v>56</v>
      </c>
      <c r="S334" s="9">
        <f t="shared" si="29"/>
        <v>0.02</v>
      </c>
    </row>
    <row r="335" spans="1:19" x14ac:dyDescent="0.25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VLOOKUP('Customer Info'!A327,'Customer Info'!A327:I826,2,FALSE)</f>
        <v>Mick</v>
      </c>
      <c r="H335" s="6" t="str">
        <f>VLOOKUP('Customer Info'!A327,'Customer Info'!A327:I827,3,FALSE)</f>
        <v>Brown</v>
      </c>
      <c r="I335" s="6" t="str">
        <f>VLOOKUP('Customer Info'!A327,'Customer Info'!A327:I826,5,FALSE)</f>
        <v>Frankfurt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425</v>
      </c>
      <c r="R335" s="2" t="s">
        <v>28</v>
      </c>
      <c r="S335" s="9">
        <f t="shared" si="29"/>
        <v>0.02</v>
      </c>
    </row>
    <row r="336" spans="1:19" x14ac:dyDescent="0.25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VLOOKUP('Customer Info'!A328,'Customer Info'!A328:I827,2,FALSE)</f>
        <v>Mike</v>
      </c>
      <c r="H336" s="6" t="str">
        <f>VLOOKUP('Customer Info'!A328,'Customer Info'!A328:I828,3,FALSE)</f>
        <v>Vittorini</v>
      </c>
      <c r="I336" s="6" t="str">
        <f>VLOOKUP('Customer Info'!A328,'Customer Info'!A328:I827,5,FALSE)</f>
        <v>Naihati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184</v>
      </c>
      <c r="R336" s="2" t="s">
        <v>28</v>
      </c>
      <c r="S336" s="9">
        <f t="shared" si="29"/>
        <v>0.02</v>
      </c>
    </row>
    <row r="337" spans="1:19" x14ac:dyDescent="0.25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VLOOKUP('Customer Info'!A329,'Customer Info'!A329:I828,2,FALSE)</f>
        <v>Mike</v>
      </c>
      <c r="H337" s="6" t="str">
        <f>VLOOKUP('Customer Info'!A329,'Customer Info'!A329:I829,3,FALSE)</f>
        <v>Pelletier</v>
      </c>
      <c r="I337" s="6" t="str">
        <f>VLOOKUP('Customer Info'!A329,'Customer Info'!A329:I828,5,FALSE)</f>
        <v>Gorakhpur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164</v>
      </c>
      <c r="R337" s="2" t="s">
        <v>28</v>
      </c>
      <c r="S337" s="9">
        <f t="shared" si="29"/>
        <v>0.02</v>
      </c>
    </row>
    <row r="338" spans="1:19" x14ac:dyDescent="0.25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VLOOKUP('Customer Info'!A330,'Customer Info'!A330:I829,2,FALSE)</f>
        <v>Mike</v>
      </c>
      <c r="H338" s="6" t="str">
        <f>VLOOKUP('Customer Info'!A330,'Customer Info'!A330:I830,3,FALSE)</f>
        <v>Gockenbach</v>
      </c>
      <c r="I338" s="6" t="str">
        <f>VLOOKUP('Customer Info'!A330,'Customer Info'!A330:I829,5,FALSE)</f>
        <v>Caloundra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510</v>
      </c>
      <c r="R338" s="2" t="s">
        <v>28</v>
      </c>
      <c r="S338" s="9">
        <f t="shared" si="29"/>
        <v>0.05</v>
      </c>
    </row>
    <row r="339" spans="1:19" x14ac:dyDescent="0.25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VLOOKUP('Customer Info'!A331,'Customer Info'!A331:I830,2,FALSE)</f>
        <v>Mike</v>
      </c>
      <c r="H339" s="6" t="str">
        <f>VLOOKUP('Customer Info'!A331,'Customer Info'!A331:I831,3,FALSE)</f>
        <v>Pelletier</v>
      </c>
      <c r="I339" s="6" t="str">
        <f>VLOOKUP('Customer Info'!A331,'Customer Info'!A331:I830,5,FALSE)</f>
        <v>Jakarta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791</v>
      </c>
      <c r="R339" s="2" t="s">
        <v>56</v>
      </c>
      <c r="S339" s="9">
        <f t="shared" si="29"/>
        <v>0.05</v>
      </c>
    </row>
    <row r="340" spans="1:19" x14ac:dyDescent="0.25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VLOOKUP('Customer Info'!A332,'Customer Info'!A332:I831,2,FALSE)</f>
        <v>Mitch</v>
      </c>
      <c r="H340" s="6" t="str">
        <f>VLOOKUP('Customer Info'!A332,'Customer Info'!A332:I832,3,FALSE)</f>
        <v>Willingham</v>
      </c>
      <c r="I340" s="6" t="str">
        <f>VLOOKUP('Customer Info'!A332,'Customer Info'!A332:I831,5,FALSE)</f>
        <v>Berlin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227</v>
      </c>
      <c r="R340" s="2" t="s">
        <v>28</v>
      </c>
      <c r="S340" s="9">
        <f t="shared" si="29"/>
        <v>0.02</v>
      </c>
    </row>
    <row r="341" spans="1:19" x14ac:dyDescent="0.25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VLOOKUP('Customer Info'!A333,'Customer Info'!A333:I832,2,FALSE)</f>
        <v>Mitch</v>
      </c>
      <c r="H341" s="6" t="str">
        <f>VLOOKUP('Customer Info'!A333,'Customer Info'!A333:I833,3,FALSE)</f>
        <v>Willingham</v>
      </c>
      <c r="I341" s="6" t="str">
        <f>VLOOKUP('Customer Info'!A333,'Customer Info'!A333:I832,5,FALSE)</f>
        <v>Surakarta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202</v>
      </c>
      <c r="R341" s="2" t="s">
        <v>50</v>
      </c>
      <c r="S341" s="9">
        <f t="shared" si="29"/>
        <v>0.02</v>
      </c>
    </row>
    <row r="342" spans="1:19" x14ac:dyDescent="0.25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VLOOKUP('Customer Info'!A334,'Customer Info'!A334:I833,2,FALSE)</f>
        <v>Monica</v>
      </c>
      <c r="H342" s="6" t="str">
        <f>VLOOKUP('Customer Info'!A334,'Customer Info'!A334:I834,3,FALSE)</f>
        <v>Federle</v>
      </c>
      <c r="I342" s="6" t="str">
        <f>VLOOKUP('Customer Info'!A334,'Customer Info'!A334:I833,5,FALSE)</f>
        <v>Lismore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265</v>
      </c>
      <c r="R342" s="2" t="s">
        <v>50</v>
      </c>
      <c r="S342" s="9">
        <f t="shared" si="29"/>
        <v>0.05</v>
      </c>
    </row>
    <row r="343" spans="1:19" x14ac:dyDescent="0.25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VLOOKUP('Customer Info'!A335,'Customer Info'!A335:I834,2,FALSE)</f>
        <v>Muhammed</v>
      </c>
      <c r="H343" s="6" t="str">
        <f>VLOOKUP('Customer Info'!A335,'Customer Info'!A335:I835,3,FALSE)</f>
        <v>Lee</v>
      </c>
      <c r="I343" s="6" t="str">
        <f>VLOOKUP('Customer Info'!A335,'Customer Info'!A335:I834,5,FALSE)</f>
        <v>Nellore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515</v>
      </c>
      <c r="R343" s="2" t="s">
        <v>50</v>
      </c>
      <c r="S343" s="9">
        <f t="shared" si="29"/>
        <v>0.05</v>
      </c>
    </row>
    <row r="344" spans="1:19" x14ac:dyDescent="0.25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VLOOKUP('Customer Info'!A336,'Customer Info'!A336:I835,2,FALSE)</f>
        <v>Muhammed</v>
      </c>
      <c r="H344" s="6" t="str">
        <f>VLOOKUP('Customer Info'!A336,'Customer Info'!A336:I836,3,FALSE)</f>
        <v>MacIntyre</v>
      </c>
      <c r="I344" s="6" t="str">
        <f>VLOOKUP('Customer Info'!A336,'Customer Info'!A336:I835,5,FALSE)</f>
        <v>Lohne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885</v>
      </c>
      <c r="R344" s="2" t="s">
        <v>28</v>
      </c>
      <c r="S344" s="9">
        <f t="shared" si="29"/>
        <v>0.05</v>
      </c>
    </row>
    <row r="345" spans="1:19" x14ac:dyDescent="0.25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VLOOKUP('Customer Info'!A337,'Customer Info'!A337:I836,2,FALSE)</f>
        <v>Nancy</v>
      </c>
      <c r="H345" s="6" t="str">
        <f>VLOOKUP('Customer Info'!A337,'Customer Info'!A337:I837,3,FALSE)</f>
        <v>Lomonaco</v>
      </c>
      <c r="I345" s="6" t="str">
        <f>VLOOKUP('Customer Info'!A337,'Customer Info'!A337:I836,5,FALSE)</f>
        <v>Tengzhou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685</v>
      </c>
      <c r="R345" s="2" t="s">
        <v>28</v>
      </c>
      <c r="S345" s="9">
        <f t="shared" si="29"/>
        <v>0.05</v>
      </c>
    </row>
    <row r="346" spans="1:19" x14ac:dyDescent="0.25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VLOOKUP('Customer Info'!A338,'Customer Info'!A338:I837,2,FALSE)</f>
        <v>Nat</v>
      </c>
      <c r="H346" s="6" t="str">
        <f>VLOOKUP('Customer Info'!A338,'Customer Info'!A338:I838,3,FALSE)</f>
        <v>Carroll</v>
      </c>
      <c r="I346" s="6" t="str">
        <f>VLOOKUP('Customer Info'!A338,'Customer Info'!A338:I837,5,FALSE)</f>
        <v>Shanghai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324</v>
      </c>
      <c r="R346" s="2" t="s">
        <v>28</v>
      </c>
      <c r="S346" s="9">
        <f t="shared" si="29"/>
        <v>0.05</v>
      </c>
    </row>
    <row r="347" spans="1:19" x14ac:dyDescent="0.25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VLOOKUP('Customer Info'!A339,'Customer Info'!A339:I838,2,FALSE)</f>
        <v>Natalie</v>
      </c>
      <c r="H347" s="6" t="str">
        <f>VLOOKUP('Customer Info'!A339,'Customer Info'!A339:I839,3,FALSE)</f>
        <v>DeCherney</v>
      </c>
      <c r="I347" s="6" t="str">
        <f>VLOOKUP('Customer Info'!A339,'Customer Info'!A339:I838,5,FALSE)</f>
        <v>Anqing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133</v>
      </c>
      <c r="R347" s="2" t="s">
        <v>26</v>
      </c>
      <c r="S347" s="9">
        <f t="shared" si="29"/>
        <v>0.02</v>
      </c>
    </row>
    <row r="348" spans="1:19" x14ac:dyDescent="0.25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VLOOKUP('Customer Info'!A340,'Customer Info'!A340:I839,2,FALSE)</f>
        <v>Natalie</v>
      </c>
      <c r="H348" s="6" t="str">
        <f>VLOOKUP('Customer Info'!A340,'Customer Info'!A340:I840,3,FALSE)</f>
        <v>Webber</v>
      </c>
      <c r="I348" s="6" t="str">
        <f>VLOOKUP('Customer Info'!A340,'Customer Info'!A340:I839,5,FALSE)</f>
        <v>Ningbo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661</v>
      </c>
      <c r="R348" s="2" t="s">
        <v>28</v>
      </c>
      <c r="S348" s="9">
        <f t="shared" si="29"/>
        <v>0.05</v>
      </c>
    </row>
    <row r="349" spans="1:19" x14ac:dyDescent="0.25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VLOOKUP('Customer Info'!A341,'Customer Info'!A341:I840,2,FALSE)</f>
        <v>Nathan</v>
      </c>
      <c r="H349" s="6" t="str">
        <f>VLOOKUP('Customer Info'!A341,'Customer Info'!A341:I841,3,FALSE)</f>
        <v>Gelder</v>
      </c>
      <c r="I349" s="6" t="str">
        <f>VLOOKUP('Customer Info'!A341,'Customer Info'!A341:I840,5,FALSE)</f>
        <v>Depok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192</v>
      </c>
      <c r="R349" s="2" t="s">
        <v>26</v>
      </c>
      <c r="S349" s="9">
        <f t="shared" si="29"/>
        <v>0.02</v>
      </c>
    </row>
    <row r="350" spans="1:19" x14ac:dyDescent="0.25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VLOOKUP('Customer Info'!A342,'Customer Info'!A342:I841,2,FALSE)</f>
        <v>Neil</v>
      </c>
      <c r="H350" s="6" t="str">
        <f>VLOOKUP('Customer Info'!A342,'Customer Info'!A342:I842,3,FALSE)</f>
        <v>Franzšsisch</v>
      </c>
      <c r="I350" s="6" t="str">
        <f>VLOOKUP('Customer Info'!A342,'Customer Info'!A342:I841,5,FALSE)</f>
        <v>Mount Isa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370</v>
      </c>
      <c r="R350" s="2" t="s">
        <v>50</v>
      </c>
      <c r="S350" s="9">
        <f t="shared" si="29"/>
        <v>0.05</v>
      </c>
    </row>
    <row r="351" spans="1:19" x14ac:dyDescent="0.25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VLOOKUP('Customer Info'!A343,'Customer Info'!A343:I842,2,FALSE)</f>
        <v>Neil</v>
      </c>
      <c r="H351" s="6" t="str">
        <f>VLOOKUP('Customer Info'!A343,'Customer Info'!A343:I843,3,FALSE)</f>
        <v>Knudson</v>
      </c>
      <c r="I351" s="6" t="str">
        <f>VLOOKUP('Customer Info'!A343,'Customer Info'!A343:I842,5,FALSE)</f>
        <v>Malang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612</v>
      </c>
      <c r="R351" s="2" t="s">
        <v>50</v>
      </c>
      <c r="S351" s="9">
        <f t="shared" si="29"/>
        <v>0.05</v>
      </c>
    </row>
    <row r="352" spans="1:19" x14ac:dyDescent="0.25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VLOOKUP('Customer Info'!A344,'Customer Info'!A344:I843,2,FALSE)</f>
        <v>Neoma</v>
      </c>
      <c r="H352" s="6" t="str">
        <f>VLOOKUP('Customer Info'!A344,'Customer Info'!A344:I844,3,FALSE)</f>
        <v>Murray</v>
      </c>
      <c r="I352" s="6" t="str">
        <f>VLOOKUP('Customer Info'!A344,'Customer Info'!A344:I843,5,FALSE)</f>
        <v>Guwahati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385</v>
      </c>
      <c r="R352" s="2" t="s">
        <v>50</v>
      </c>
      <c r="S352" s="9">
        <f t="shared" si="29"/>
        <v>0.05</v>
      </c>
    </row>
    <row r="353" spans="1:19" x14ac:dyDescent="0.25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VLOOKUP('Customer Info'!A345,'Customer Info'!A345:I844,2,FALSE)</f>
        <v>Nick</v>
      </c>
      <c r="H353" s="6" t="str">
        <f>VLOOKUP('Customer Info'!A345,'Customer Info'!A345:I845,3,FALSE)</f>
        <v>Radford</v>
      </c>
      <c r="I353" s="6" t="str">
        <f>VLOOKUP('Customer Info'!A345,'Customer Info'!A345:I844,5,FALSE)</f>
        <v>Lucknow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78</v>
      </c>
      <c r="R353" s="2" t="s">
        <v>28</v>
      </c>
      <c r="S353" s="9">
        <f t="shared" si="29"/>
        <v>0.02</v>
      </c>
    </row>
    <row r="354" spans="1:19" x14ac:dyDescent="0.25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VLOOKUP('Customer Info'!A346,'Customer Info'!A346:I845,2,FALSE)</f>
        <v>Nick</v>
      </c>
      <c r="H354" s="6" t="str">
        <f>VLOOKUP('Customer Info'!A346,'Customer Info'!A346:I846,3,FALSE)</f>
        <v>Zandusky</v>
      </c>
      <c r="I354" s="6" t="str">
        <f>VLOOKUP('Customer Info'!A346,'Customer Info'!A346:I845,5,FALSE)</f>
        <v>Surabaya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3642</v>
      </c>
      <c r="R354" s="2" t="s">
        <v>50</v>
      </c>
      <c r="S354" s="9">
        <f t="shared" si="29"/>
        <v>0.09</v>
      </c>
    </row>
    <row r="355" spans="1:19" x14ac:dyDescent="0.25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VLOOKUP('Customer Info'!A347,'Customer Info'!A347:I846,2,FALSE)</f>
        <v>Nicole</v>
      </c>
      <c r="H355" s="6" t="str">
        <f>VLOOKUP('Customer Info'!A347,'Customer Info'!A347:I847,3,FALSE)</f>
        <v>Fjeld</v>
      </c>
      <c r="I355" s="6" t="str">
        <f>VLOOKUP('Customer Info'!A347,'Customer Info'!A347:I846,5,FALSE)</f>
        <v>Berlin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1070</v>
      </c>
      <c r="R355" s="2" t="s">
        <v>28</v>
      </c>
      <c r="S355" s="9">
        <f t="shared" si="29"/>
        <v>0.05</v>
      </c>
    </row>
    <row r="356" spans="1:19" x14ac:dyDescent="0.25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VLOOKUP('Customer Info'!A348,'Customer Info'!A348:I847,2,FALSE)</f>
        <v>Olvera</v>
      </c>
      <c r="H356" s="6" t="str">
        <f>VLOOKUP('Customer Info'!A348,'Customer Info'!A348:I848,3,FALSE)</f>
        <v>Toch</v>
      </c>
      <c r="I356" s="6" t="str">
        <f>VLOOKUP('Customer Info'!A348,'Customer Info'!A348:I847,5,FALSE)</f>
        <v>Neubrandenburg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1015</v>
      </c>
      <c r="R356" s="2" t="s">
        <v>50</v>
      </c>
      <c r="S356" s="9">
        <f t="shared" si="29"/>
        <v>7.0000000000000007E-2</v>
      </c>
    </row>
    <row r="357" spans="1:19" x14ac:dyDescent="0.25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VLOOKUP('Customer Info'!A349,'Customer Info'!A349:I848,2,FALSE)</f>
        <v>Olvera</v>
      </c>
      <c r="H357" s="6" t="str">
        <f>VLOOKUP('Customer Info'!A349,'Customer Info'!A349:I849,3,FALSE)</f>
        <v>Toch</v>
      </c>
      <c r="I357" s="6" t="str">
        <f>VLOOKUP('Customer Info'!A349,'Customer Info'!A349:I848,5,FALSE)</f>
        <v>Wollongong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99</v>
      </c>
      <c r="R357" s="2" t="s">
        <v>28</v>
      </c>
      <c r="S357" s="9">
        <f t="shared" si="29"/>
        <v>0.02</v>
      </c>
    </row>
    <row r="358" spans="1:19" x14ac:dyDescent="0.25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VLOOKUP('Customer Info'!A350,'Customer Info'!A350:I849,2,FALSE)</f>
        <v>Pamela</v>
      </c>
      <c r="H358" s="6" t="str">
        <f>VLOOKUP('Customer Info'!A350,'Customer Info'!A350:I850,3,FALSE)</f>
        <v>Stobb</v>
      </c>
      <c r="I358" s="6" t="str">
        <f>VLOOKUP('Customer Info'!A350,'Customer Info'!A350:I849,5,FALSE)</f>
        <v>Berlin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298</v>
      </c>
      <c r="R358" s="2" t="s">
        <v>50</v>
      </c>
      <c r="S358" s="9">
        <f t="shared" si="29"/>
        <v>0.02</v>
      </c>
    </row>
    <row r="359" spans="1:19" x14ac:dyDescent="0.25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VLOOKUP('Customer Info'!A351,'Customer Info'!A351:I850,2,FALSE)</f>
        <v>Pamela</v>
      </c>
      <c r="H359" s="6" t="str">
        <f>VLOOKUP('Customer Info'!A351,'Customer Info'!A351:I851,3,FALSE)</f>
        <v>Coakley</v>
      </c>
      <c r="I359" s="6" t="str">
        <f>VLOOKUP('Customer Info'!A351,'Customer Info'!A351:I850,5,FALSE)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81</v>
      </c>
      <c r="R359" s="2" t="s">
        <v>28</v>
      </c>
      <c r="S359" s="9">
        <f t="shared" si="29"/>
        <v>0.02</v>
      </c>
    </row>
    <row r="360" spans="1:19" x14ac:dyDescent="0.25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VLOOKUP('Customer Info'!A352,'Customer Info'!A352:I851,2,FALSE)</f>
        <v>Pamela</v>
      </c>
      <c r="H360" s="6" t="str">
        <f>VLOOKUP('Customer Info'!A352,'Customer Info'!A352:I852,3,FALSE)</f>
        <v>Stobb</v>
      </c>
      <c r="I360" s="6" t="str">
        <f>VLOOKUP('Customer Info'!A352,'Customer Info'!A352:I851,5,FALSE)</f>
        <v>Bremen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2953</v>
      </c>
      <c r="R360" s="2" t="s">
        <v>28</v>
      </c>
      <c r="S360" s="9">
        <f t="shared" si="29"/>
        <v>7.0000000000000007E-2</v>
      </c>
    </row>
    <row r="361" spans="1:19" x14ac:dyDescent="0.25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VLOOKUP('Customer Info'!A353,'Customer Info'!A353:I852,2,FALSE)</f>
        <v>Parhena</v>
      </c>
      <c r="H361" s="6" t="str">
        <f>VLOOKUP('Customer Info'!A353,'Customer Info'!A353:I853,3,FALSE)</f>
        <v>Norris</v>
      </c>
      <c r="I361" s="6" t="str">
        <f>VLOOKUP('Customer Info'!A353,'Customer Info'!A353:I852,5,FALSE)</f>
        <v>Bandung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44</v>
      </c>
      <c r="R361" s="2" t="s">
        <v>50</v>
      </c>
      <c r="S361" s="9">
        <f t="shared" si="29"/>
        <v>0.02</v>
      </c>
    </row>
    <row r="362" spans="1:19" x14ac:dyDescent="0.25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VLOOKUP('Customer Info'!A354,'Customer Info'!A354:I853,2,FALSE)</f>
        <v>Patricia</v>
      </c>
      <c r="H362" s="6" t="str">
        <f>VLOOKUP('Customer Info'!A354,'Customer Info'!A354:I854,3,FALSE)</f>
        <v>Hirasaki</v>
      </c>
      <c r="I362" s="6" t="str">
        <f>VLOOKUP('Customer Info'!A354,'Customer Info'!A354:I853,5,FALSE)</f>
        <v>Pimpri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50</v>
      </c>
      <c r="R362" s="2" t="s">
        <v>50</v>
      </c>
      <c r="S362" s="9">
        <f t="shared" si="29"/>
        <v>0.02</v>
      </c>
    </row>
    <row r="363" spans="1:19" x14ac:dyDescent="0.25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VLOOKUP('Customer Info'!A355,'Customer Info'!A355:I854,2,FALSE)</f>
        <v>Patrick</v>
      </c>
      <c r="H363" s="6" t="str">
        <f>VLOOKUP('Customer Info'!A355,'Customer Info'!A355:I855,3,FALSE)</f>
        <v>O'Donnell</v>
      </c>
      <c r="I363" s="6" t="str">
        <f>VLOOKUP('Customer Info'!A355,'Customer Info'!A355:I854,5,FALSE)</f>
        <v>Sydney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34</v>
      </c>
      <c r="R363" s="2" t="s">
        <v>28</v>
      </c>
      <c r="S363" s="9">
        <f t="shared" si="29"/>
        <v>0.02</v>
      </c>
    </row>
    <row r="364" spans="1:19" x14ac:dyDescent="0.25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VLOOKUP('Customer Info'!A356,'Customer Info'!A356:I855,2,FALSE)</f>
        <v>Patrick</v>
      </c>
      <c r="H364" s="6" t="str">
        <f>VLOOKUP('Customer Info'!A356,'Customer Info'!A356:I856,3,FALSE)</f>
        <v>Bzostek</v>
      </c>
      <c r="I364" s="6" t="str">
        <f>VLOOKUP('Customer Info'!A356,'Customer Info'!A356:I855,5,FALSE)</f>
        <v>Brisbane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6469</v>
      </c>
      <c r="R364" s="2" t="s">
        <v>50</v>
      </c>
      <c r="S364" s="9">
        <f t="shared" si="29"/>
        <v>0.09</v>
      </c>
    </row>
    <row r="365" spans="1:19" x14ac:dyDescent="0.25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VLOOKUP('Customer Info'!A357,'Customer Info'!A357:I856,2,FALSE)</f>
        <v>Patrick</v>
      </c>
      <c r="H365" s="6" t="str">
        <f>VLOOKUP('Customer Info'!A357,'Customer Info'!A357:I857,3,FALSE)</f>
        <v>Bzostek</v>
      </c>
      <c r="I365" s="6" t="str">
        <f>VLOOKUP('Customer Info'!A357,'Customer Info'!A357:I856,5,FALSE)</f>
        <v>Krefeld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412</v>
      </c>
      <c r="R365" s="2" t="s">
        <v>50</v>
      </c>
      <c r="S365" s="9">
        <f t="shared" si="29"/>
        <v>0.05</v>
      </c>
    </row>
    <row r="366" spans="1:19" x14ac:dyDescent="0.25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VLOOKUP('Customer Info'!A358,'Customer Info'!A358:I857,2,FALSE)</f>
        <v>Paul</v>
      </c>
      <c r="H366" s="6" t="str">
        <f>VLOOKUP('Customer Info'!A358,'Customer Info'!A358:I858,3,FALSE)</f>
        <v>Gonzalez</v>
      </c>
      <c r="I366" s="6" t="str">
        <f>VLOOKUP('Customer Info'!A358,'Customer Info'!A358:I857,5,FALSE)</f>
        <v>Durgapur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369</v>
      </c>
      <c r="R366" s="2" t="s">
        <v>28</v>
      </c>
      <c r="S366" s="9">
        <f t="shared" si="29"/>
        <v>0.05</v>
      </c>
    </row>
    <row r="367" spans="1:19" x14ac:dyDescent="0.25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VLOOKUP('Customer Info'!A359,'Customer Info'!A359:I858,2,FALSE)</f>
        <v>Paul</v>
      </c>
      <c r="H367" s="6" t="str">
        <f>VLOOKUP('Customer Info'!A359,'Customer Info'!A359:I859,3,FALSE)</f>
        <v>Knutson</v>
      </c>
      <c r="I367" s="6" t="str">
        <f>VLOOKUP('Customer Info'!A359,'Customer Info'!A359:I858,5,FALSE)</f>
        <v>Gold Coast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362</v>
      </c>
      <c r="R367" s="2" t="s">
        <v>28</v>
      </c>
      <c r="S367" s="9">
        <f t="shared" si="29"/>
        <v>0.05</v>
      </c>
    </row>
    <row r="368" spans="1:19" x14ac:dyDescent="0.25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VLOOKUP('Customer Info'!A360,'Customer Info'!A360:I859,2,FALSE)</f>
        <v>Paul</v>
      </c>
      <c r="H368" s="6" t="str">
        <f>VLOOKUP('Customer Info'!A360,'Customer Info'!A360:I860,3,FALSE)</f>
        <v>Stevenson</v>
      </c>
      <c r="I368" s="6" t="str">
        <f>VLOOKUP('Customer Info'!A360,'Customer Info'!A360:I859,5,FALSE)</f>
        <v>Kwinana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240</v>
      </c>
      <c r="R368" s="2" t="s">
        <v>28</v>
      </c>
      <c r="S368" s="9">
        <f t="shared" si="29"/>
        <v>0.02</v>
      </c>
    </row>
    <row r="369" spans="1:19" x14ac:dyDescent="0.25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VLOOKUP('Customer Info'!A361,'Customer Info'!A361:I860,2,FALSE)</f>
        <v>Pauline</v>
      </c>
      <c r="H369" s="6" t="str">
        <f>VLOOKUP('Customer Info'!A361,'Customer Info'!A361:I861,3,FALSE)</f>
        <v>Chand</v>
      </c>
      <c r="I369" s="6" t="str">
        <f>VLOOKUP('Customer Info'!A361,'Customer Info'!A361:I860,5,FALSE)</f>
        <v>Perth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281</v>
      </c>
      <c r="R369" s="2" t="s">
        <v>28</v>
      </c>
      <c r="S369" s="9">
        <f t="shared" si="29"/>
        <v>0.02</v>
      </c>
    </row>
    <row r="370" spans="1:19" x14ac:dyDescent="0.25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VLOOKUP('Customer Info'!A362,'Customer Info'!A362:I861,2,FALSE)</f>
        <v>Peter</v>
      </c>
      <c r="H370" s="6" t="str">
        <f>VLOOKUP('Customer Info'!A362,'Customer Info'!A362:I862,3,FALSE)</f>
        <v>BŸhler</v>
      </c>
      <c r="I370" s="6" t="str">
        <f>VLOOKUP('Customer Info'!A362,'Customer Info'!A362:I861,5,FALSE)</f>
        <v>Dresden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20</v>
      </c>
      <c r="R370" s="2" t="s">
        <v>50</v>
      </c>
      <c r="S370" s="9">
        <f t="shared" si="29"/>
        <v>0.02</v>
      </c>
    </row>
    <row r="371" spans="1:19" x14ac:dyDescent="0.25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VLOOKUP('Customer Info'!A363,'Customer Info'!A363:I862,2,FALSE)</f>
        <v>Peter</v>
      </c>
      <c r="H371" s="6" t="str">
        <f>VLOOKUP('Customer Info'!A363,'Customer Info'!A363:I863,3,FALSE)</f>
        <v>McVee</v>
      </c>
      <c r="I371" s="6" t="str">
        <f>VLOOKUP('Customer Info'!A363,'Customer Info'!A363:I862,5,FALSE)</f>
        <v>Hamburg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208</v>
      </c>
      <c r="R371" s="2" t="s">
        <v>28</v>
      </c>
      <c r="S371" s="9">
        <f t="shared" si="29"/>
        <v>0.02</v>
      </c>
    </row>
    <row r="372" spans="1:19" x14ac:dyDescent="0.25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VLOOKUP('Customer Info'!A364,'Customer Info'!A364:I863,2,FALSE)</f>
        <v>Peter</v>
      </c>
      <c r="H372" s="6" t="str">
        <f>VLOOKUP('Customer Info'!A364,'Customer Info'!A364:I864,3,FALSE)</f>
        <v>BŸhler</v>
      </c>
      <c r="I372" s="6" t="str">
        <f>VLOOKUP('Customer Info'!A364,'Customer Info'!A364:I863,5,FALSE)</f>
        <v>Wolfsburg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966</v>
      </c>
      <c r="R372" s="2" t="s">
        <v>28</v>
      </c>
      <c r="S372" s="9">
        <f t="shared" si="29"/>
        <v>0.05</v>
      </c>
    </row>
    <row r="373" spans="1:19" x14ac:dyDescent="0.25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VLOOKUP('Customer Info'!A365,'Customer Info'!A365:I864,2,FALSE)</f>
        <v>Philip</v>
      </c>
      <c r="H373" s="6" t="str">
        <f>VLOOKUP('Customer Info'!A365,'Customer Info'!A365:I865,3,FALSE)</f>
        <v>Fox</v>
      </c>
      <c r="I373" s="6" t="str">
        <f>VLOOKUP('Customer Info'!A365,'Customer Info'!A365:I864,5,FALSE)</f>
        <v>Mount Isa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262</v>
      </c>
      <c r="R373" s="2" t="s">
        <v>28</v>
      </c>
      <c r="S373" s="9">
        <f t="shared" si="29"/>
        <v>0.02</v>
      </c>
    </row>
    <row r="374" spans="1:19" x14ac:dyDescent="0.25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VLOOKUP('Customer Info'!A366,'Customer Info'!A366:I865,2,FALSE)</f>
        <v>Philip</v>
      </c>
      <c r="H374" s="6" t="str">
        <f>VLOOKUP('Customer Info'!A366,'Customer Info'!A366:I866,3,FALSE)</f>
        <v>Brown</v>
      </c>
      <c r="I374" s="6" t="str">
        <f>VLOOKUP('Customer Info'!A366,'Customer Info'!A366:I865,5,FALSE)</f>
        <v>Binjai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1836</v>
      </c>
      <c r="R374" s="2" t="s">
        <v>56</v>
      </c>
      <c r="S374" s="9">
        <f t="shared" si="29"/>
        <v>0.05</v>
      </c>
    </row>
    <row r="375" spans="1:19" x14ac:dyDescent="0.25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VLOOKUP('Customer Info'!A367,'Customer Info'!A367:I866,2,FALSE)</f>
        <v>Philip</v>
      </c>
      <c r="H375" s="6" t="str">
        <f>VLOOKUP('Customer Info'!A367,'Customer Info'!A367:I867,3,FALSE)</f>
        <v>Fox</v>
      </c>
      <c r="I375" s="6" t="str">
        <f>VLOOKUP('Customer Info'!A367,'Customer Info'!A367:I866,5,FALSE)</f>
        <v>Remscheid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637</v>
      </c>
      <c r="R375" s="2" t="s">
        <v>50</v>
      </c>
      <c r="S375" s="9">
        <f t="shared" si="29"/>
        <v>7.0000000000000007E-2</v>
      </c>
    </row>
    <row r="376" spans="1:19" x14ac:dyDescent="0.25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VLOOKUP('Customer Info'!A368,'Customer Info'!A368:I867,2,FALSE)</f>
        <v>Philisse</v>
      </c>
      <c r="H376" s="6" t="str">
        <f>VLOOKUP('Customer Info'!A368,'Customer Info'!A368:I868,3,FALSE)</f>
        <v>Overcash</v>
      </c>
      <c r="I376" s="6" t="str">
        <f>VLOOKUP('Customer Info'!A368,'Customer Info'!A368:I867,5,FALSE)</f>
        <v>Devonport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369</v>
      </c>
      <c r="R376" s="2" t="s">
        <v>50</v>
      </c>
      <c r="S376" s="9">
        <f t="shared" si="29"/>
        <v>0.02</v>
      </c>
    </row>
    <row r="377" spans="1:19" x14ac:dyDescent="0.25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VLOOKUP('Customer Info'!A369,'Customer Info'!A369:I868,2,FALSE)</f>
        <v>Philisse</v>
      </c>
      <c r="H377" s="6" t="str">
        <f>VLOOKUP('Customer Info'!A369,'Customer Info'!A369:I869,3,FALSE)</f>
        <v>Overcash</v>
      </c>
      <c r="I377" s="6" t="str">
        <f>VLOOKUP('Customer Info'!A369,'Customer Info'!A369:I868,5,FALSE)</f>
        <v>Potsdam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557</v>
      </c>
      <c r="R377" s="2" t="s">
        <v>28</v>
      </c>
      <c r="S377" s="9">
        <f t="shared" si="29"/>
        <v>0.05</v>
      </c>
    </row>
    <row r="378" spans="1:19" x14ac:dyDescent="0.25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VLOOKUP('Customer Info'!A370,'Customer Info'!A370:I869,2,FALSE)</f>
        <v>Quincy</v>
      </c>
      <c r="H378" s="6" t="str">
        <f>VLOOKUP('Customer Info'!A370,'Customer Info'!A370:I870,3,FALSE)</f>
        <v>Jones</v>
      </c>
      <c r="I378" s="6" t="str">
        <f>VLOOKUP('Customer Info'!A370,'Customer Info'!A370:I869,5,FALSE)</f>
        <v>Gold Coast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14</v>
      </c>
      <c r="R378" s="2" t="s">
        <v>28</v>
      </c>
      <c r="S378" s="9">
        <f t="shared" si="29"/>
        <v>0.02</v>
      </c>
    </row>
    <row r="379" spans="1:19" x14ac:dyDescent="0.25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VLOOKUP('Customer Info'!A371,'Customer Info'!A371:I870,2,FALSE)</f>
        <v>Rachel</v>
      </c>
      <c r="H379" s="6" t="str">
        <f>VLOOKUP('Customer Info'!A371,'Customer Info'!A371:I871,3,FALSE)</f>
        <v>Payne</v>
      </c>
      <c r="I379" s="6" t="str">
        <f>VLOOKUP('Customer Info'!A371,'Customer Info'!A371:I870,5,FALSE)</f>
        <v>Caloundra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427</v>
      </c>
      <c r="R379" s="2" t="s">
        <v>50</v>
      </c>
      <c r="S379" s="9">
        <f t="shared" si="29"/>
        <v>0.05</v>
      </c>
    </row>
    <row r="380" spans="1:19" x14ac:dyDescent="0.25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VLOOKUP('Customer Info'!A372,'Customer Info'!A372:I871,2,FALSE)</f>
        <v>Rachel</v>
      </c>
      <c r="H380" s="6" t="str">
        <f>VLOOKUP('Customer Info'!A372,'Customer Info'!A372:I872,3,FALSE)</f>
        <v>Payne</v>
      </c>
      <c r="I380" s="6" t="str">
        <f>VLOOKUP('Customer Info'!A372,'Customer Info'!A372:I871,5,FALSE)</f>
        <v>Mianyang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504</v>
      </c>
      <c r="R380" s="2" t="s">
        <v>28</v>
      </c>
      <c r="S380" s="9">
        <f t="shared" si="29"/>
        <v>0.05</v>
      </c>
    </row>
    <row r="381" spans="1:19" x14ac:dyDescent="0.25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VLOOKUP('Customer Info'!A373,'Customer Info'!A373:I872,2,FALSE)</f>
        <v>Rachel</v>
      </c>
      <c r="H381" s="6" t="str">
        <f>VLOOKUP('Customer Info'!A373,'Customer Info'!A373:I873,3,FALSE)</f>
        <v>Payne</v>
      </c>
      <c r="I381" s="6" t="str">
        <f>VLOOKUP('Customer Info'!A373,'Customer Info'!A373:I872,5,FALSE)</f>
        <v>Nagercoil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399</v>
      </c>
      <c r="R381" s="2" t="s">
        <v>50</v>
      </c>
      <c r="S381" s="9">
        <f t="shared" si="29"/>
        <v>0.05</v>
      </c>
    </row>
    <row r="382" spans="1:19" x14ac:dyDescent="0.25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VLOOKUP('Customer Info'!A374,'Customer Info'!A374:I873,2,FALSE)</f>
        <v>Rachel</v>
      </c>
      <c r="H382" s="6" t="str">
        <f>VLOOKUP('Customer Info'!A374,'Customer Info'!A374:I874,3,FALSE)</f>
        <v>Payne</v>
      </c>
      <c r="I382" s="6" t="str">
        <f>VLOOKUP('Customer Info'!A374,'Customer Info'!A374:I873,5,FALSE)</f>
        <v>Fuzhou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736</v>
      </c>
      <c r="R382" s="2" t="s">
        <v>28</v>
      </c>
      <c r="S382" s="9">
        <f t="shared" si="29"/>
        <v>0.05</v>
      </c>
    </row>
    <row r="383" spans="1:19" x14ac:dyDescent="0.25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VLOOKUP('Customer Info'!A375,'Customer Info'!A375:I874,2,FALSE)</f>
        <v>Rachel</v>
      </c>
      <c r="H383" s="6" t="str">
        <f>VLOOKUP('Customer Info'!A375,'Customer Info'!A375:I875,3,FALSE)</f>
        <v>Payne</v>
      </c>
      <c r="I383" s="6" t="str">
        <f>VLOOKUP('Customer Info'!A375,'Customer Info'!A375:I874,5,FALSE)</f>
        <v>Raipur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391</v>
      </c>
      <c r="R383" s="2" t="s">
        <v>50</v>
      </c>
      <c r="S383" s="9">
        <f t="shared" si="29"/>
        <v>0.05</v>
      </c>
    </row>
    <row r="384" spans="1:19" x14ac:dyDescent="0.25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VLOOKUP('Customer Info'!A376,'Customer Info'!A376:I875,2,FALSE)</f>
        <v>Ralph</v>
      </c>
      <c r="H384" s="6" t="str">
        <f>VLOOKUP('Customer Info'!A376,'Customer Info'!A376:I876,3,FALSE)</f>
        <v>Kennedy</v>
      </c>
      <c r="I384" s="6" t="str">
        <f>VLOOKUP('Customer Info'!A376,'Customer Info'!A376:I875,5,FALSE)</f>
        <v>Perth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1331</v>
      </c>
      <c r="R384" s="2" t="s">
        <v>26</v>
      </c>
      <c r="S384" s="9">
        <f t="shared" si="29"/>
        <v>0.05</v>
      </c>
    </row>
    <row r="385" spans="1:19" x14ac:dyDescent="0.25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VLOOKUP('Customer Info'!A377,'Customer Info'!A377:I876,2,FALSE)</f>
        <v>Ralph</v>
      </c>
      <c r="H385" s="6" t="str">
        <f>VLOOKUP('Customer Info'!A377,'Customer Info'!A377:I877,3,FALSE)</f>
        <v>Arnett</v>
      </c>
      <c r="I385" s="6" t="str">
        <f>VLOOKUP('Customer Info'!A377,'Customer Info'!A377:I876,5,FALSE)</f>
        <v>Jhansi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2951</v>
      </c>
      <c r="R385" s="2" t="s">
        <v>50</v>
      </c>
      <c r="S385" s="9">
        <f t="shared" si="29"/>
        <v>7.0000000000000007E-2</v>
      </c>
    </row>
    <row r="386" spans="1:19" x14ac:dyDescent="0.25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VLOOKUP('Customer Info'!A378,'Customer Info'!A378:I877,2,FALSE)</f>
        <v>Ralph</v>
      </c>
      <c r="H386" s="6" t="str">
        <f>VLOOKUP('Customer Info'!A378,'Customer Info'!A378:I878,3,FALSE)</f>
        <v>Arnett</v>
      </c>
      <c r="I386" s="6" t="str">
        <f>VLOOKUP('Customer Info'!A378,'Customer Info'!A378:I877,5,FALSE)</f>
        <v>Shenyang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54</v>
      </c>
      <c r="R386" s="2" t="s">
        <v>26</v>
      </c>
      <c r="S386" s="9">
        <f t="shared" si="29"/>
        <v>0.02</v>
      </c>
    </row>
    <row r="387" spans="1:19" x14ac:dyDescent="0.25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VLOOKUP('Customer Info'!A379,'Customer Info'!A379:I878,2,FALSE)</f>
        <v>Ralph</v>
      </c>
      <c r="H387" s="6" t="str">
        <f>VLOOKUP('Customer Info'!A379,'Customer Info'!A379:I879,3,FALSE)</f>
        <v>Arnett</v>
      </c>
      <c r="I387" s="6" t="str">
        <f>VLOOKUP('Customer Info'!A379,'Customer Info'!A379:I878,5,FALSE)</f>
        <v>Suzhou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169</v>
      </c>
      <c r="R387" s="2" t="s">
        <v>28</v>
      </c>
      <c r="S387" s="9">
        <f t="shared" si="29"/>
        <v>0.02</v>
      </c>
    </row>
    <row r="388" spans="1:19" x14ac:dyDescent="0.25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VLOOKUP('Customer Info'!A380,'Customer Info'!A380:I879,2,FALSE)</f>
        <v>Ralph</v>
      </c>
      <c r="H388" s="6" t="str">
        <f>VLOOKUP('Customer Info'!A380,'Customer Info'!A380:I880,3,FALSE)</f>
        <v>Arnett</v>
      </c>
      <c r="I388" s="6" t="str">
        <f>VLOOKUP('Customer Info'!A380,'Customer Info'!A380:I879,5,FALSE)</f>
        <v>Wolfsburg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38</v>
      </c>
      <c r="R388" s="2" t="s">
        <v>50</v>
      </c>
      <c r="S388" s="9">
        <f t="shared" si="29"/>
        <v>0.02</v>
      </c>
    </row>
    <row r="389" spans="1:19" x14ac:dyDescent="0.25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VLOOKUP('Customer Info'!A381,'Customer Info'!A381:I880,2,FALSE)</f>
        <v>Ralph</v>
      </c>
      <c r="H389" s="6" t="str">
        <f>VLOOKUP('Customer Info'!A381,'Customer Info'!A381:I881,3,FALSE)</f>
        <v>Kennedy</v>
      </c>
      <c r="I389" s="6" t="str">
        <f>VLOOKUP('Customer Info'!A381,'Customer Info'!A381:I880,5,FALSE)</f>
        <v>Bundaberg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3522</v>
      </c>
      <c r="R389" s="2" t="s">
        <v>28</v>
      </c>
      <c r="S389" s="9">
        <f t="shared" si="29"/>
        <v>0.09</v>
      </c>
    </row>
    <row r="390" spans="1:19" x14ac:dyDescent="0.25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VLOOKUP('Customer Info'!A382,'Customer Info'!A382:I881,2,FALSE)</f>
        <v>Randy</v>
      </c>
      <c r="H390" s="6" t="str">
        <f>VLOOKUP('Customer Info'!A382,'Customer Info'!A382:I882,3,FALSE)</f>
        <v>Ferguson</v>
      </c>
      <c r="I390" s="6" t="str">
        <f>VLOOKUP('Customer Info'!A382,'Customer Info'!A382:I881,5,FALSE)</f>
        <v>Adelaide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333</v>
      </c>
      <c r="R390" s="2" t="s">
        <v>28</v>
      </c>
      <c r="S390" s="9">
        <f t="shared" si="29"/>
        <v>0.02</v>
      </c>
    </row>
    <row r="391" spans="1:19" x14ac:dyDescent="0.25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VLOOKUP('Customer Info'!A383,'Customer Info'!A383:I882,2,FALSE)</f>
        <v>Randy</v>
      </c>
      <c r="H391" s="6" t="str">
        <f>VLOOKUP('Customer Info'!A383,'Customer Info'!A383:I883,3,FALSE)</f>
        <v>Bradley</v>
      </c>
      <c r="I391" s="6" t="str">
        <f>VLOOKUP('Customer Info'!A383,'Customer Info'!A383:I882,5,FALSE)</f>
        <v>Wollongong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255</v>
      </c>
      <c r="R391" s="2" t="s">
        <v>28</v>
      </c>
      <c r="S391" s="9">
        <f t="shared" si="29"/>
        <v>0.05</v>
      </c>
    </row>
    <row r="392" spans="1:19" x14ac:dyDescent="0.25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VLOOKUP('Customer Info'!A384,'Customer Info'!A384:I883,2,FALSE)</f>
        <v>Resi</v>
      </c>
      <c r="H392" s="6" t="str">
        <f>VLOOKUP('Customer Info'!A384,'Customer Info'!A384:I884,3,FALSE)</f>
        <v>Pšlking</v>
      </c>
      <c r="I392" s="6" t="str">
        <f>VLOOKUP('Customer Info'!A384,'Customer Info'!A384:I883,5,FALSE)</f>
        <v>Gelsenkirchen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270</v>
      </c>
      <c r="R392" s="2" t="s">
        <v>28</v>
      </c>
      <c r="S392" s="9">
        <f t="shared" si="29"/>
        <v>0.05</v>
      </c>
    </row>
    <row r="393" spans="1:19" x14ac:dyDescent="0.25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VLOOKUP('Customer Info'!A385,'Customer Info'!A385:I884,2,FALSE)</f>
        <v>Rick</v>
      </c>
      <c r="H393" s="6" t="str">
        <f>VLOOKUP('Customer Info'!A385,'Customer Info'!A385:I885,3,FALSE)</f>
        <v>Reed</v>
      </c>
      <c r="I393" s="6" t="str">
        <f>VLOOKUP('Customer Info'!A385,'Customer Info'!A385:I884,5,FALSE)</f>
        <v>Lucknow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3590</v>
      </c>
      <c r="R393" s="2" t="s">
        <v>28</v>
      </c>
      <c r="S393" s="9">
        <f t="shared" si="29"/>
        <v>7.0000000000000007E-2</v>
      </c>
    </row>
    <row r="394" spans="1:19" x14ac:dyDescent="0.25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VLOOKUP('Customer Info'!A386,'Customer Info'!A386:I885,2,FALSE)</f>
        <v>Rick</v>
      </c>
      <c r="H394" s="6" t="str">
        <f>VLOOKUP('Customer Info'!A386,'Customer Info'!A386:I886,3,FALSE)</f>
        <v>Duston</v>
      </c>
      <c r="I394" s="6" t="str">
        <f>VLOOKUP('Customer Info'!A386,'Customer Info'!A386:I885,5,FALSE)</f>
        <v>Bhiwandi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1133</v>
      </c>
      <c r="R394" s="2" t="s">
        <v>56</v>
      </c>
      <c r="S394" s="9">
        <f t="shared" si="29"/>
        <v>0.05</v>
      </c>
    </row>
    <row r="395" spans="1:19" x14ac:dyDescent="0.25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VLOOKUP('Customer Info'!A387,'Customer Info'!A387:I886,2,FALSE)</f>
        <v>Rick</v>
      </c>
      <c r="H395" s="6" t="str">
        <f>VLOOKUP('Customer Info'!A387,'Customer Info'!A387:I887,3,FALSE)</f>
        <v>Duston</v>
      </c>
      <c r="I395" s="6" t="str">
        <f>VLOOKUP('Customer Info'!A387,'Customer Info'!A387:I886,5,FALSE)</f>
        <v>Surakarta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8">
        <f t="shared" ref="P395:P458" si="32">N395+O395</f>
        <v>1600</v>
      </c>
      <c r="Q395" s="8">
        <f t="shared" ref="Q395:Q458" si="33">P395-M395</f>
        <v>208</v>
      </c>
      <c r="R395" s="2" t="s">
        <v>26</v>
      </c>
      <c r="S395" s="9">
        <f t="shared" ref="S395:S458" si="34">VLOOKUP(P395,$T$2:$U$7,2,TRUE)</f>
        <v>0.02</v>
      </c>
    </row>
    <row r="396" spans="1:19" x14ac:dyDescent="0.25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VLOOKUP('Customer Info'!A388,'Customer Info'!A388:I887,2,FALSE)</f>
        <v>Ritsa</v>
      </c>
      <c r="H396" s="6" t="str">
        <f>VLOOKUP('Customer Info'!A388,'Customer Info'!A388:I888,3,FALSE)</f>
        <v>Hightower</v>
      </c>
      <c r="I396" s="6" t="str">
        <f>VLOOKUP('Customer Info'!A388,'Customer Info'!A388:I887,5,FALSE)</f>
        <v>Hamburg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1509</v>
      </c>
      <c r="R396" s="2" t="s">
        <v>56</v>
      </c>
      <c r="S396" s="9">
        <f t="shared" si="34"/>
        <v>0.05</v>
      </c>
    </row>
    <row r="397" spans="1:19" x14ac:dyDescent="0.25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VLOOKUP('Customer Info'!A389,'Customer Info'!A389:I888,2,FALSE)</f>
        <v>Ritsa</v>
      </c>
      <c r="H397" s="6" t="str">
        <f>VLOOKUP('Customer Info'!A389,'Customer Info'!A389:I889,3,FALSE)</f>
        <v>Hightower</v>
      </c>
      <c r="I397" s="6" t="str">
        <f>VLOOKUP('Customer Info'!A389,'Customer Info'!A389:I888,5,FALSE)</f>
        <v>Datong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437</v>
      </c>
      <c r="R397" s="2" t="s">
        <v>28</v>
      </c>
      <c r="S397" s="9">
        <f t="shared" si="34"/>
        <v>0.05</v>
      </c>
    </row>
    <row r="398" spans="1:19" x14ac:dyDescent="0.25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VLOOKUP('Customer Info'!A390,'Customer Info'!A390:I889,2,FALSE)</f>
        <v>Rob</v>
      </c>
      <c r="H398" s="6" t="str">
        <f>VLOOKUP('Customer Info'!A390,'Customer Info'!A390:I890,3,FALSE)</f>
        <v>Williams</v>
      </c>
      <c r="I398" s="6" t="str">
        <f>VLOOKUP('Customer Info'!A390,'Customer Info'!A390:I889,5,FALSE)</f>
        <v>Wodonga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40</v>
      </c>
      <c r="R398" s="2" t="s">
        <v>28</v>
      </c>
      <c r="S398" s="9">
        <f t="shared" si="34"/>
        <v>0.02</v>
      </c>
    </row>
    <row r="399" spans="1:19" x14ac:dyDescent="0.25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VLOOKUP('Customer Info'!A391,'Customer Info'!A391:I890,2,FALSE)</f>
        <v>Rob</v>
      </c>
      <c r="H399" s="6" t="str">
        <f>VLOOKUP('Customer Info'!A391,'Customer Info'!A391:I891,3,FALSE)</f>
        <v>Haberlin</v>
      </c>
      <c r="I399" s="6" t="str">
        <f>VLOOKUP('Customer Info'!A391,'Customer Info'!A391:I890,5,FALSE)</f>
        <v>Harbin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1785</v>
      </c>
      <c r="R399" s="2" t="s">
        <v>26</v>
      </c>
      <c r="S399" s="9">
        <f t="shared" si="34"/>
        <v>0.05</v>
      </c>
    </row>
    <row r="400" spans="1:19" x14ac:dyDescent="0.25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VLOOKUP('Customer Info'!A392,'Customer Info'!A392:I891,2,FALSE)</f>
        <v>Robert</v>
      </c>
      <c r="H400" s="6" t="str">
        <f>VLOOKUP('Customer Info'!A392,'Customer Info'!A392:I892,3,FALSE)</f>
        <v>Dilbeck</v>
      </c>
      <c r="I400" s="6" t="str">
        <f>VLOOKUP('Customer Info'!A392,'Customer Info'!A392:I891,5,FALSE)</f>
        <v>Sydney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1521</v>
      </c>
      <c r="R400" s="2" t="s">
        <v>28</v>
      </c>
      <c r="S400" s="9">
        <f t="shared" si="34"/>
        <v>0.05</v>
      </c>
    </row>
    <row r="401" spans="1:19" x14ac:dyDescent="0.25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VLOOKUP('Customer Info'!A393,'Customer Info'!A393:I892,2,FALSE)</f>
        <v>Robert</v>
      </c>
      <c r="H401" s="6" t="str">
        <f>VLOOKUP('Customer Info'!A393,'Customer Info'!A393:I893,3,FALSE)</f>
        <v>Dilbeck</v>
      </c>
      <c r="I401" s="6" t="str">
        <f>VLOOKUP('Customer Info'!A393,'Customer Info'!A393:I892,5,FALSE)</f>
        <v>Bihar Sharif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251</v>
      </c>
      <c r="R401" s="2" t="s">
        <v>28</v>
      </c>
      <c r="S401" s="9">
        <f t="shared" si="34"/>
        <v>0.02</v>
      </c>
    </row>
    <row r="402" spans="1:19" x14ac:dyDescent="0.25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VLOOKUP('Customer Info'!A394,'Customer Info'!A394:I893,2,FALSE)</f>
        <v>Robert</v>
      </c>
      <c r="H402" s="6" t="str">
        <f>VLOOKUP('Customer Info'!A394,'Customer Info'!A394:I894,3,FALSE)</f>
        <v>Dilbeck</v>
      </c>
      <c r="I402" s="6" t="str">
        <f>VLOOKUP('Customer Info'!A394,'Customer Info'!A394:I893,5,FALSE)</f>
        <v>Melton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1187</v>
      </c>
      <c r="R402" s="2" t="s">
        <v>28</v>
      </c>
      <c r="S402" s="9">
        <f t="shared" si="34"/>
        <v>0.05</v>
      </c>
    </row>
    <row r="403" spans="1:19" x14ac:dyDescent="0.25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VLOOKUP('Customer Info'!A395,'Customer Info'!A395:I894,2,FALSE)</f>
        <v>Robert</v>
      </c>
      <c r="H403" s="6" t="str">
        <f>VLOOKUP('Customer Info'!A395,'Customer Info'!A395:I895,3,FALSE)</f>
        <v>Waldorf</v>
      </c>
      <c r="I403" s="6" t="str">
        <f>VLOOKUP('Customer Info'!A395,'Customer Info'!A395:I894,5,FALSE)</f>
        <v>Emden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248</v>
      </c>
      <c r="R403" s="2" t="s">
        <v>28</v>
      </c>
      <c r="S403" s="9">
        <f t="shared" si="34"/>
        <v>0.02</v>
      </c>
    </row>
    <row r="404" spans="1:19" x14ac:dyDescent="0.25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VLOOKUP('Customer Info'!A396,'Customer Info'!A396:I895,2,FALSE)</f>
        <v>Roger</v>
      </c>
      <c r="H404" s="6" t="str">
        <f>VLOOKUP('Customer Info'!A396,'Customer Info'!A396:I896,3,FALSE)</f>
        <v>Demir</v>
      </c>
      <c r="I404" s="6" t="str">
        <f>VLOOKUP('Customer Info'!A396,'Customer Info'!A396:I895,5,FALSE)</f>
        <v>Wollongong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47</v>
      </c>
      <c r="R404" s="2" t="s">
        <v>26</v>
      </c>
      <c r="S404" s="9">
        <f t="shared" si="34"/>
        <v>0.02</v>
      </c>
    </row>
    <row r="405" spans="1:19" x14ac:dyDescent="0.25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VLOOKUP('Customer Info'!A397,'Customer Info'!A397:I896,2,FALSE)</f>
        <v>Roger</v>
      </c>
      <c r="H405" s="6" t="str">
        <f>VLOOKUP('Customer Info'!A397,'Customer Info'!A397:I897,3,FALSE)</f>
        <v>Barcio</v>
      </c>
      <c r="I405" s="6" t="str">
        <f>VLOOKUP('Customer Info'!A397,'Customer Info'!A397:I896,5,FALSE)</f>
        <v>Bremen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429</v>
      </c>
      <c r="R405" s="2" t="s">
        <v>56</v>
      </c>
      <c r="S405" s="9">
        <f t="shared" si="34"/>
        <v>0.02</v>
      </c>
    </row>
    <row r="406" spans="1:19" x14ac:dyDescent="0.25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VLOOKUP('Customer Info'!A398,'Customer Info'!A398:I897,2,FALSE)</f>
        <v>Roger</v>
      </c>
      <c r="H406" s="6" t="str">
        <f>VLOOKUP('Customer Info'!A398,'Customer Info'!A398:I898,3,FALSE)</f>
        <v>Barcio</v>
      </c>
      <c r="I406" s="6" t="str">
        <f>VLOOKUP('Customer Info'!A398,'Customer Info'!A398:I897,5,FALSE)</f>
        <v>Celle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539</v>
      </c>
      <c r="R406" s="2" t="s">
        <v>28</v>
      </c>
      <c r="S406" s="9">
        <f t="shared" si="34"/>
        <v>0.05</v>
      </c>
    </row>
    <row r="407" spans="1:19" x14ac:dyDescent="0.25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VLOOKUP('Customer Info'!A399,'Customer Info'!A399:I898,2,FALSE)</f>
        <v>Roland</v>
      </c>
      <c r="H407" s="6" t="str">
        <f>VLOOKUP('Customer Info'!A399,'Customer Info'!A399:I899,3,FALSE)</f>
        <v>Fjeld</v>
      </c>
      <c r="I407" s="6" t="str">
        <f>VLOOKUP('Customer Info'!A399,'Customer Info'!A399:I898,5,FALSE)</f>
        <v>Caloundra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45</v>
      </c>
      <c r="R407" s="2" t="s">
        <v>28</v>
      </c>
      <c r="S407" s="9">
        <f t="shared" si="34"/>
        <v>0.02</v>
      </c>
    </row>
    <row r="408" spans="1:19" x14ac:dyDescent="0.25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VLOOKUP('Customer Info'!A400,'Customer Info'!A400:I899,2,FALSE)</f>
        <v>Roland</v>
      </c>
      <c r="H408" s="6" t="str">
        <f>VLOOKUP('Customer Info'!A400,'Customer Info'!A400:I900,3,FALSE)</f>
        <v>Murray</v>
      </c>
      <c r="I408" s="6" t="str">
        <f>VLOOKUP('Customer Info'!A400,'Customer Info'!A400:I899,5,FALSE)</f>
        <v>Frankfurt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600</v>
      </c>
      <c r="R408" s="2" t="s">
        <v>50</v>
      </c>
      <c r="S408" s="9">
        <f t="shared" si="34"/>
        <v>0.05</v>
      </c>
    </row>
    <row r="409" spans="1:19" x14ac:dyDescent="0.25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VLOOKUP('Customer Info'!A401,'Customer Info'!A401:I900,2,FALSE)</f>
        <v>Roy</v>
      </c>
      <c r="H409" s="6" t="str">
        <f>VLOOKUP('Customer Info'!A401,'Customer Info'!A401:I901,3,FALSE)</f>
        <v>Skaria</v>
      </c>
      <c r="I409" s="6" t="str">
        <f>VLOOKUP('Customer Info'!A401,'Customer Info'!A401:I900,5,FALSE)</f>
        <v>Bogor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398</v>
      </c>
      <c r="R409" s="2" t="s">
        <v>26</v>
      </c>
      <c r="S409" s="9">
        <f t="shared" si="34"/>
        <v>0.02</v>
      </c>
    </row>
    <row r="410" spans="1:19" x14ac:dyDescent="0.25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VLOOKUP('Customer Info'!A402,'Customer Info'!A402:I901,2,FALSE)</f>
        <v>Roy</v>
      </c>
      <c r="H410" s="6" t="str">
        <f>VLOOKUP('Customer Info'!A402,'Customer Info'!A402:I902,3,FALSE)</f>
        <v>Phan</v>
      </c>
      <c r="I410" s="6" t="str">
        <f>VLOOKUP('Customer Info'!A402,'Customer Info'!A402:I901,5,FALSE)</f>
        <v>Melbourne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359</v>
      </c>
      <c r="R410" s="2" t="s">
        <v>50</v>
      </c>
      <c r="S410" s="9">
        <f t="shared" si="34"/>
        <v>0.02</v>
      </c>
    </row>
    <row r="411" spans="1:19" x14ac:dyDescent="0.25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VLOOKUP('Customer Info'!A403,'Customer Info'!A403:I902,2,FALSE)</f>
        <v>Ruben</v>
      </c>
      <c r="H411" s="6" t="str">
        <f>VLOOKUP('Customer Info'!A403,'Customer Info'!A403:I903,3,FALSE)</f>
        <v>Ausman</v>
      </c>
      <c r="I411" s="6" t="str">
        <f>VLOOKUP('Customer Info'!A403,'Customer Info'!A403:I902,5,FALSE)</f>
        <v>Sonneberg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1036</v>
      </c>
      <c r="R411" s="2" t="s">
        <v>50</v>
      </c>
      <c r="S411" s="9">
        <f t="shared" si="34"/>
        <v>0.05</v>
      </c>
    </row>
    <row r="412" spans="1:19" x14ac:dyDescent="0.25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VLOOKUP('Customer Info'!A404,'Customer Info'!A404:I903,2,FALSE)</f>
        <v>Russell</v>
      </c>
      <c r="H412" s="6" t="str">
        <f>VLOOKUP('Customer Info'!A404,'Customer Info'!A404:I904,3,FALSE)</f>
        <v>Applegate</v>
      </c>
      <c r="I412" s="6" t="str">
        <f>VLOOKUP('Customer Info'!A404,'Customer Info'!A404:I903,5,FALSE)</f>
        <v>Gorakhpur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110</v>
      </c>
      <c r="R412" s="2" t="s">
        <v>28</v>
      </c>
      <c r="S412" s="9">
        <f t="shared" si="34"/>
        <v>0.02</v>
      </c>
    </row>
    <row r="413" spans="1:19" x14ac:dyDescent="0.25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VLOOKUP('Customer Info'!A405,'Customer Info'!A405:I904,2,FALSE)</f>
        <v>Ryan</v>
      </c>
      <c r="H413" s="6" t="str">
        <f>VLOOKUP('Customer Info'!A405,'Customer Info'!A405:I905,3,FALSE)</f>
        <v>Crowe</v>
      </c>
      <c r="I413" s="6" t="str">
        <f>VLOOKUP('Customer Info'!A405,'Customer Info'!A405:I904,5,FALSE)</f>
        <v>Kanpur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197</v>
      </c>
      <c r="R413" s="2" t="s">
        <v>26</v>
      </c>
      <c r="S413" s="9">
        <f t="shared" si="34"/>
        <v>0.02</v>
      </c>
    </row>
    <row r="414" spans="1:19" x14ac:dyDescent="0.25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VLOOKUP('Customer Info'!A406,'Customer Info'!A406:I905,2,FALSE)</f>
        <v>Ryan</v>
      </c>
      <c r="H414" s="6" t="str">
        <f>VLOOKUP('Customer Info'!A406,'Customer Info'!A406:I906,3,FALSE)</f>
        <v>Akin</v>
      </c>
      <c r="I414" s="6" t="str">
        <f>VLOOKUP('Customer Info'!A406,'Customer Info'!A406:I905,5,FALSE)</f>
        <v>Bayreuth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81</v>
      </c>
      <c r="R414" s="2" t="s">
        <v>50</v>
      </c>
      <c r="S414" s="9">
        <f t="shared" si="34"/>
        <v>0.02</v>
      </c>
    </row>
    <row r="415" spans="1:19" x14ac:dyDescent="0.25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VLOOKUP('Customer Info'!A407,'Customer Info'!A407:I906,2,FALSE)</f>
        <v>Sally</v>
      </c>
      <c r="H415" s="6" t="str">
        <f>VLOOKUP('Customer Info'!A407,'Customer Info'!A407:I907,3,FALSE)</f>
        <v>Hughsby</v>
      </c>
      <c r="I415" s="6" t="str">
        <f>VLOOKUP('Customer Info'!A407,'Customer Info'!A407:I906,5,FALSE)</f>
        <v>Depok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121</v>
      </c>
      <c r="R415" s="2" t="s">
        <v>28</v>
      </c>
      <c r="S415" s="9">
        <f t="shared" si="34"/>
        <v>0.02</v>
      </c>
    </row>
    <row r="416" spans="1:19" x14ac:dyDescent="0.25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VLOOKUP('Customer Info'!A408,'Customer Info'!A408:I907,2,FALSE)</f>
        <v>Sally</v>
      </c>
      <c r="H416" s="6" t="str">
        <f>VLOOKUP('Customer Info'!A408,'Customer Info'!A408:I908,3,FALSE)</f>
        <v>Knutson</v>
      </c>
      <c r="I416" s="6" t="str">
        <f>VLOOKUP('Customer Info'!A408,'Customer Info'!A408:I907,5,FALSE)</f>
        <v>CastropRauxel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475</v>
      </c>
      <c r="R416" s="2" t="s">
        <v>28</v>
      </c>
      <c r="S416" s="9">
        <f t="shared" si="34"/>
        <v>0.05</v>
      </c>
    </row>
    <row r="417" spans="1:19" x14ac:dyDescent="0.25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VLOOKUP('Customer Info'!A409,'Customer Info'!A409:I908,2,FALSE)</f>
        <v>Sam</v>
      </c>
      <c r="H417" s="6" t="str">
        <f>VLOOKUP('Customer Info'!A409,'Customer Info'!A409:I909,3,FALSE)</f>
        <v>Craven</v>
      </c>
      <c r="I417" s="6" t="str">
        <f>VLOOKUP('Customer Info'!A409,'Customer Info'!A409:I908,5,FALSE)</f>
        <v>Hyderabad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1510</v>
      </c>
      <c r="R417" s="2" t="s">
        <v>28</v>
      </c>
      <c r="S417" s="9">
        <f t="shared" si="34"/>
        <v>0.05</v>
      </c>
    </row>
    <row r="418" spans="1:19" x14ac:dyDescent="0.25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VLOOKUP('Customer Info'!A410,'Customer Info'!A410:I909,2,FALSE)</f>
        <v>Sam</v>
      </c>
      <c r="H418" s="6" t="str">
        <f>VLOOKUP('Customer Info'!A410,'Customer Info'!A410:I910,3,FALSE)</f>
        <v>Zeldin</v>
      </c>
      <c r="I418" s="6" t="str">
        <f>VLOOKUP('Customer Info'!A410,'Customer Info'!A410:I909,5,FALSE)</f>
        <v>Yanji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784</v>
      </c>
      <c r="R418" s="2" t="s">
        <v>50</v>
      </c>
      <c r="S418" s="9">
        <f t="shared" si="34"/>
        <v>0.05</v>
      </c>
    </row>
    <row r="419" spans="1:19" x14ac:dyDescent="0.25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VLOOKUP('Customer Info'!A411,'Customer Info'!A411:I910,2,FALSE)</f>
        <v>Sanjit</v>
      </c>
      <c r="H419" s="6" t="str">
        <f>VLOOKUP('Customer Info'!A411,'Customer Info'!A411:I911,3,FALSE)</f>
        <v>Jacobs</v>
      </c>
      <c r="I419" s="6" t="str">
        <f>VLOOKUP('Customer Info'!A411,'Customer Info'!A411:I910,5,FALSE)</f>
        <v>Munich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320</v>
      </c>
      <c r="R419" s="2" t="s">
        <v>50</v>
      </c>
      <c r="S419" s="9">
        <f t="shared" si="34"/>
        <v>0.05</v>
      </c>
    </row>
    <row r="420" spans="1:19" x14ac:dyDescent="0.25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VLOOKUP('Customer Info'!A412,'Customer Info'!A412:I911,2,FALSE)</f>
        <v>Sanjit</v>
      </c>
      <c r="H420" s="6" t="str">
        <f>VLOOKUP('Customer Info'!A412,'Customer Info'!A412:I912,3,FALSE)</f>
        <v>Chand</v>
      </c>
      <c r="I420" s="6" t="str">
        <f>VLOOKUP('Customer Info'!A412,'Customer Info'!A412:I911,5,FALSE)</f>
        <v>Thiruvananthapuram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181</v>
      </c>
      <c r="R420" s="2" t="s">
        <v>28</v>
      </c>
      <c r="S420" s="9">
        <f t="shared" si="34"/>
        <v>0.02</v>
      </c>
    </row>
    <row r="421" spans="1:19" x14ac:dyDescent="0.25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VLOOKUP('Customer Info'!A413,'Customer Info'!A413:I912,2,FALSE)</f>
        <v>Sara</v>
      </c>
      <c r="H421" s="6" t="str">
        <f>VLOOKUP('Customer Info'!A413,'Customer Info'!A413:I913,3,FALSE)</f>
        <v>Luxemburg</v>
      </c>
      <c r="I421" s="6" t="str">
        <f>VLOOKUP('Customer Info'!A413,'Customer Info'!A413:I912,5,FALSE)</f>
        <v>Luoyang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162</v>
      </c>
      <c r="R421" s="2" t="s">
        <v>50</v>
      </c>
      <c r="S421" s="9">
        <f t="shared" si="34"/>
        <v>0.02</v>
      </c>
    </row>
    <row r="422" spans="1:19" x14ac:dyDescent="0.25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VLOOKUP('Customer Info'!A414,'Customer Info'!A414:I913,2,FALSE)</f>
        <v>Sarah</v>
      </c>
      <c r="H422" s="6" t="str">
        <f>VLOOKUP('Customer Info'!A414,'Customer Info'!A414:I914,3,FALSE)</f>
        <v>Foster</v>
      </c>
      <c r="I422" s="6" t="str">
        <f>VLOOKUP('Customer Info'!A414,'Customer Info'!A414:I913,5,FALSE)</f>
        <v>Xianning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160</v>
      </c>
      <c r="R422" s="2" t="s">
        <v>28</v>
      </c>
      <c r="S422" s="9">
        <f t="shared" si="34"/>
        <v>0.02</v>
      </c>
    </row>
    <row r="423" spans="1:19" x14ac:dyDescent="0.25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VLOOKUP('Customer Info'!A415,'Customer Info'!A415:I914,2,FALSE)</f>
        <v>Sarah</v>
      </c>
      <c r="H423" s="6" t="str">
        <f>VLOOKUP('Customer Info'!A415,'Customer Info'!A415:I915,3,FALSE)</f>
        <v>Bern</v>
      </c>
      <c r="I423" s="6" t="str">
        <f>VLOOKUP('Customer Info'!A415,'Customer Info'!A415:I914,5,FALSE)</f>
        <v>Wollongong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174</v>
      </c>
      <c r="R423" s="2" t="s">
        <v>28</v>
      </c>
      <c r="S423" s="9">
        <f t="shared" si="34"/>
        <v>0.02</v>
      </c>
    </row>
    <row r="424" spans="1:19" x14ac:dyDescent="0.25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VLOOKUP('Customer Info'!A416,'Customer Info'!A416:I915,2,FALSE)</f>
        <v>Sarah</v>
      </c>
      <c r="H424" s="6" t="str">
        <f>VLOOKUP('Customer Info'!A416,'Customer Info'!A416:I916,3,FALSE)</f>
        <v>Foster</v>
      </c>
      <c r="I424" s="6" t="str">
        <f>VLOOKUP('Customer Info'!A416,'Customer Info'!A416:I915,5,FALSE)</f>
        <v>Harbin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538</v>
      </c>
      <c r="R424" s="2" t="s">
        <v>26</v>
      </c>
      <c r="S424" s="9">
        <f t="shared" si="34"/>
        <v>0.05</v>
      </c>
    </row>
    <row r="425" spans="1:19" x14ac:dyDescent="0.25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VLOOKUP('Customer Info'!A417,'Customer Info'!A417:I916,2,FALSE)</f>
        <v>Scott</v>
      </c>
      <c r="H425" s="6" t="str">
        <f>VLOOKUP('Customer Info'!A417,'Customer Info'!A417:I917,3,FALSE)</f>
        <v>Cohen</v>
      </c>
      <c r="I425" s="6" t="str">
        <f>VLOOKUP('Customer Info'!A417,'Customer Info'!A417:I916,5,FALSE)</f>
        <v>Freiburg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186</v>
      </c>
      <c r="R425" s="2" t="s">
        <v>28</v>
      </c>
      <c r="S425" s="9">
        <f t="shared" si="34"/>
        <v>0.02</v>
      </c>
    </row>
    <row r="426" spans="1:19" x14ac:dyDescent="0.25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VLOOKUP('Customer Info'!A418,'Customer Info'!A418:I917,2,FALSE)</f>
        <v>Scott</v>
      </c>
      <c r="H426" s="6" t="str">
        <f>VLOOKUP('Customer Info'!A418,'Customer Info'!A418:I918,3,FALSE)</f>
        <v>Williamson</v>
      </c>
      <c r="I426" s="6" t="str">
        <f>VLOOKUP('Customer Info'!A418,'Customer Info'!A418:I917,5,FALSE)</f>
        <v>Launceston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1633</v>
      </c>
      <c r="R426" s="2" t="s">
        <v>28</v>
      </c>
      <c r="S426" s="9">
        <f t="shared" si="34"/>
        <v>0.05</v>
      </c>
    </row>
    <row r="427" spans="1:19" x14ac:dyDescent="0.25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VLOOKUP('Customer Info'!A419,'Customer Info'!A419:I918,2,FALSE)</f>
        <v>Shahid</v>
      </c>
      <c r="H427" s="6" t="str">
        <f>VLOOKUP('Customer Info'!A419,'Customer Info'!A419:I919,3,FALSE)</f>
        <v>Collister</v>
      </c>
      <c r="I427" s="6" t="str">
        <f>VLOOKUP('Customer Info'!A419,'Customer Info'!A419:I918,5,FALSE)</f>
        <v>Leipzig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4903</v>
      </c>
      <c r="R427" s="2" t="s">
        <v>28</v>
      </c>
      <c r="S427" s="9">
        <f t="shared" si="34"/>
        <v>7.0000000000000007E-2</v>
      </c>
    </row>
    <row r="428" spans="1:19" x14ac:dyDescent="0.25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VLOOKUP('Customer Info'!A420,'Customer Info'!A420:I919,2,FALSE)</f>
        <v>Shahid</v>
      </c>
      <c r="H428" s="6" t="str">
        <f>VLOOKUP('Customer Info'!A420,'Customer Info'!A420:I920,3,FALSE)</f>
        <v>Collister</v>
      </c>
      <c r="I428" s="6" t="str">
        <f>VLOOKUP('Customer Info'!A420,'Customer Info'!A420:I919,5,FALSE)</f>
        <v>Solapur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485</v>
      </c>
      <c r="R428" s="2" t="s">
        <v>28</v>
      </c>
      <c r="S428" s="9">
        <f t="shared" si="34"/>
        <v>0.05</v>
      </c>
    </row>
    <row r="429" spans="1:19" x14ac:dyDescent="0.25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VLOOKUP('Customer Info'!A421,'Customer Info'!A421:I920,2,FALSE)</f>
        <v>Shaun</v>
      </c>
      <c r="H429" s="6" t="str">
        <f>VLOOKUP('Customer Info'!A421,'Customer Info'!A421:I921,3,FALSE)</f>
        <v>Weien</v>
      </c>
      <c r="I429" s="6" t="str">
        <f>VLOOKUP('Customer Info'!A421,'Customer Info'!A421:I920,5,FALSE)</f>
        <v>Medan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411</v>
      </c>
      <c r="R429" s="2" t="s">
        <v>28</v>
      </c>
      <c r="S429" s="9">
        <f t="shared" si="34"/>
        <v>0.02</v>
      </c>
    </row>
    <row r="430" spans="1:19" x14ac:dyDescent="0.25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VLOOKUP('Customer Info'!A422,'Customer Info'!A422:I921,2,FALSE)</f>
        <v>Sheri</v>
      </c>
      <c r="H430" s="6" t="str">
        <f>VLOOKUP('Customer Info'!A422,'Customer Info'!A422:I922,3,FALSE)</f>
        <v>Gordon</v>
      </c>
      <c r="I430" s="6" t="str">
        <f>VLOOKUP('Customer Info'!A422,'Customer Info'!A422:I921,5,FALSE)</f>
        <v>Bogor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801</v>
      </c>
      <c r="R430" s="2" t="s">
        <v>26</v>
      </c>
      <c r="S430" s="9">
        <f t="shared" si="34"/>
        <v>0.05</v>
      </c>
    </row>
    <row r="431" spans="1:19" x14ac:dyDescent="0.25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VLOOKUP('Customer Info'!A423,'Customer Info'!A423:I922,2,FALSE)</f>
        <v>Shirley</v>
      </c>
      <c r="H431" s="6" t="str">
        <f>VLOOKUP('Customer Info'!A423,'Customer Info'!A423:I923,3,FALSE)</f>
        <v>Jackson</v>
      </c>
      <c r="I431" s="6" t="str">
        <f>VLOOKUP('Customer Info'!A423,'Customer Info'!A423:I922,5,FALSE)</f>
        <v>Gold Coast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925</v>
      </c>
      <c r="R431" s="2" t="s">
        <v>26</v>
      </c>
      <c r="S431" s="9">
        <f t="shared" si="34"/>
        <v>0.05</v>
      </c>
    </row>
    <row r="432" spans="1:19" x14ac:dyDescent="0.25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VLOOKUP('Customer Info'!A424,'Customer Info'!A424:I923,2,FALSE)</f>
        <v>Shirley</v>
      </c>
      <c r="H432" s="6" t="str">
        <f>VLOOKUP('Customer Info'!A424,'Customer Info'!A424:I924,3,FALSE)</f>
        <v>Schmidt</v>
      </c>
      <c r="I432" s="6" t="str">
        <f>VLOOKUP('Customer Info'!A424,'Customer Info'!A424:I923,5,FALSE)</f>
        <v>Bijapur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132</v>
      </c>
      <c r="R432" s="2" t="s">
        <v>50</v>
      </c>
      <c r="S432" s="9">
        <f t="shared" si="34"/>
        <v>0.02</v>
      </c>
    </row>
    <row r="433" spans="1:19" x14ac:dyDescent="0.25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VLOOKUP('Customer Info'!A425,'Customer Info'!A425:I924,2,FALSE)</f>
        <v>Shui</v>
      </c>
      <c r="H433" s="6" t="str">
        <f>VLOOKUP('Customer Info'!A425,'Customer Info'!A425:I925,3,FALSE)</f>
        <v>Tom</v>
      </c>
      <c r="I433" s="6" t="str">
        <f>VLOOKUP('Customer Info'!A425,'Customer Info'!A425:I924,5,FALSE)</f>
        <v>Jakarta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194</v>
      </c>
      <c r="R433" s="2" t="s">
        <v>28</v>
      </c>
      <c r="S433" s="9">
        <f t="shared" si="34"/>
        <v>0.02</v>
      </c>
    </row>
    <row r="434" spans="1:19" x14ac:dyDescent="0.25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VLOOKUP('Customer Info'!A426,'Customer Info'!A426:I925,2,FALSE)</f>
        <v>Shui</v>
      </c>
      <c r="H434" s="6" t="str">
        <f>VLOOKUP('Customer Info'!A426,'Customer Info'!A426:I926,3,FALSE)</f>
        <v>Tom</v>
      </c>
      <c r="I434" s="6" t="str">
        <f>VLOOKUP('Customer Info'!A426,'Customer Info'!A426:I925,5,FALSE)</f>
        <v>Melbourne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506</v>
      </c>
      <c r="R434" s="2" t="s">
        <v>28</v>
      </c>
      <c r="S434" s="9">
        <f t="shared" si="34"/>
        <v>0.02</v>
      </c>
    </row>
    <row r="435" spans="1:19" x14ac:dyDescent="0.25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VLOOKUP('Customer Info'!A427,'Customer Info'!A427:I926,2,FALSE)</f>
        <v>Sonia</v>
      </c>
      <c r="H435" s="6" t="str">
        <f>VLOOKUP('Customer Info'!A427,'Customer Info'!A427:I927,3,FALSE)</f>
        <v>Sunley</v>
      </c>
      <c r="I435" s="6" t="str">
        <f>VLOOKUP('Customer Info'!A427,'Customer Info'!A427:I926,5,FALSE)</f>
        <v>Canberra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60</v>
      </c>
      <c r="R435" s="2" t="s">
        <v>28</v>
      </c>
      <c r="S435" s="9">
        <f t="shared" si="34"/>
        <v>0.02</v>
      </c>
    </row>
    <row r="436" spans="1:19" x14ac:dyDescent="0.25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VLOOKUP('Customer Info'!A428,'Customer Info'!A428:I927,2,FALSE)</f>
        <v>Stefania</v>
      </c>
      <c r="H436" s="6" t="str">
        <f>VLOOKUP('Customer Info'!A428,'Customer Info'!A428:I928,3,FALSE)</f>
        <v>Perrino</v>
      </c>
      <c r="I436" s="6" t="str">
        <f>VLOOKUP('Customer Info'!A428,'Customer Info'!A428:I927,5,FALSE)</f>
        <v>Albury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124</v>
      </c>
      <c r="R436" s="2" t="s">
        <v>28</v>
      </c>
      <c r="S436" s="9">
        <f t="shared" si="34"/>
        <v>0.02</v>
      </c>
    </row>
    <row r="437" spans="1:19" x14ac:dyDescent="0.25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VLOOKUP('Customer Info'!A429,'Customer Info'!A429:I928,2,FALSE)</f>
        <v>Stefanie</v>
      </c>
      <c r="H437" s="6" t="str">
        <f>VLOOKUP('Customer Info'!A429,'Customer Info'!A429:I929,3,FALSE)</f>
        <v>Holloman</v>
      </c>
      <c r="I437" s="6" t="str">
        <f>VLOOKUP('Customer Info'!A429,'Customer Info'!A429:I928,5,FALSE)</f>
        <v>Durgapur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78</v>
      </c>
      <c r="R437" s="2" t="s">
        <v>50</v>
      </c>
      <c r="S437" s="9">
        <f t="shared" si="34"/>
        <v>0.02</v>
      </c>
    </row>
    <row r="438" spans="1:19" x14ac:dyDescent="0.25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VLOOKUP('Customer Info'!A430,'Customer Info'!A430:I929,2,FALSE)</f>
        <v>Stefanie</v>
      </c>
      <c r="H438" s="6" t="str">
        <f>VLOOKUP('Customer Info'!A430,'Customer Info'!A430:I930,3,FALSE)</f>
        <v>Holloman</v>
      </c>
      <c r="I438" s="6" t="str">
        <f>VLOOKUP('Customer Info'!A430,'Customer Info'!A430:I929,5,FALSE)</f>
        <v>Geraldton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561</v>
      </c>
      <c r="R438" s="2" t="s">
        <v>28</v>
      </c>
      <c r="S438" s="9">
        <f t="shared" si="34"/>
        <v>0.05</v>
      </c>
    </row>
    <row r="439" spans="1:19" x14ac:dyDescent="0.25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VLOOKUP('Customer Info'!A431,'Customer Info'!A431:I930,2,FALSE)</f>
        <v>Steve</v>
      </c>
      <c r="H439" s="6" t="str">
        <f>VLOOKUP('Customer Info'!A431,'Customer Info'!A431:I931,3,FALSE)</f>
        <v>Carroll</v>
      </c>
      <c r="I439" s="6" t="str">
        <f>VLOOKUP('Customer Info'!A431,'Customer Info'!A431:I930,5,FALSE)</f>
        <v>Qingdao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3203</v>
      </c>
      <c r="R439" s="2" t="s">
        <v>28</v>
      </c>
      <c r="S439" s="9">
        <f t="shared" si="34"/>
        <v>7.0000000000000007E-2</v>
      </c>
    </row>
    <row r="440" spans="1:19" x14ac:dyDescent="0.25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VLOOKUP('Customer Info'!A432,'Customer Info'!A432:I931,2,FALSE)</f>
        <v>Steve</v>
      </c>
      <c r="H440" s="6" t="str">
        <f>VLOOKUP('Customer Info'!A432,'Customer Info'!A432:I932,3,FALSE)</f>
        <v>Nguyen</v>
      </c>
      <c r="I440" s="6" t="str">
        <f>VLOOKUP('Customer Info'!A432,'Customer Info'!A432:I931,5,FALSE)</f>
        <v>Delhi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2584</v>
      </c>
      <c r="R440" s="2" t="s">
        <v>50</v>
      </c>
      <c r="S440" s="9">
        <f t="shared" si="34"/>
        <v>7.0000000000000007E-2</v>
      </c>
    </row>
    <row r="441" spans="1:19" x14ac:dyDescent="0.25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VLOOKUP('Customer Info'!A433,'Customer Info'!A433:I932,2,FALSE)</f>
        <v>Steven</v>
      </c>
      <c r="H441" s="6" t="str">
        <f>VLOOKUP('Customer Info'!A433,'Customer Info'!A433:I933,3,FALSE)</f>
        <v>Cartwright</v>
      </c>
      <c r="I441" s="6" t="str">
        <f>VLOOKUP('Customer Info'!A433,'Customer Info'!A433:I932,5,FALSE)</f>
        <v>Newcastle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446</v>
      </c>
      <c r="R441" s="2" t="s">
        <v>28</v>
      </c>
      <c r="S441" s="9">
        <f t="shared" si="34"/>
        <v>0.05</v>
      </c>
    </row>
    <row r="442" spans="1:19" x14ac:dyDescent="0.25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VLOOKUP('Customer Info'!A434,'Customer Info'!A434:I933,2,FALSE)</f>
        <v>Steven</v>
      </c>
      <c r="H442" s="6" t="str">
        <f>VLOOKUP('Customer Info'!A434,'Customer Info'!A434:I934,3,FALSE)</f>
        <v>Ward</v>
      </c>
      <c r="I442" s="6" t="str">
        <f>VLOOKUP('Customer Info'!A434,'Customer Info'!A434:I933,5,FALSE)</f>
        <v>Adelaide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963</v>
      </c>
      <c r="R442" s="2" t="s">
        <v>28</v>
      </c>
      <c r="S442" s="9">
        <f t="shared" si="34"/>
        <v>0.05</v>
      </c>
    </row>
    <row r="443" spans="1:19" x14ac:dyDescent="0.25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VLOOKUP('Customer Info'!A435,'Customer Info'!A435:I934,2,FALSE)</f>
        <v>Steven</v>
      </c>
      <c r="H443" s="6" t="str">
        <f>VLOOKUP('Customer Info'!A435,'Customer Info'!A435:I935,3,FALSE)</f>
        <v>Cartwright</v>
      </c>
      <c r="I443" s="6" t="str">
        <f>VLOOKUP('Customer Info'!A435,'Customer Info'!A435:I934,5,FALSE)</f>
        <v>Newcastle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759</v>
      </c>
      <c r="R443" s="2" t="s">
        <v>28</v>
      </c>
      <c r="S443" s="9">
        <f t="shared" si="34"/>
        <v>0.05</v>
      </c>
    </row>
    <row r="444" spans="1:19" x14ac:dyDescent="0.25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VLOOKUP('Customer Info'!A436,'Customer Info'!A436:I935,2,FALSE)</f>
        <v>Steven</v>
      </c>
      <c r="H444" s="6" t="str">
        <f>VLOOKUP('Customer Info'!A436,'Customer Info'!A436:I936,3,FALSE)</f>
        <v>Roelle</v>
      </c>
      <c r="I444" s="6" t="str">
        <f>VLOOKUP('Customer Info'!A436,'Customer Info'!A436:I935,5,FALSE)</f>
        <v>Bonn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217</v>
      </c>
      <c r="R444" s="2" t="s">
        <v>50</v>
      </c>
      <c r="S444" s="9">
        <f t="shared" si="34"/>
        <v>0.02</v>
      </c>
    </row>
    <row r="445" spans="1:19" x14ac:dyDescent="0.25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VLOOKUP('Customer Info'!A437,'Customer Info'!A437:I936,2,FALSE)</f>
        <v>Stewart</v>
      </c>
      <c r="H445" s="6" t="str">
        <f>VLOOKUP('Customer Info'!A437,'Customer Info'!A437:I937,3,FALSE)</f>
        <v>Visinsky</v>
      </c>
      <c r="I445" s="6" t="str">
        <f>VLOOKUP('Customer Info'!A437,'Customer Info'!A437:I936,5,FALSE)</f>
        <v>Shenyang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141</v>
      </c>
      <c r="R445" s="2" t="s">
        <v>26</v>
      </c>
      <c r="S445" s="9">
        <f t="shared" si="34"/>
        <v>0.02</v>
      </c>
    </row>
    <row r="446" spans="1:19" x14ac:dyDescent="0.25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VLOOKUP('Customer Info'!A438,'Customer Info'!A438:I937,2,FALSE)</f>
        <v>Stuart</v>
      </c>
      <c r="H446" s="6" t="str">
        <f>VLOOKUP('Customer Info'!A438,'Customer Info'!A438:I938,3,FALSE)</f>
        <v>Calhoun</v>
      </c>
      <c r="I446" s="6" t="str">
        <f>VLOOKUP('Customer Info'!A438,'Customer Info'!A438:I937,5,FALSE)</f>
        <v>Pforzheim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940</v>
      </c>
      <c r="R446" s="2" t="s">
        <v>56</v>
      </c>
      <c r="S446" s="9">
        <f t="shared" si="34"/>
        <v>0.05</v>
      </c>
    </row>
    <row r="447" spans="1:19" x14ac:dyDescent="0.25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VLOOKUP('Customer Info'!A439,'Customer Info'!A439:I938,2,FALSE)</f>
        <v>Stuart</v>
      </c>
      <c r="H447" s="6" t="str">
        <f>VLOOKUP('Customer Info'!A439,'Customer Info'!A439:I939,3,FALSE)</f>
        <v>Calhoun</v>
      </c>
      <c r="I447" s="6" t="str">
        <f>VLOOKUP('Customer Info'!A439,'Customer Info'!A439:I938,5,FALSE)</f>
        <v>Raipur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260</v>
      </c>
      <c r="R447" s="2" t="s">
        <v>26</v>
      </c>
      <c r="S447" s="9">
        <f t="shared" si="34"/>
        <v>0.05</v>
      </c>
    </row>
    <row r="448" spans="1:19" x14ac:dyDescent="0.25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VLOOKUP('Customer Info'!A440,'Customer Info'!A440:I939,2,FALSE)</f>
        <v>Stuart</v>
      </c>
      <c r="H448" s="6" t="str">
        <f>VLOOKUP('Customer Info'!A440,'Customer Info'!A440:I940,3,FALSE)</f>
        <v>Calhoun</v>
      </c>
      <c r="I448" s="6" t="str">
        <f>VLOOKUP('Customer Info'!A440,'Customer Info'!A440:I939,5,FALSE)</f>
        <v>Bochum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168</v>
      </c>
      <c r="R448" s="2" t="s">
        <v>28</v>
      </c>
      <c r="S448" s="9">
        <f t="shared" si="34"/>
        <v>0.02</v>
      </c>
    </row>
    <row r="449" spans="1:19" x14ac:dyDescent="0.25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VLOOKUP('Customer Info'!A441,'Customer Info'!A441:I940,2,FALSE)</f>
        <v>Stuart</v>
      </c>
      <c r="H449" s="6" t="str">
        <f>VLOOKUP('Customer Info'!A441,'Customer Info'!A441:I941,3,FALSE)</f>
        <v>Van</v>
      </c>
      <c r="I449" s="6" t="str">
        <f>VLOOKUP('Customer Info'!A441,'Customer Info'!A441:I940,5,FALSE)</f>
        <v>Hobart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1492</v>
      </c>
      <c r="R449" s="2" t="s">
        <v>50</v>
      </c>
      <c r="S449" s="9">
        <f t="shared" si="34"/>
        <v>0.05</v>
      </c>
    </row>
    <row r="450" spans="1:19" x14ac:dyDescent="0.25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VLOOKUP('Customer Info'!A442,'Customer Info'!A442:I941,2,FALSE)</f>
        <v>Stuart</v>
      </c>
      <c r="H450" s="6" t="str">
        <f>VLOOKUP('Customer Info'!A442,'Customer Info'!A442:I942,3,FALSE)</f>
        <v>Calhoun</v>
      </c>
      <c r="I450" s="6" t="str">
        <f>VLOOKUP('Customer Info'!A442,'Customer Info'!A442:I941,5,FALSE)</f>
        <v>Nowra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151</v>
      </c>
      <c r="R450" s="2" t="s">
        <v>50</v>
      </c>
      <c r="S450" s="9">
        <f t="shared" si="34"/>
        <v>0.05</v>
      </c>
    </row>
    <row r="451" spans="1:19" x14ac:dyDescent="0.25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VLOOKUP('Customer Info'!A443,'Customer Info'!A443:I942,2,FALSE)</f>
        <v>Sung</v>
      </c>
      <c r="H451" s="6" t="str">
        <f>VLOOKUP('Customer Info'!A443,'Customer Info'!A443:I943,3,FALSE)</f>
        <v>Shariari</v>
      </c>
      <c r="I451" s="6" t="str">
        <f>VLOOKUP('Customer Info'!A443,'Customer Info'!A443:I942,5,FALSE)</f>
        <v>Solapur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481</v>
      </c>
      <c r="R451" s="2" t="s">
        <v>28</v>
      </c>
      <c r="S451" s="9">
        <f t="shared" si="34"/>
        <v>0.05</v>
      </c>
    </row>
    <row r="452" spans="1:19" x14ac:dyDescent="0.25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VLOOKUP('Customer Info'!A444,'Customer Info'!A444:I943,2,FALSE)</f>
        <v>Sung</v>
      </c>
      <c r="H452" s="6" t="str">
        <f>VLOOKUP('Customer Info'!A444,'Customer Info'!A444:I944,3,FALSE)</f>
        <v>Pak</v>
      </c>
      <c r="I452" s="6" t="str">
        <f>VLOOKUP('Customer Info'!A444,'Customer Info'!A444:I943,5,FALSE)</f>
        <v>Chaozhou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4980</v>
      </c>
      <c r="R452" s="2" t="s">
        <v>28</v>
      </c>
      <c r="S452" s="9">
        <f t="shared" si="34"/>
        <v>0.09</v>
      </c>
    </row>
    <row r="453" spans="1:19" x14ac:dyDescent="0.25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VLOOKUP('Customer Info'!A445,'Customer Info'!A445:I944,2,FALSE)</f>
        <v>Susan</v>
      </c>
      <c r="H453" s="6" t="str">
        <f>VLOOKUP('Customer Info'!A445,'Customer Info'!A445:I945,3,FALSE)</f>
        <v>Pistek</v>
      </c>
      <c r="I453" s="6" t="str">
        <f>VLOOKUP('Customer Info'!A445,'Customer Info'!A445:I944,5,FALSE)</f>
        <v>Padang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238</v>
      </c>
      <c r="R453" s="2" t="s">
        <v>28</v>
      </c>
      <c r="S453" s="9">
        <f t="shared" si="34"/>
        <v>0.02</v>
      </c>
    </row>
    <row r="454" spans="1:19" x14ac:dyDescent="0.25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VLOOKUP('Customer Info'!A446,'Customer Info'!A446:I945,2,FALSE)</f>
        <v>Susan</v>
      </c>
      <c r="H454" s="6" t="str">
        <f>VLOOKUP('Customer Info'!A446,'Customer Info'!A446:I946,3,FALSE)</f>
        <v>MacKendrick</v>
      </c>
      <c r="I454" s="6" t="str">
        <f>VLOOKUP('Customer Info'!A446,'Customer Info'!A446:I945,5,FALSE)</f>
        <v>Brisbane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22</v>
      </c>
      <c r="R454" s="2" t="s">
        <v>50</v>
      </c>
      <c r="S454" s="9">
        <f t="shared" si="34"/>
        <v>0.02</v>
      </c>
    </row>
    <row r="455" spans="1:19" x14ac:dyDescent="0.25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VLOOKUP('Customer Info'!A447,'Customer Info'!A447:I946,2,FALSE)</f>
        <v>Sylvia</v>
      </c>
      <c r="H455" s="6" t="str">
        <f>VLOOKUP('Customer Info'!A447,'Customer Info'!A447:I947,3,FALSE)</f>
        <v>Foulston</v>
      </c>
      <c r="I455" s="6" t="str">
        <f>VLOOKUP('Customer Info'!A447,'Customer Info'!A447:I946,5,FALSE)</f>
        <v>Ludwigsburg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63</v>
      </c>
      <c r="R455" s="2" t="s">
        <v>28</v>
      </c>
      <c r="S455" s="9">
        <f t="shared" si="34"/>
        <v>0.02</v>
      </c>
    </row>
    <row r="456" spans="1:19" x14ac:dyDescent="0.25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VLOOKUP('Customer Info'!A448,'Customer Info'!A448:I947,2,FALSE)</f>
        <v>Tamara</v>
      </c>
      <c r="H456" s="6" t="str">
        <f>VLOOKUP('Customer Info'!A448,'Customer Info'!A448:I948,3,FALSE)</f>
        <v>Willingham</v>
      </c>
      <c r="I456" s="6" t="str">
        <f>VLOOKUP('Customer Info'!A448,'Customer Info'!A448:I947,5,FALSE)</f>
        <v>Perth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574</v>
      </c>
      <c r="R456" s="2" t="s">
        <v>50</v>
      </c>
      <c r="S456" s="9">
        <f t="shared" si="34"/>
        <v>0.05</v>
      </c>
    </row>
    <row r="457" spans="1:19" x14ac:dyDescent="0.25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VLOOKUP('Customer Info'!A449,'Customer Info'!A449:I948,2,FALSE)</f>
        <v>Tamara</v>
      </c>
      <c r="H457" s="6" t="str">
        <f>VLOOKUP('Customer Info'!A449,'Customer Info'!A449:I949,3,FALSE)</f>
        <v>Willingham</v>
      </c>
      <c r="I457" s="6" t="str">
        <f>VLOOKUP('Customer Info'!A449,'Customer Info'!A449:I948,5,FALSE)</f>
        <v>Sindelfingen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346</v>
      </c>
      <c r="R457" s="2" t="s">
        <v>28</v>
      </c>
      <c r="S457" s="9">
        <f t="shared" si="34"/>
        <v>0.02</v>
      </c>
    </row>
    <row r="458" spans="1:19" x14ac:dyDescent="0.25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VLOOKUP('Customer Info'!A450,'Customer Info'!A450:I949,2,FALSE)</f>
        <v>Tamara</v>
      </c>
      <c r="H458" s="6" t="str">
        <f>VLOOKUP('Customer Info'!A450,'Customer Info'!A450:I950,3,FALSE)</f>
        <v>Chand</v>
      </c>
      <c r="I458" s="6" t="str">
        <f>VLOOKUP('Customer Info'!A450,'Customer Info'!A450:I949,5,FALSE)</f>
        <v>Canberra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24</v>
      </c>
      <c r="R458" s="2" t="s">
        <v>28</v>
      </c>
      <c r="S458" s="9">
        <f t="shared" si="34"/>
        <v>0.02</v>
      </c>
    </row>
    <row r="459" spans="1:19" x14ac:dyDescent="0.25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VLOOKUP('Customer Info'!A451,'Customer Info'!A451:I950,2,FALSE)</f>
        <v>Tamara</v>
      </c>
      <c r="H459" s="6" t="str">
        <f>VLOOKUP('Customer Info'!A451,'Customer Info'!A451:I951,3,FALSE)</f>
        <v>Chand</v>
      </c>
      <c r="I459" s="6" t="str">
        <f>VLOOKUP('Customer Info'!A451,'Customer Info'!A451:I950,5,FALSE)</f>
        <v>Yogyakarta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8">
        <f t="shared" ref="P459:P522" si="37">N459+O459</f>
        <v>24869</v>
      </c>
      <c r="Q459" s="8">
        <f t="shared" ref="Q459:Q522" si="38">P459-M459</f>
        <v>2581</v>
      </c>
      <c r="R459" s="2" t="s">
        <v>28</v>
      </c>
      <c r="S459" s="9">
        <f t="shared" ref="S459:S522" si="39">VLOOKUP(P459,$T$2:$U$7,2,TRUE)</f>
        <v>0.05</v>
      </c>
    </row>
    <row r="460" spans="1:19" x14ac:dyDescent="0.25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VLOOKUP('Customer Info'!A452,'Customer Info'!A452:I951,2,FALSE)</f>
        <v>Ted</v>
      </c>
      <c r="H460" s="6" t="str">
        <f>VLOOKUP('Customer Info'!A452,'Customer Info'!A452:I952,3,FALSE)</f>
        <v>Trevino</v>
      </c>
      <c r="I460" s="6" t="str">
        <f>VLOOKUP('Customer Info'!A452,'Customer Info'!A452:I951,5,FALSE)</f>
        <v>Bendigo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11248</v>
      </c>
      <c r="R460" s="2" t="s">
        <v>50</v>
      </c>
      <c r="S460" s="9">
        <f t="shared" si="39"/>
        <v>0.12</v>
      </c>
    </row>
    <row r="461" spans="1:19" x14ac:dyDescent="0.25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VLOOKUP('Customer Info'!A453,'Customer Info'!A453:I952,2,FALSE)</f>
        <v>Ted</v>
      </c>
      <c r="H461" s="6" t="str">
        <f>VLOOKUP('Customer Info'!A453,'Customer Info'!A453:I953,3,FALSE)</f>
        <v>Trevino</v>
      </c>
      <c r="I461" s="6" t="str">
        <f>VLOOKUP('Customer Info'!A453,'Customer Info'!A453:I952,5,FALSE)</f>
        <v>Gold Coast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43</v>
      </c>
      <c r="R461" s="2" t="s">
        <v>50</v>
      </c>
      <c r="S461" s="9">
        <f t="shared" si="39"/>
        <v>0.02</v>
      </c>
    </row>
    <row r="462" spans="1:19" x14ac:dyDescent="0.25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VLOOKUP('Customer Info'!A454,'Customer Info'!A454:I953,2,FALSE)</f>
        <v>Thais</v>
      </c>
      <c r="H462" s="6" t="str">
        <f>VLOOKUP('Customer Info'!A454,'Customer Info'!A454:I954,3,FALSE)</f>
        <v>Sissman</v>
      </c>
      <c r="I462" s="6" t="str">
        <f>VLOOKUP('Customer Info'!A454,'Customer Info'!A454:I953,5,FALSE)</f>
        <v>Essen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18</v>
      </c>
      <c r="R462" s="2" t="s">
        <v>28</v>
      </c>
      <c r="S462" s="9">
        <f t="shared" si="39"/>
        <v>0.02</v>
      </c>
    </row>
    <row r="463" spans="1:19" x14ac:dyDescent="0.25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VLOOKUP('Customer Info'!A455,'Customer Info'!A455:I954,2,FALSE)</f>
        <v>Thea</v>
      </c>
      <c r="H463" s="6" t="str">
        <f>VLOOKUP('Customer Info'!A455,'Customer Info'!A455:I955,3,FALSE)</f>
        <v>Hendricks</v>
      </c>
      <c r="I463" s="6" t="str">
        <f>VLOOKUP('Customer Info'!A455,'Customer Info'!A455:I954,5,FALSE)</f>
        <v>Jining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2815</v>
      </c>
      <c r="R463" s="2" t="s">
        <v>28</v>
      </c>
      <c r="S463" s="9">
        <f t="shared" si="39"/>
        <v>7.0000000000000007E-2</v>
      </c>
    </row>
    <row r="464" spans="1:19" x14ac:dyDescent="0.25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VLOOKUP('Customer Info'!A456,'Customer Info'!A456:I955,2,FALSE)</f>
        <v>Thea</v>
      </c>
      <c r="H464" s="6" t="str">
        <f>VLOOKUP('Customer Info'!A456,'Customer Info'!A456:I956,3,FALSE)</f>
        <v>Hendricks</v>
      </c>
      <c r="I464" s="6" t="str">
        <f>VLOOKUP('Customer Info'!A456,'Customer Info'!A456:I955,5,FALSE)</f>
        <v>Moers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8295</v>
      </c>
      <c r="R464" s="2" t="s">
        <v>28</v>
      </c>
      <c r="S464" s="9">
        <f t="shared" si="39"/>
        <v>0.09</v>
      </c>
    </row>
    <row r="465" spans="1:19" x14ac:dyDescent="0.25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VLOOKUP('Customer Info'!A457,'Customer Info'!A457:I956,2,FALSE)</f>
        <v>Thea</v>
      </c>
      <c r="H465" s="6" t="str">
        <f>VLOOKUP('Customer Info'!A457,'Customer Info'!A457:I957,3,FALSE)</f>
        <v>Hudgings</v>
      </c>
      <c r="I465" s="6" t="str">
        <f>VLOOKUP('Customer Info'!A457,'Customer Info'!A457:I956,5,FALSE)</f>
        <v>Anshan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144</v>
      </c>
      <c r="R465" s="2" t="s">
        <v>50</v>
      </c>
      <c r="S465" s="9">
        <f t="shared" si="39"/>
        <v>0.02</v>
      </c>
    </row>
    <row r="466" spans="1:19" x14ac:dyDescent="0.25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VLOOKUP('Customer Info'!A458,'Customer Info'!A458:I957,2,FALSE)</f>
        <v>Thomas</v>
      </c>
      <c r="H466" s="6" t="str">
        <f>VLOOKUP('Customer Info'!A458,'Customer Info'!A458:I958,3,FALSE)</f>
        <v>Boland</v>
      </c>
      <c r="I466" s="6" t="str">
        <f>VLOOKUP('Customer Info'!A458,'Customer Info'!A458:I957,5,FALSE)</f>
        <v>Surabaya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45</v>
      </c>
      <c r="R466" s="2" t="s">
        <v>28</v>
      </c>
      <c r="S466" s="9">
        <f t="shared" si="39"/>
        <v>0.02</v>
      </c>
    </row>
    <row r="467" spans="1:19" x14ac:dyDescent="0.25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VLOOKUP('Customer Info'!A459,'Customer Info'!A459:I958,2,FALSE)</f>
        <v>Thomas</v>
      </c>
      <c r="H467" s="6" t="str">
        <f>VLOOKUP('Customer Info'!A459,'Customer Info'!A459:I959,3,FALSE)</f>
        <v>Brumley</v>
      </c>
      <c r="I467" s="6" t="str">
        <f>VLOOKUP('Customer Info'!A459,'Customer Info'!A459:I958,5,FALSE)</f>
        <v>Launceston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15</v>
      </c>
      <c r="R467" s="2" t="s">
        <v>50</v>
      </c>
      <c r="S467" s="9">
        <f t="shared" si="39"/>
        <v>0.02</v>
      </c>
    </row>
    <row r="468" spans="1:19" x14ac:dyDescent="0.25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VLOOKUP('Customer Info'!A460,'Customer Info'!A460:I959,2,FALSE)</f>
        <v>Thomas</v>
      </c>
      <c r="H468" s="6" t="str">
        <f>VLOOKUP('Customer Info'!A460,'Customer Info'!A460:I960,3,FALSE)</f>
        <v>Boland</v>
      </c>
      <c r="I468" s="6" t="str">
        <f>VLOOKUP('Customer Info'!A460,'Customer Info'!A460:I959,5,FALSE)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45</v>
      </c>
      <c r="R468" s="2" t="s">
        <v>28</v>
      </c>
      <c r="S468" s="9">
        <f t="shared" si="39"/>
        <v>0.02</v>
      </c>
    </row>
    <row r="469" spans="1:19" x14ac:dyDescent="0.25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VLOOKUP('Customer Info'!A461,'Customer Info'!A461:I960,2,FALSE)</f>
        <v>Thomas</v>
      </c>
      <c r="H469" s="6" t="str">
        <f>VLOOKUP('Customer Info'!A461,'Customer Info'!A461:I961,3,FALSE)</f>
        <v>Seio</v>
      </c>
      <c r="I469" s="6" t="str">
        <f>VLOOKUP('Customer Info'!A461,'Customer Info'!A461:I960,5,FALSE)</f>
        <v>Melbourne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682</v>
      </c>
      <c r="R469" s="2" t="s">
        <v>50</v>
      </c>
      <c r="S469" s="9">
        <f t="shared" si="39"/>
        <v>0.05</v>
      </c>
    </row>
    <row r="470" spans="1:19" x14ac:dyDescent="0.25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VLOOKUP('Customer Info'!A462,'Customer Info'!A462:I961,2,FALSE)</f>
        <v>Thomas</v>
      </c>
      <c r="H470" s="6" t="str">
        <f>VLOOKUP('Customer Info'!A462,'Customer Info'!A462:I962,3,FALSE)</f>
        <v>Brumley</v>
      </c>
      <c r="I470" s="6" t="str">
        <f>VLOOKUP('Customer Info'!A462,'Customer Info'!A462:I961,5,FALSE)</f>
        <v>Jinan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299</v>
      </c>
      <c r="R470" s="2" t="s">
        <v>28</v>
      </c>
      <c r="S470" s="9">
        <f t="shared" si="39"/>
        <v>0.02</v>
      </c>
    </row>
    <row r="471" spans="1:19" x14ac:dyDescent="0.25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VLOOKUP('Customer Info'!A463,'Customer Info'!A463:I962,2,FALSE)</f>
        <v>Tim</v>
      </c>
      <c r="H471" s="6" t="str">
        <f>VLOOKUP('Customer Info'!A463,'Customer Info'!A463:I963,3,FALSE)</f>
        <v>Brockman</v>
      </c>
      <c r="I471" s="6" t="str">
        <f>VLOOKUP('Customer Info'!A463,'Customer Info'!A463:I962,5,FALSE)</f>
        <v>Toowoomba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1663</v>
      </c>
      <c r="R471" s="2" t="s">
        <v>28</v>
      </c>
      <c r="S471" s="9">
        <f t="shared" si="39"/>
        <v>7.0000000000000007E-2</v>
      </c>
    </row>
    <row r="472" spans="1:19" x14ac:dyDescent="0.25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VLOOKUP('Customer Info'!A464,'Customer Info'!A464:I963,2,FALSE)</f>
        <v>Toby</v>
      </c>
      <c r="H472" s="6" t="str">
        <f>VLOOKUP('Customer Info'!A464,'Customer Info'!A464:I964,3,FALSE)</f>
        <v>Carlisle</v>
      </c>
      <c r="I472" s="6" t="str">
        <f>VLOOKUP('Customer Info'!A464,'Customer Info'!A464:I963,5,FALSE)</f>
        <v>Depok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57</v>
      </c>
      <c r="R472" s="2" t="s">
        <v>50</v>
      </c>
      <c r="S472" s="9">
        <f t="shared" si="39"/>
        <v>0.02</v>
      </c>
    </row>
    <row r="473" spans="1:19" x14ac:dyDescent="0.25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VLOOKUP('Customer Info'!A465,'Customer Info'!A465:I964,2,FALSE)</f>
        <v>Toby</v>
      </c>
      <c r="H473" s="6" t="str">
        <f>VLOOKUP('Customer Info'!A465,'Customer Info'!A465:I965,3,FALSE)</f>
        <v>Swindell</v>
      </c>
      <c r="I473" s="6" t="str">
        <f>VLOOKUP('Customer Info'!A465,'Customer Info'!A465:I964,5,FALSE)</f>
        <v>Ninghai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733</v>
      </c>
      <c r="R473" s="2" t="s">
        <v>50</v>
      </c>
      <c r="S473" s="9">
        <f t="shared" si="39"/>
        <v>0.05</v>
      </c>
    </row>
    <row r="474" spans="1:19" x14ac:dyDescent="0.25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VLOOKUP('Customer Info'!A466,'Customer Info'!A466:I965,2,FALSE)</f>
        <v>Toby</v>
      </c>
      <c r="H474" s="6" t="str">
        <f>VLOOKUP('Customer Info'!A466,'Customer Info'!A466:I966,3,FALSE)</f>
        <v>Gnade</v>
      </c>
      <c r="I474" s="6" t="str">
        <f>VLOOKUP('Customer Info'!A466,'Customer Info'!A466:I965,5,FALSE)</f>
        <v>Wagga Wagga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414</v>
      </c>
      <c r="R474" s="2" t="s">
        <v>26</v>
      </c>
      <c r="S474" s="9">
        <f t="shared" si="39"/>
        <v>0.05</v>
      </c>
    </row>
    <row r="475" spans="1:19" x14ac:dyDescent="0.25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VLOOKUP('Customer Info'!A467,'Customer Info'!A467:I966,2,FALSE)</f>
        <v>Toby</v>
      </c>
      <c r="H475" s="6" t="str">
        <f>VLOOKUP('Customer Info'!A467,'Customer Info'!A467:I967,3,FALSE)</f>
        <v>Gnade</v>
      </c>
      <c r="I475" s="6" t="str">
        <f>VLOOKUP('Customer Info'!A467,'Customer Info'!A467:I966,5,FALSE)</f>
        <v>Bhopal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570</v>
      </c>
      <c r="R475" s="2" t="s">
        <v>28</v>
      </c>
      <c r="S475" s="9">
        <f t="shared" si="39"/>
        <v>0.05</v>
      </c>
    </row>
    <row r="476" spans="1:19" x14ac:dyDescent="0.25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VLOOKUP('Customer Info'!A468,'Customer Info'!A468:I967,2,FALSE)</f>
        <v>Toby</v>
      </c>
      <c r="H476" s="6" t="str">
        <f>VLOOKUP('Customer Info'!A468,'Customer Info'!A468:I968,3,FALSE)</f>
        <v>Braunhardt</v>
      </c>
      <c r="I476" s="6" t="str">
        <f>VLOOKUP('Customer Info'!A468,'Customer Info'!A468:I967,5,FALSE)</f>
        <v>Perth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153</v>
      </c>
      <c r="R476" s="2" t="s">
        <v>50</v>
      </c>
      <c r="S476" s="9">
        <f t="shared" si="39"/>
        <v>0.02</v>
      </c>
    </row>
    <row r="477" spans="1:19" x14ac:dyDescent="0.25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VLOOKUP('Customer Info'!A469,'Customer Info'!A469:I968,2,FALSE)</f>
        <v>Toby</v>
      </c>
      <c r="H477" s="6" t="str">
        <f>VLOOKUP('Customer Info'!A469,'Customer Info'!A469:I969,3,FALSE)</f>
        <v>Braunhardt</v>
      </c>
      <c r="I477" s="6" t="str">
        <f>VLOOKUP('Customer Info'!A469,'Customer Info'!A469:I968,5,FALSE)</f>
        <v>Jiangyan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16</v>
      </c>
      <c r="R477" s="2" t="s">
        <v>28</v>
      </c>
      <c r="S477" s="9">
        <f t="shared" si="39"/>
        <v>0.02</v>
      </c>
    </row>
    <row r="478" spans="1:19" x14ac:dyDescent="0.25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VLOOKUP('Customer Info'!A470,'Customer Info'!A470:I969,2,FALSE)</f>
        <v>Todd</v>
      </c>
      <c r="H478" s="6" t="str">
        <f>VLOOKUP('Customer Info'!A470,'Customer Info'!A470:I970,3,FALSE)</f>
        <v>Sumrall</v>
      </c>
      <c r="I478" s="6" t="str">
        <f>VLOOKUP('Customer Info'!A470,'Customer Info'!A470:I969,5,FALSE)</f>
        <v>Yangzhou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479</v>
      </c>
      <c r="R478" s="2" t="s">
        <v>28</v>
      </c>
      <c r="S478" s="9">
        <f t="shared" si="39"/>
        <v>0.05</v>
      </c>
    </row>
    <row r="479" spans="1:19" x14ac:dyDescent="0.25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VLOOKUP('Customer Info'!A471,'Customer Info'!A471:I970,2,FALSE)</f>
        <v>Tom</v>
      </c>
      <c r="H479" s="6" t="str">
        <f>VLOOKUP('Customer Info'!A471,'Customer Info'!A471:I971,3,FALSE)</f>
        <v>Zandusky</v>
      </c>
      <c r="I479" s="6" t="str">
        <f>VLOOKUP('Customer Info'!A471,'Customer Info'!A471:I970,5,FALSE)</f>
        <v>Hobart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5171</v>
      </c>
      <c r="R479" s="2" t="s">
        <v>28</v>
      </c>
      <c r="S479" s="9">
        <f t="shared" si="39"/>
        <v>0.09</v>
      </c>
    </row>
    <row r="480" spans="1:19" x14ac:dyDescent="0.25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VLOOKUP('Customer Info'!A472,'Customer Info'!A472:I971,2,FALSE)</f>
        <v>Tom</v>
      </c>
      <c r="H480" s="6" t="str">
        <f>VLOOKUP('Customer Info'!A472,'Customer Info'!A472:I972,3,FALSE)</f>
        <v>Stivers</v>
      </c>
      <c r="I480" s="6" t="str">
        <f>VLOOKUP('Customer Info'!A472,'Customer Info'!A472:I971,5,FALSE)</f>
        <v>Thane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5342</v>
      </c>
      <c r="R480" s="2" t="s">
        <v>26</v>
      </c>
      <c r="S480" s="9">
        <f t="shared" si="39"/>
        <v>0.09</v>
      </c>
    </row>
    <row r="481" spans="1:19" x14ac:dyDescent="0.25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VLOOKUP('Customer Info'!A473,'Customer Info'!A473:I972,2,FALSE)</f>
        <v>Tom</v>
      </c>
      <c r="H481" s="6" t="str">
        <f>VLOOKUP('Customer Info'!A473,'Customer Info'!A473:I973,3,FALSE)</f>
        <v>Prescott</v>
      </c>
      <c r="I481" s="6" t="str">
        <f>VLOOKUP('Customer Info'!A473,'Customer Info'!A473:I972,5,FALSE)</f>
        <v>Bokaro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583</v>
      </c>
      <c r="R481" s="2" t="s">
        <v>28</v>
      </c>
      <c r="S481" s="9">
        <f t="shared" si="39"/>
        <v>0.05</v>
      </c>
    </row>
    <row r="482" spans="1:19" x14ac:dyDescent="0.25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VLOOKUP('Customer Info'!A474,'Customer Info'!A474:I973,2,FALSE)</f>
        <v>Tom</v>
      </c>
      <c r="H482" s="6" t="str">
        <f>VLOOKUP('Customer Info'!A474,'Customer Info'!A474:I974,3,FALSE)</f>
        <v>Boeckenhauer</v>
      </c>
      <c r="I482" s="6" t="str">
        <f>VLOOKUP('Customer Info'!A474,'Customer Info'!A474:I973,5,FALSE)</f>
        <v>Neunkirchen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154</v>
      </c>
      <c r="R482" s="2" t="s">
        <v>28</v>
      </c>
      <c r="S482" s="9">
        <f t="shared" si="39"/>
        <v>0.02</v>
      </c>
    </row>
    <row r="483" spans="1:19" x14ac:dyDescent="0.25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VLOOKUP('Customer Info'!A475,'Customer Info'!A475:I974,2,FALSE)</f>
        <v>Tom</v>
      </c>
      <c r="H483" s="6" t="str">
        <f>VLOOKUP('Customer Info'!A475,'Customer Info'!A475:I975,3,FALSE)</f>
        <v>Stivers</v>
      </c>
      <c r="I483" s="6" t="str">
        <f>VLOOKUP('Customer Info'!A475,'Customer Info'!A475:I974,5,FALSE)</f>
        <v>Guangzhou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38</v>
      </c>
      <c r="R483" s="2" t="s">
        <v>26</v>
      </c>
      <c r="S483" s="9">
        <f t="shared" si="39"/>
        <v>0.02</v>
      </c>
    </row>
    <row r="484" spans="1:19" x14ac:dyDescent="0.25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VLOOKUP('Customer Info'!A476,'Customer Info'!A476:I975,2,FALSE)</f>
        <v>Tony</v>
      </c>
      <c r="H484" s="6" t="str">
        <f>VLOOKUP('Customer Info'!A476,'Customer Info'!A476:I976,3,FALSE)</f>
        <v>Sayre</v>
      </c>
      <c r="I484" s="6" t="str">
        <f>VLOOKUP('Customer Info'!A476,'Customer Info'!A476:I975,5,FALSE)</f>
        <v>Bharatpur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2747</v>
      </c>
      <c r="R484" s="2" t="s">
        <v>26</v>
      </c>
      <c r="S484" s="9">
        <f t="shared" si="39"/>
        <v>7.0000000000000007E-2</v>
      </c>
    </row>
    <row r="485" spans="1:19" x14ac:dyDescent="0.25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VLOOKUP('Customer Info'!A477,'Customer Info'!A477:I976,2,FALSE)</f>
        <v>Tony</v>
      </c>
      <c r="H485" s="6" t="str">
        <f>VLOOKUP('Customer Info'!A477,'Customer Info'!A477:I977,3,FALSE)</f>
        <v>Sayre</v>
      </c>
      <c r="I485" s="6" t="str">
        <f>VLOOKUP('Customer Info'!A477,'Customer Info'!A477:I976,5,FALSE)</f>
        <v>Wafangdian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54</v>
      </c>
      <c r="R485" s="2" t="s">
        <v>28</v>
      </c>
      <c r="S485" s="9">
        <f t="shared" si="39"/>
        <v>0.02</v>
      </c>
    </row>
    <row r="486" spans="1:19" x14ac:dyDescent="0.25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VLOOKUP('Customer Info'!A478,'Customer Info'!A478:I977,2,FALSE)</f>
        <v>Tony</v>
      </c>
      <c r="H486" s="6" t="str">
        <f>VLOOKUP('Customer Info'!A478,'Customer Info'!A478:I978,3,FALSE)</f>
        <v>Sayre</v>
      </c>
      <c r="I486" s="6" t="str">
        <f>VLOOKUP('Customer Info'!A478,'Customer Info'!A478:I977,5,FALSE)</f>
        <v>Jakarta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133</v>
      </c>
      <c r="R486" s="2" t="s">
        <v>28</v>
      </c>
      <c r="S486" s="9">
        <f t="shared" si="39"/>
        <v>0.02</v>
      </c>
    </row>
    <row r="487" spans="1:19" x14ac:dyDescent="0.25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VLOOKUP('Customer Info'!A479,'Customer Info'!A479:I978,2,FALSE)</f>
        <v>Tracy</v>
      </c>
      <c r="H487" s="6" t="str">
        <f>VLOOKUP('Customer Info'!A479,'Customer Info'!A479:I979,3,FALSE)</f>
        <v>Blumstein</v>
      </c>
      <c r="I487" s="6" t="str">
        <f>VLOOKUP('Customer Info'!A479,'Customer Info'!A479:I978,5,FALSE)</f>
        <v>Guangzhou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95</v>
      </c>
      <c r="R487" s="2" t="s">
        <v>26</v>
      </c>
      <c r="S487" s="9">
        <f t="shared" si="39"/>
        <v>0.02</v>
      </c>
    </row>
    <row r="488" spans="1:19" x14ac:dyDescent="0.25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VLOOKUP('Customer Info'!A480,'Customer Info'!A480:I979,2,FALSE)</f>
        <v>Troy</v>
      </c>
      <c r="H488" s="6" t="str">
        <f>VLOOKUP('Customer Info'!A480,'Customer Info'!A480:I980,3,FALSE)</f>
        <v>Blackwell</v>
      </c>
      <c r="I488" s="6" t="str">
        <f>VLOOKUP('Customer Info'!A480,'Customer Info'!A480:I979,5,FALSE)</f>
        <v>Akola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466</v>
      </c>
      <c r="R488" s="2" t="s">
        <v>28</v>
      </c>
      <c r="S488" s="9">
        <f t="shared" si="39"/>
        <v>0.05</v>
      </c>
    </row>
    <row r="489" spans="1:19" x14ac:dyDescent="0.25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VLOOKUP('Customer Info'!A481,'Customer Info'!A481:I980,2,FALSE)</f>
        <v>Troy</v>
      </c>
      <c r="H489" s="6" t="str">
        <f>VLOOKUP('Customer Info'!A481,'Customer Info'!A481:I981,3,FALSE)</f>
        <v>Staebel</v>
      </c>
      <c r="I489" s="6" t="str">
        <f>VLOOKUP('Customer Info'!A481,'Customer Info'!A481:I980,5,FALSE)</f>
        <v>Depok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160</v>
      </c>
      <c r="R489" s="2" t="s">
        <v>50</v>
      </c>
      <c r="S489" s="9">
        <f t="shared" si="39"/>
        <v>0.02</v>
      </c>
    </row>
    <row r="490" spans="1:19" x14ac:dyDescent="0.25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VLOOKUP('Customer Info'!A482,'Customer Info'!A482:I981,2,FALSE)</f>
        <v>Troy</v>
      </c>
      <c r="H490" s="6" t="str">
        <f>VLOOKUP('Customer Info'!A482,'Customer Info'!A482:I982,3,FALSE)</f>
        <v>Blackwell</v>
      </c>
      <c r="I490" s="6" t="str">
        <f>VLOOKUP('Customer Info'!A482,'Customer Info'!A482:I981,5,FALSE)</f>
        <v>Krefeld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1412</v>
      </c>
      <c r="R490" s="2" t="s">
        <v>50</v>
      </c>
      <c r="S490" s="9">
        <f t="shared" si="39"/>
        <v>0.05</v>
      </c>
    </row>
    <row r="491" spans="1:19" x14ac:dyDescent="0.25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VLOOKUP('Customer Info'!A483,'Customer Info'!A483:I982,2,FALSE)</f>
        <v>Troy</v>
      </c>
      <c r="H491" s="6" t="str">
        <f>VLOOKUP('Customer Info'!A483,'Customer Info'!A483:I983,3,FALSE)</f>
        <v>Staebel</v>
      </c>
      <c r="I491" s="6" t="str">
        <f>VLOOKUP('Customer Info'!A483,'Customer Info'!A483:I982,5,FALSE)</f>
        <v>Canberra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959</v>
      </c>
      <c r="R491" s="2" t="s">
        <v>28</v>
      </c>
      <c r="S491" s="9">
        <f t="shared" si="39"/>
        <v>0.05</v>
      </c>
    </row>
    <row r="492" spans="1:19" x14ac:dyDescent="0.25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VLOOKUP('Customer Info'!A484,'Customer Info'!A484:I983,2,FALSE)</f>
        <v>Trudy</v>
      </c>
      <c r="H492" s="6" t="str">
        <f>VLOOKUP('Customer Info'!A484,'Customer Info'!A484:I984,3,FALSE)</f>
        <v>Glocke</v>
      </c>
      <c r="I492" s="6" t="str">
        <f>VLOOKUP('Customer Info'!A484,'Customer Info'!A484:I983,5,FALSE)</f>
        <v>Huaiyin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439</v>
      </c>
      <c r="R492" s="2" t="s">
        <v>28</v>
      </c>
      <c r="S492" s="9">
        <f t="shared" si="39"/>
        <v>0.05</v>
      </c>
    </row>
    <row r="493" spans="1:19" x14ac:dyDescent="0.25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VLOOKUP('Customer Info'!A485,'Customer Info'!A485:I984,2,FALSE)</f>
        <v>Trudy</v>
      </c>
      <c r="H493" s="6" t="str">
        <f>VLOOKUP('Customer Info'!A485,'Customer Info'!A485:I985,3,FALSE)</f>
        <v>Glocke</v>
      </c>
      <c r="I493" s="6" t="str">
        <f>VLOOKUP('Customer Info'!A485,'Customer Info'!A485:I984,5,FALSE)</f>
        <v>Brisbane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677</v>
      </c>
      <c r="R493" s="2" t="s">
        <v>50</v>
      </c>
      <c r="S493" s="9">
        <f t="shared" si="39"/>
        <v>0.05</v>
      </c>
    </row>
    <row r="494" spans="1:19" x14ac:dyDescent="0.25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VLOOKUP('Customer Info'!A486,'Customer Info'!A486:I985,2,FALSE)</f>
        <v>Valerie</v>
      </c>
      <c r="H494" s="6" t="str">
        <f>VLOOKUP('Customer Info'!A486,'Customer Info'!A486:I986,3,FALSE)</f>
        <v>Mitchum</v>
      </c>
      <c r="I494" s="6" t="str">
        <f>VLOOKUP('Customer Info'!A486,'Customer Info'!A486:I985,5,FALSE)</f>
        <v>Chengdu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217</v>
      </c>
      <c r="R494" s="2" t="s">
        <v>50</v>
      </c>
      <c r="S494" s="9">
        <f t="shared" si="39"/>
        <v>0.02</v>
      </c>
    </row>
    <row r="495" spans="1:19" x14ac:dyDescent="0.25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VLOOKUP('Customer Info'!A487,'Customer Info'!A487:I986,2,FALSE)</f>
        <v>Valerie</v>
      </c>
      <c r="H495" s="6" t="str">
        <f>VLOOKUP('Customer Info'!A487,'Customer Info'!A487:I987,3,FALSE)</f>
        <v>Takahito</v>
      </c>
      <c r="I495" s="6" t="str">
        <f>VLOOKUP('Customer Info'!A487,'Customer Info'!A487:I986,5,FALSE)</f>
        <v>Surat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70</v>
      </c>
      <c r="R495" s="2" t="s">
        <v>26</v>
      </c>
      <c r="S495" s="9">
        <f t="shared" si="39"/>
        <v>0.02</v>
      </c>
    </row>
    <row r="496" spans="1:19" x14ac:dyDescent="0.25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VLOOKUP('Customer Info'!A488,'Customer Info'!A488:I987,2,FALSE)</f>
        <v>Victor</v>
      </c>
      <c r="H496" s="6" t="str">
        <f>VLOOKUP('Customer Info'!A488,'Customer Info'!A488:I988,3,FALSE)</f>
        <v>Preis</v>
      </c>
      <c r="I496" s="6" t="str">
        <f>VLOOKUP('Customer Info'!A488,'Customer Info'!A488:I987,5,FALSE)</f>
        <v>Melbourne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134</v>
      </c>
      <c r="R496" s="2" t="s">
        <v>28</v>
      </c>
      <c r="S496" s="9">
        <f t="shared" si="39"/>
        <v>0.02</v>
      </c>
    </row>
    <row r="497" spans="1:19" x14ac:dyDescent="0.25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VLOOKUP('Customer Info'!A489,'Customer Info'!A489:I988,2,FALSE)</f>
        <v>Victoria</v>
      </c>
      <c r="H497" s="6" t="str">
        <f>VLOOKUP('Customer Info'!A489,'Customer Info'!A489:I989,3,FALSE)</f>
        <v>Brennan</v>
      </c>
      <c r="I497" s="6" t="str">
        <f>VLOOKUP('Customer Info'!A489,'Customer Info'!A489:I988,5,FALSE)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215</v>
      </c>
      <c r="R497" s="2" t="s">
        <v>28</v>
      </c>
      <c r="S497" s="9">
        <f t="shared" si="39"/>
        <v>0.02</v>
      </c>
    </row>
    <row r="498" spans="1:19" x14ac:dyDescent="0.25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VLOOKUP('Customer Info'!A490,'Customer Info'!A490:I989,2,FALSE)</f>
        <v>Victoria</v>
      </c>
      <c r="H498" s="6" t="str">
        <f>VLOOKUP('Customer Info'!A490,'Customer Info'!A490:I990,3,FALSE)</f>
        <v>Brennan</v>
      </c>
      <c r="I498" s="6" t="str">
        <f>VLOOKUP('Customer Info'!A490,'Customer Info'!A490:I989,5,FALSE)</f>
        <v>Canberra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530</v>
      </c>
      <c r="R498" s="2" t="s">
        <v>28</v>
      </c>
      <c r="S498" s="9">
        <f t="shared" si="39"/>
        <v>0.02</v>
      </c>
    </row>
    <row r="499" spans="1:19" x14ac:dyDescent="0.25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VLOOKUP('Customer Info'!A491,'Customer Info'!A491:I990,2,FALSE)</f>
        <v>Victoria</v>
      </c>
      <c r="H499" s="6" t="str">
        <f>VLOOKUP('Customer Info'!A491,'Customer Info'!A491:I991,3,FALSE)</f>
        <v>Wilson</v>
      </c>
      <c r="I499" s="6" t="str">
        <f>VLOOKUP('Customer Info'!A491,'Customer Info'!A491:I990,5,FALSE)</f>
        <v>Berlin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1521</v>
      </c>
      <c r="R499" s="2" t="s">
        <v>28</v>
      </c>
      <c r="S499" s="9">
        <f t="shared" si="39"/>
        <v>0.05</v>
      </c>
    </row>
    <row r="500" spans="1:19" x14ac:dyDescent="0.25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VLOOKUP('Customer Info'!A492,'Customer Info'!A492:I991,2,FALSE)</f>
        <v>Victoria</v>
      </c>
      <c r="H500" s="6" t="str">
        <f>VLOOKUP('Customer Info'!A492,'Customer Info'!A492:I992,3,FALSE)</f>
        <v>Pisteka</v>
      </c>
      <c r="I500" s="6" t="str">
        <f>VLOOKUP('Customer Info'!A492,'Customer Info'!A492:I991,5,FALSE)</f>
        <v>Bokaro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96</v>
      </c>
      <c r="R500" s="2" t="s">
        <v>28</v>
      </c>
      <c r="S500" s="9">
        <f t="shared" si="39"/>
        <v>0.02</v>
      </c>
    </row>
    <row r="501" spans="1:19" x14ac:dyDescent="0.25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VLOOKUP('Customer Info'!A493,'Customer Info'!A493:I992,2,FALSE)</f>
        <v>Victoria</v>
      </c>
      <c r="H501" s="6" t="str">
        <f>VLOOKUP('Customer Info'!A493,'Customer Info'!A493:I993,3,FALSE)</f>
        <v>Brennan</v>
      </c>
      <c r="I501" s="6" t="str">
        <f>VLOOKUP('Customer Info'!A493,'Customer Info'!A493:I992,5,FALSE)</f>
        <v>Mangalore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438</v>
      </c>
      <c r="R501" s="2" t="s">
        <v>28</v>
      </c>
      <c r="S501" s="9">
        <f t="shared" si="39"/>
        <v>0.02</v>
      </c>
    </row>
    <row r="502" spans="1:19" x14ac:dyDescent="0.25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VLOOKUP('Customer Info'!A494,'Customer Info'!A494:I993,2,FALSE)</f>
        <v>Vivek</v>
      </c>
      <c r="H502" s="6" t="str">
        <f>VLOOKUP('Customer Info'!A494,'Customer Info'!A494:I994,3,FALSE)</f>
        <v>Sundaresam</v>
      </c>
      <c r="I502" s="6" t="str">
        <f>VLOOKUP('Customer Info'!A494,'Customer Info'!A494:I993,5,FALSE)</f>
        <v>Hamburg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137</v>
      </c>
      <c r="R502" s="2" t="s">
        <v>50</v>
      </c>
      <c r="S502" s="9">
        <f t="shared" si="39"/>
        <v>0.02</v>
      </c>
    </row>
    <row r="503" spans="1:19" x14ac:dyDescent="0.25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VLOOKUP('Customer Info'!A495,'Customer Info'!A495:I994,2,FALSE)</f>
        <v>Vivek</v>
      </c>
      <c r="H503" s="6" t="str">
        <f>VLOOKUP('Customer Info'!A495,'Customer Info'!A495:I995,3,FALSE)</f>
        <v>Grady</v>
      </c>
      <c r="I503" s="6" t="str">
        <f>VLOOKUP('Customer Info'!A495,'Customer Info'!A495:I994,5,FALSE)</f>
        <v>Shantou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187</v>
      </c>
      <c r="R503" s="2" t="s">
        <v>50</v>
      </c>
      <c r="S503" s="9">
        <f t="shared" si="39"/>
        <v>0.05</v>
      </c>
    </row>
    <row r="504" spans="1:19" x14ac:dyDescent="0.25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VLOOKUP('Customer Info'!A496,'Customer Info'!A496:I995,2,FALSE)</f>
        <v>Vivek</v>
      </c>
      <c r="H504" s="6" t="str">
        <f>VLOOKUP('Customer Info'!A496,'Customer Info'!A496:I996,3,FALSE)</f>
        <v>Gonzalez</v>
      </c>
      <c r="I504" s="6" t="str">
        <f>VLOOKUP('Customer Info'!A496,'Customer Info'!A496:I995,5,FALSE)</f>
        <v>Nanyang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133</v>
      </c>
      <c r="R504" s="2" t="s">
        <v>50</v>
      </c>
      <c r="S504" s="9">
        <f t="shared" si="39"/>
        <v>0.02</v>
      </c>
    </row>
    <row r="505" spans="1:19" x14ac:dyDescent="0.25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VLOOKUP('Customer Info'!A497,'Customer Info'!A497:I996,2,FALSE)</f>
        <v>William</v>
      </c>
      <c r="H505" s="6" t="str">
        <f>VLOOKUP('Customer Info'!A497,'Customer Info'!A497:I997,3,FALSE)</f>
        <v>Brown</v>
      </c>
      <c r="I505" s="6" t="str">
        <f>VLOOKUP('Customer Info'!A497,'Customer Info'!A497:I996,5,FALSE)</f>
        <v>Denpasar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20</v>
      </c>
      <c r="R505" s="2" t="s">
        <v>28</v>
      </c>
      <c r="S505" s="9">
        <f t="shared" si="39"/>
        <v>0.02</v>
      </c>
    </row>
    <row r="506" spans="1:19" x14ac:dyDescent="0.25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VLOOKUP('Customer Info'!A498,'Customer Info'!A498:I997,2,FALSE)</f>
        <v>Xylona</v>
      </c>
      <c r="H506" s="6" t="str">
        <f>VLOOKUP('Customer Info'!A498,'Customer Info'!A498:I998,3,FALSE)</f>
        <v>Preis</v>
      </c>
      <c r="I506" s="6" t="str">
        <f>VLOOKUP('Customer Info'!A498,'Customer Info'!A498:I997,5,FALSE)</f>
        <v>Qidong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4521</v>
      </c>
      <c r="R506" s="2" t="s">
        <v>28</v>
      </c>
      <c r="S506" s="9">
        <f t="shared" si="39"/>
        <v>7.0000000000000007E-2</v>
      </c>
    </row>
    <row r="507" spans="1:19" x14ac:dyDescent="0.25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VLOOKUP('Customer Info'!A499,'Customer Info'!A499:I998,2,FALSE)</f>
        <v>Xylona</v>
      </c>
      <c r="H507" s="6" t="str">
        <f>VLOOKUP('Customer Info'!A499,'Customer Info'!A499:I999,3,FALSE)</f>
        <v>Preis</v>
      </c>
      <c r="I507" s="6" t="str">
        <f>VLOOKUP('Customer Info'!A499,'Customer Info'!A499:I998,5,FALSE)</f>
        <v>Suining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518</v>
      </c>
      <c r="R507" s="2" t="s">
        <v>28</v>
      </c>
      <c r="S507" s="9">
        <f t="shared" si="39"/>
        <v>0.02</v>
      </c>
    </row>
    <row r="508" spans="1:19" x14ac:dyDescent="0.25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VLOOKUP('Customer Info'!A500,'Customer Info'!A500:I999,2,FALSE)</f>
        <v>Yana</v>
      </c>
      <c r="H508" s="6" t="str">
        <f>VLOOKUP('Customer Info'!A500,'Customer Info'!A500:I1000,3,FALSE)</f>
        <v>Sorensen</v>
      </c>
      <c r="I508" s="6" t="str">
        <f>VLOOKUP('Customer Info'!A500,'Customer Info'!A500:I999,5,FALSE)</f>
        <v>Hangzhou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190</v>
      </c>
      <c r="R508" s="2" t="s">
        <v>28</v>
      </c>
      <c r="S508" s="9">
        <f t="shared" si="39"/>
        <v>0.02</v>
      </c>
    </row>
    <row r="509" spans="1:19" x14ac:dyDescent="0.25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VLOOKUP('Customer Info'!A501,'Customer Info'!A501:I1000,2,FALSE)</f>
        <v>Yana</v>
      </c>
      <c r="H509" s="6" t="str">
        <f>VLOOKUP('Customer Info'!A501,'Customer Info'!A501:I1001,3,FALSE)</f>
        <v>Sorensen</v>
      </c>
      <c r="I509" s="6" t="str">
        <f>VLOOKUP('Customer Info'!A501,'Customer Info'!A501:I1000,5,FALSE)</f>
        <v>Bottrop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1919</v>
      </c>
      <c r="R509" s="2" t="s">
        <v>50</v>
      </c>
      <c r="S509" s="9">
        <f t="shared" si="39"/>
        <v>7.0000000000000007E-2</v>
      </c>
    </row>
    <row r="510" spans="1:19" x14ac:dyDescent="0.25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e">
        <f>VLOOKUP('Customer Info'!A502,'Customer Info'!A502:I1001,2,FALSE)</f>
        <v>#N/A</v>
      </c>
      <c r="H510" s="6" t="e">
        <f>VLOOKUP('Customer Info'!A502,'Customer Info'!A502:I1002,3,FALSE)</f>
        <v>#N/A</v>
      </c>
      <c r="I510" s="6" t="e">
        <f>VLOOKUP('Customer Info'!A502,'Customer Info'!A502:I1001,5,FALSE)</f>
        <v>#N/A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137</v>
      </c>
      <c r="R510" s="2" t="s">
        <v>26</v>
      </c>
      <c r="S510" s="9">
        <f t="shared" si="39"/>
        <v>0.02</v>
      </c>
    </row>
    <row r="511" spans="1:19" x14ac:dyDescent="0.25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e">
        <f>VLOOKUP('Customer Info'!A503,'Customer Info'!A503:I1002,2,FALSE)</f>
        <v>#N/A</v>
      </c>
      <c r="H511" s="6" t="e">
        <f>VLOOKUP('Customer Info'!A503,'Customer Info'!A503:I1003,3,FALSE)</f>
        <v>#N/A</v>
      </c>
      <c r="I511" s="6" t="e">
        <f>VLOOKUP('Customer Info'!A503,'Customer Info'!A503:I1002,5,FALSE)</f>
        <v>#N/A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38</v>
      </c>
      <c r="R511" s="2" t="s">
        <v>28</v>
      </c>
      <c r="S511" s="9">
        <f t="shared" si="39"/>
        <v>0.02</v>
      </c>
    </row>
    <row r="512" spans="1:19" x14ac:dyDescent="0.25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e">
        <f>VLOOKUP('Customer Info'!A504,'Customer Info'!A504:I1003,2,FALSE)</f>
        <v>#N/A</v>
      </c>
      <c r="H512" s="6" t="e">
        <f>VLOOKUP('Customer Info'!A504,'Customer Info'!A504:I1004,3,FALSE)</f>
        <v>#N/A</v>
      </c>
      <c r="I512" s="6" t="e">
        <f>VLOOKUP('Customer Info'!A504,'Customer Info'!A504:I1003,5,FALSE)</f>
        <v>#N/A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133</v>
      </c>
      <c r="R512" s="2" t="s">
        <v>28</v>
      </c>
      <c r="S512" s="9">
        <f t="shared" si="39"/>
        <v>0.02</v>
      </c>
    </row>
    <row r="513" spans="1:19" x14ac:dyDescent="0.25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e">
        <f>VLOOKUP('Customer Info'!A505,'Customer Info'!A505:I1004,2,FALSE)</f>
        <v>#N/A</v>
      </c>
      <c r="H513" s="6" t="e">
        <f>VLOOKUP('Customer Info'!A505,'Customer Info'!A505:I1005,3,FALSE)</f>
        <v>#N/A</v>
      </c>
      <c r="I513" s="6" t="e">
        <f>VLOOKUP('Customer Info'!A505,'Customer Info'!A505:I1004,5,FALSE)</f>
        <v>#N/A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611</v>
      </c>
      <c r="R513" s="2" t="s">
        <v>26</v>
      </c>
      <c r="S513" s="9">
        <f t="shared" si="39"/>
        <v>0.05</v>
      </c>
    </row>
    <row r="514" spans="1:19" x14ac:dyDescent="0.25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e">
        <f>VLOOKUP('Customer Info'!A506,'Customer Info'!A506:I1005,2,FALSE)</f>
        <v>#N/A</v>
      </c>
      <c r="H514" s="6" t="e">
        <f>VLOOKUP('Customer Info'!A506,'Customer Info'!A506:I1006,3,FALSE)</f>
        <v>#N/A</v>
      </c>
      <c r="I514" s="6" t="e">
        <f>VLOOKUP('Customer Info'!A506,'Customer Info'!A506:I1005,5,FALSE)</f>
        <v>#N/A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24</v>
      </c>
      <c r="R514" s="2" t="s">
        <v>28</v>
      </c>
      <c r="S514" s="9">
        <f t="shared" si="39"/>
        <v>0.02</v>
      </c>
    </row>
    <row r="515" spans="1:19" x14ac:dyDescent="0.25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e">
        <f>VLOOKUP('Customer Info'!A507,'Customer Info'!A507:I1006,2,FALSE)</f>
        <v>#N/A</v>
      </c>
      <c r="H515" s="6" t="e">
        <f>VLOOKUP('Customer Info'!A507,'Customer Info'!A507:I1007,3,FALSE)</f>
        <v>#N/A</v>
      </c>
      <c r="I515" s="6" t="e">
        <f>VLOOKUP('Customer Info'!A507,'Customer Info'!A507:I1006,5,FALSE)</f>
        <v>#N/A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190</v>
      </c>
      <c r="R515" s="2" t="s">
        <v>28</v>
      </c>
      <c r="S515" s="9">
        <f t="shared" si="39"/>
        <v>0.02</v>
      </c>
    </row>
    <row r="516" spans="1:19" x14ac:dyDescent="0.25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e">
        <f>VLOOKUP('Customer Info'!A508,'Customer Info'!A508:I1007,2,FALSE)</f>
        <v>#N/A</v>
      </c>
      <c r="H516" s="6" t="e">
        <f>VLOOKUP('Customer Info'!A508,'Customer Info'!A508:I1008,3,FALSE)</f>
        <v>#N/A</v>
      </c>
      <c r="I516" s="6" t="e">
        <f>VLOOKUP('Customer Info'!A508,'Customer Info'!A508:I1007,5,FALSE)</f>
        <v>#N/A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24</v>
      </c>
      <c r="R516" s="2" t="s">
        <v>26</v>
      </c>
      <c r="S516" s="9">
        <f t="shared" si="39"/>
        <v>0.02</v>
      </c>
    </row>
    <row r="517" spans="1:19" x14ac:dyDescent="0.25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e">
        <f>VLOOKUP('Customer Info'!A509,'Customer Info'!A509:I1008,2,FALSE)</f>
        <v>#N/A</v>
      </c>
      <c r="H517" s="6" t="e">
        <f>VLOOKUP('Customer Info'!A509,'Customer Info'!A509:I1009,3,FALSE)</f>
        <v>#N/A</v>
      </c>
      <c r="I517" s="6" t="e">
        <f>VLOOKUP('Customer Info'!A509,'Customer Info'!A509:I1008,5,FALSE)</f>
        <v>#N/A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1493</v>
      </c>
      <c r="R517" s="2" t="s">
        <v>50</v>
      </c>
      <c r="S517" s="9">
        <f t="shared" si="39"/>
        <v>0.05</v>
      </c>
    </row>
    <row r="518" spans="1:19" x14ac:dyDescent="0.25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e">
        <f>VLOOKUP('Customer Info'!A510,'Customer Info'!A510:I1009,2,FALSE)</f>
        <v>#N/A</v>
      </c>
      <c r="H518" s="6" t="e">
        <f>VLOOKUP('Customer Info'!A510,'Customer Info'!A510:I1010,3,FALSE)</f>
        <v>#N/A</v>
      </c>
      <c r="I518" s="6" t="e">
        <f>VLOOKUP('Customer Info'!A510,'Customer Info'!A510:I1009,5,FALSE)</f>
        <v>#N/A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282</v>
      </c>
      <c r="R518" s="2" t="s">
        <v>28</v>
      </c>
      <c r="S518" s="9">
        <f t="shared" si="39"/>
        <v>0.02</v>
      </c>
    </row>
    <row r="519" spans="1:19" x14ac:dyDescent="0.25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e">
        <f>VLOOKUP('Customer Info'!A511,'Customer Info'!A511:I1010,2,FALSE)</f>
        <v>#N/A</v>
      </c>
      <c r="H519" s="6" t="e">
        <f>VLOOKUP('Customer Info'!A511,'Customer Info'!A511:I1011,3,FALSE)</f>
        <v>#N/A</v>
      </c>
      <c r="I519" s="6" t="e">
        <f>VLOOKUP('Customer Info'!A511,'Customer Info'!A511:I1010,5,FALSE)</f>
        <v>#N/A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1008</v>
      </c>
      <c r="R519" s="2" t="s">
        <v>50</v>
      </c>
      <c r="S519" s="9">
        <f t="shared" si="39"/>
        <v>0.05</v>
      </c>
    </row>
    <row r="520" spans="1:19" x14ac:dyDescent="0.25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e">
        <f>VLOOKUP('Customer Info'!A512,'Customer Info'!A512:I1011,2,FALSE)</f>
        <v>#N/A</v>
      </c>
      <c r="H520" s="6" t="e">
        <f>VLOOKUP('Customer Info'!A512,'Customer Info'!A512:I1012,3,FALSE)</f>
        <v>#N/A</v>
      </c>
      <c r="I520" s="6" t="e">
        <f>VLOOKUP('Customer Info'!A512,'Customer Info'!A512:I1011,5,FALSE)</f>
        <v>#N/A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47</v>
      </c>
      <c r="R520" s="2" t="s">
        <v>50</v>
      </c>
      <c r="S520" s="9">
        <f t="shared" si="39"/>
        <v>0.02</v>
      </c>
    </row>
    <row r="521" spans="1:19" x14ac:dyDescent="0.25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e">
        <f>VLOOKUP('Customer Info'!A513,'Customer Info'!A513:I1012,2,FALSE)</f>
        <v>#N/A</v>
      </c>
      <c r="H521" s="6" t="e">
        <f>VLOOKUP('Customer Info'!A513,'Customer Info'!A513:I1013,3,FALSE)</f>
        <v>#N/A</v>
      </c>
      <c r="I521" s="6" t="e">
        <f>VLOOKUP('Customer Info'!A513,'Customer Info'!A513:I1012,5,FALSE)</f>
        <v>#N/A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4105</v>
      </c>
      <c r="R521" s="2" t="s">
        <v>28</v>
      </c>
      <c r="S521" s="9">
        <f t="shared" si="39"/>
        <v>0.09</v>
      </c>
    </row>
    <row r="522" spans="1:19" x14ac:dyDescent="0.25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e">
        <f>VLOOKUP('Customer Info'!A514,'Customer Info'!A514:I1013,2,FALSE)</f>
        <v>#N/A</v>
      </c>
      <c r="H522" s="6" t="e">
        <f>VLOOKUP('Customer Info'!A514,'Customer Info'!A514:I1014,3,FALSE)</f>
        <v>#N/A</v>
      </c>
      <c r="I522" s="6" t="e">
        <f>VLOOKUP('Customer Info'!A514,'Customer Info'!A514:I1013,5,FALSE)</f>
        <v>#N/A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48</v>
      </c>
      <c r="R522" s="2" t="s">
        <v>28</v>
      </c>
      <c r="S522" s="9">
        <f t="shared" si="39"/>
        <v>0.02</v>
      </c>
    </row>
    <row r="523" spans="1:19" x14ac:dyDescent="0.25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e">
        <f>VLOOKUP('Customer Info'!A515,'Customer Info'!A515:I1014,2,FALSE)</f>
        <v>#N/A</v>
      </c>
      <c r="H523" s="6" t="e">
        <f>VLOOKUP('Customer Info'!A515,'Customer Info'!A515:I1015,3,FALSE)</f>
        <v>#N/A</v>
      </c>
      <c r="I523" s="6" t="e">
        <f>VLOOKUP('Customer Info'!A515,'Customer Info'!A515:I1014,5,FALSE)</f>
        <v>#N/A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8">
        <f t="shared" ref="P523:P586" si="42">N523+O523</f>
        <v>14313</v>
      </c>
      <c r="Q523" s="8">
        <f t="shared" ref="Q523:Q586" si="43">P523-M523</f>
        <v>638</v>
      </c>
      <c r="R523" s="2" t="s">
        <v>28</v>
      </c>
      <c r="S523" s="9">
        <f t="shared" ref="S523:S586" si="44">VLOOKUP(P523,$T$2:$U$7,2,TRUE)</f>
        <v>0.05</v>
      </c>
    </row>
    <row r="524" spans="1:19" x14ac:dyDescent="0.25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e">
        <f>VLOOKUP('Customer Info'!A516,'Customer Info'!A516:I1015,2,FALSE)</f>
        <v>#N/A</v>
      </c>
      <c r="H524" s="6" t="e">
        <f>VLOOKUP('Customer Info'!A516,'Customer Info'!A516:I1016,3,FALSE)</f>
        <v>#N/A</v>
      </c>
      <c r="I524" s="6" t="e">
        <f>VLOOKUP('Customer Info'!A516,'Customer Info'!A516:I1015,5,FALSE)</f>
        <v>#N/A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598</v>
      </c>
      <c r="R524" s="2" t="s">
        <v>50</v>
      </c>
      <c r="S524" s="9">
        <f t="shared" si="44"/>
        <v>0.05</v>
      </c>
    </row>
    <row r="525" spans="1:19" x14ac:dyDescent="0.25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e">
        <f>VLOOKUP('Customer Info'!A517,'Customer Info'!A517:I1016,2,FALSE)</f>
        <v>#N/A</v>
      </c>
      <c r="H525" s="6" t="e">
        <f>VLOOKUP('Customer Info'!A517,'Customer Info'!A517:I1017,3,FALSE)</f>
        <v>#N/A</v>
      </c>
      <c r="I525" s="6" t="e">
        <f>VLOOKUP('Customer Info'!A517,'Customer Info'!A517:I1016,5,FALSE)</f>
        <v>#N/A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45</v>
      </c>
      <c r="R525" s="2" t="s">
        <v>28</v>
      </c>
      <c r="S525" s="9">
        <f t="shared" si="44"/>
        <v>0.02</v>
      </c>
    </row>
    <row r="526" spans="1:19" x14ac:dyDescent="0.25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e">
        <f>VLOOKUP('Customer Info'!A518,'Customer Info'!A518:I1017,2,FALSE)</f>
        <v>#N/A</v>
      </c>
      <c r="H526" s="6" t="e">
        <f>VLOOKUP('Customer Info'!A518,'Customer Info'!A518:I1018,3,FALSE)</f>
        <v>#N/A</v>
      </c>
      <c r="I526" s="6" t="e">
        <f>VLOOKUP('Customer Info'!A518,'Customer Info'!A518:I1017,5,FALSE)</f>
        <v>#N/A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555</v>
      </c>
      <c r="R526" s="2" t="s">
        <v>50</v>
      </c>
      <c r="S526" s="9">
        <f t="shared" si="44"/>
        <v>0.05</v>
      </c>
    </row>
    <row r="527" spans="1:19" x14ac:dyDescent="0.25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e">
        <f>VLOOKUP('Customer Info'!A519,'Customer Info'!A519:I1018,2,FALSE)</f>
        <v>#N/A</v>
      </c>
      <c r="H527" s="6" t="e">
        <f>VLOOKUP('Customer Info'!A519,'Customer Info'!A519:I1019,3,FALSE)</f>
        <v>#N/A</v>
      </c>
      <c r="I527" s="6" t="e">
        <f>VLOOKUP('Customer Info'!A519,'Customer Info'!A519:I1018,5,FALSE)</f>
        <v>#N/A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7025</v>
      </c>
      <c r="R527" s="2" t="s">
        <v>28</v>
      </c>
      <c r="S527" s="9">
        <f t="shared" si="44"/>
        <v>0.12</v>
      </c>
    </row>
    <row r="528" spans="1:19" x14ac:dyDescent="0.25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e">
        <f>VLOOKUP('Customer Info'!A520,'Customer Info'!A520:I1019,2,FALSE)</f>
        <v>#N/A</v>
      </c>
      <c r="H528" s="6" t="e">
        <f>VLOOKUP('Customer Info'!A520,'Customer Info'!A520:I1020,3,FALSE)</f>
        <v>#N/A</v>
      </c>
      <c r="I528" s="6" t="e">
        <f>VLOOKUP('Customer Info'!A520,'Customer Info'!A520:I1019,5,FALSE)</f>
        <v>#N/A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762</v>
      </c>
      <c r="R528" s="2" t="s">
        <v>28</v>
      </c>
      <c r="S528" s="9">
        <f t="shared" si="44"/>
        <v>0.05</v>
      </c>
    </row>
    <row r="529" spans="1:19" x14ac:dyDescent="0.25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e">
        <f>VLOOKUP('Customer Info'!A521,'Customer Info'!A521:I1020,2,FALSE)</f>
        <v>#N/A</v>
      </c>
      <c r="H529" s="6" t="e">
        <f>VLOOKUP('Customer Info'!A521,'Customer Info'!A521:I1021,3,FALSE)</f>
        <v>#N/A</v>
      </c>
      <c r="I529" s="6" t="e">
        <f>VLOOKUP('Customer Info'!A521,'Customer Info'!A521:I1020,5,FALSE)</f>
        <v>#N/A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1084</v>
      </c>
      <c r="R529" s="2" t="s">
        <v>50</v>
      </c>
      <c r="S529" s="9">
        <f t="shared" si="44"/>
        <v>0.05</v>
      </c>
    </row>
    <row r="530" spans="1:19" x14ac:dyDescent="0.25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e">
        <f>VLOOKUP('Customer Info'!A522,'Customer Info'!A522:I1021,2,FALSE)</f>
        <v>#N/A</v>
      </c>
      <c r="H530" s="6" t="e">
        <f>VLOOKUP('Customer Info'!A522,'Customer Info'!A522:I1022,3,FALSE)</f>
        <v>#N/A</v>
      </c>
      <c r="I530" s="6" t="e">
        <f>VLOOKUP('Customer Info'!A522,'Customer Info'!A522:I1021,5,FALSE)</f>
        <v>#N/A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218</v>
      </c>
      <c r="R530" s="2" t="s">
        <v>26</v>
      </c>
      <c r="S530" s="9">
        <f t="shared" si="44"/>
        <v>0.02</v>
      </c>
    </row>
    <row r="531" spans="1:19" x14ac:dyDescent="0.25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e">
        <f>VLOOKUP('Customer Info'!A523,'Customer Info'!A523:I1022,2,FALSE)</f>
        <v>#N/A</v>
      </c>
      <c r="H531" s="6" t="e">
        <f>VLOOKUP('Customer Info'!A523,'Customer Info'!A523:I1023,3,FALSE)</f>
        <v>#N/A</v>
      </c>
      <c r="I531" s="6" t="e">
        <f>VLOOKUP('Customer Info'!A523,'Customer Info'!A523:I1022,5,FALSE)</f>
        <v>#N/A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6334</v>
      </c>
      <c r="R531" s="2" t="s">
        <v>28</v>
      </c>
      <c r="S531" s="9">
        <f t="shared" si="44"/>
        <v>0.09</v>
      </c>
    </row>
    <row r="532" spans="1:19" x14ac:dyDescent="0.25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e">
        <f>VLOOKUP('Customer Info'!A524,'Customer Info'!A524:I1023,2,FALSE)</f>
        <v>#N/A</v>
      </c>
      <c r="H532" s="6" t="e">
        <f>VLOOKUP('Customer Info'!A524,'Customer Info'!A524:I1024,3,FALSE)</f>
        <v>#N/A</v>
      </c>
      <c r="I532" s="6" t="e">
        <f>VLOOKUP('Customer Info'!A524,'Customer Info'!A524:I1023,5,FALSE)</f>
        <v>#N/A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1316</v>
      </c>
      <c r="R532" s="2" t="s">
        <v>26</v>
      </c>
      <c r="S532" s="9">
        <f t="shared" si="44"/>
        <v>0.05</v>
      </c>
    </row>
    <row r="533" spans="1:19" x14ac:dyDescent="0.25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e">
        <f>VLOOKUP('Customer Info'!A525,'Customer Info'!A525:I1024,2,FALSE)</f>
        <v>#N/A</v>
      </c>
      <c r="H533" s="6" t="e">
        <f>VLOOKUP('Customer Info'!A525,'Customer Info'!A525:I1025,3,FALSE)</f>
        <v>#N/A</v>
      </c>
      <c r="I533" s="6" t="e">
        <f>VLOOKUP('Customer Info'!A525,'Customer Info'!A525:I1024,5,FALSE)</f>
        <v>#N/A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270</v>
      </c>
      <c r="R533" s="2" t="s">
        <v>28</v>
      </c>
      <c r="S533" s="9">
        <f t="shared" si="44"/>
        <v>0.02</v>
      </c>
    </row>
    <row r="534" spans="1:19" x14ac:dyDescent="0.25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e">
        <f>VLOOKUP('Customer Info'!A526,'Customer Info'!A526:I1025,2,FALSE)</f>
        <v>#N/A</v>
      </c>
      <c r="H534" s="6" t="e">
        <f>VLOOKUP('Customer Info'!A526,'Customer Info'!A526:I1026,3,FALSE)</f>
        <v>#N/A</v>
      </c>
      <c r="I534" s="6" t="e">
        <f>VLOOKUP('Customer Info'!A526,'Customer Info'!A526:I1025,5,FALSE)</f>
        <v>#N/A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1398</v>
      </c>
      <c r="R534" s="2" t="s">
        <v>50</v>
      </c>
      <c r="S534" s="9">
        <f t="shared" si="44"/>
        <v>0.05</v>
      </c>
    </row>
    <row r="535" spans="1:19" x14ac:dyDescent="0.25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e">
        <f>VLOOKUP('Customer Info'!A527,'Customer Info'!A527:I1026,2,FALSE)</f>
        <v>#N/A</v>
      </c>
      <c r="H535" s="6" t="e">
        <f>VLOOKUP('Customer Info'!A527,'Customer Info'!A527:I1027,3,FALSE)</f>
        <v>#N/A</v>
      </c>
      <c r="I535" s="6" t="e">
        <f>VLOOKUP('Customer Info'!A527,'Customer Info'!A527:I1026,5,FALSE)</f>
        <v>#N/A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135</v>
      </c>
      <c r="R535" s="2" t="s">
        <v>50</v>
      </c>
      <c r="S535" s="9">
        <f t="shared" si="44"/>
        <v>0.02</v>
      </c>
    </row>
    <row r="536" spans="1:19" x14ac:dyDescent="0.25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e">
        <f>VLOOKUP('Customer Info'!A528,'Customer Info'!A528:I1027,2,FALSE)</f>
        <v>#N/A</v>
      </c>
      <c r="H536" s="6" t="e">
        <f>VLOOKUP('Customer Info'!A528,'Customer Info'!A528:I1028,3,FALSE)</f>
        <v>#N/A</v>
      </c>
      <c r="I536" s="6" t="e">
        <f>VLOOKUP('Customer Info'!A528,'Customer Info'!A528:I1027,5,FALSE)</f>
        <v>#N/A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95</v>
      </c>
      <c r="R536" s="2" t="s">
        <v>28</v>
      </c>
      <c r="S536" s="9">
        <f t="shared" si="44"/>
        <v>0.02</v>
      </c>
    </row>
    <row r="537" spans="1:19" x14ac:dyDescent="0.25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e">
        <f>VLOOKUP('Customer Info'!A529,'Customer Info'!A529:I1028,2,FALSE)</f>
        <v>#N/A</v>
      </c>
      <c r="H537" s="6" t="e">
        <f>VLOOKUP('Customer Info'!A529,'Customer Info'!A529:I1029,3,FALSE)</f>
        <v>#N/A</v>
      </c>
      <c r="I537" s="6" t="e">
        <f>VLOOKUP('Customer Info'!A529,'Customer Info'!A529:I1028,5,FALSE)</f>
        <v>#N/A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668</v>
      </c>
      <c r="R537" s="2" t="s">
        <v>50</v>
      </c>
      <c r="S537" s="9">
        <f t="shared" si="44"/>
        <v>0.05</v>
      </c>
    </row>
    <row r="538" spans="1:19" x14ac:dyDescent="0.25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e">
        <f>VLOOKUP('Customer Info'!A530,'Customer Info'!A530:I1029,2,FALSE)</f>
        <v>#N/A</v>
      </c>
      <c r="H538" s="6" t="e">
        <f>VLOOKUP('Customer Info'!A530,'Customer Info'!A530:I1030,3,FALSE)</f>
        <v>#N/A</v>
      </c>
      <c r="I538" s="6" t="e">
        <f>VLOOKUP('Customer Info'!A530,'Customer Info'!A530:I1029,5,FALSE)</f>
        <v>#N/A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661</v>
      </c>
      <c r="R538" s="2" t="s">
        <v>28</v>
      </c>
      <c r="S538" s="9">
        <f t="shared" si="44"/>
        <v>0.05</v>
      </c>
    </row>
    <row r="539" spans="1:19" x14ac:dyDescent="0.25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e">
        <f>VLOOKUP('Customer Info'!A531,'Customer Info'!A531:I1030,2,FALSE)</f>
        <v>#N/A</v>
      </c>
      <c r="H539" s="6" t="e">
        <f>VLOOKUP('Customer Info'!A531,'Customer Info'!A531:I1031,3,FALSE)</f>
        <v>#N/A</v>
      </c>
      <c r="I539" s="6" t="e">
        <f>VLOOKUP('Customer Info'!A531,'Customer Info'!A531:I1030,5,FALSE)</f>
        <v>#N/A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416</v>
      </c>
      <c r="R539" s="2" t="s">
        <v>50</v>
      </c>
      <c r="S539" s="9">
        <f t="shared" si="44"/>
        <v>0.05</v>
      </c>
    </row>
    <row r="540" spans="1:19" x14ac:dyDescent="0.25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e">
        <f>VLOOKUP('Customer Info'!A532,'Customer Info'!A532:I1031,2,FALSE)</f>
        <v>#N/A</v>
      </c>
      <c r="H540" s="6" t="e">
        <f>VLOOKUP('Customer Info'!A532,'Customer Info'!A532:I1032,3,FALSE)</f>
        <v>#N/A</v>
      </c>
      <c r="I540" s="6" t="e">
        <f>VLOOKUP('Customer Info'!A532,'Customer Info'!A532:I1031,5,FALSE)</f>
        <v>#N/A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169</v>
      </c>
      <c r="R540" s="2" t="s">
        <v>28</v>
      </c>
      <c r="S540" s="9">
        <f t="shared" si="44"/>
        <v>0.02</v>
      </c>
    </row>
    <row r="541" spans="1:19" x14ac:dyDescent="0.25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e">
        <f>VLOOKUP('Customer Info'!A533,'Customer Info'!A533:I1032,2,FALSE)</f>
        <v>#N/A</v>
      </c>
      <c r="H541" s="6" t="e">
        <f>VLOOKUP('Customer Info'!A533,'Customer Info'!A533:I1033,3,FALSE)</f>
        <v>#N/A</v>
      </c>
      <c r="I541" s="6" t="e">
        <f>VLOOKUP('Customer Info'!A533,'Customer Info'!A533:I1032,5,FALSE)</f>
        <v>#N/A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229</v>
      </c>
      <c r="R541" s="2" t="s">
        <v>50</v>
      </c>
      <c r="S541" s="9">
        <f t="shared" si="44"/>
        <v>0.02</v>
      </c>
    </row>
    <row r="542" spans="1:19" x14ac:dyDescent="0.25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e">
        <f>VLOOKUP('Customer Info'!A534,'Customer Info'!A534:I1033,2,FALSE)</f>
        <v>#N/A</v>
      </c>
      <c r="H542" s="6" t="e">
        <f>VLOOKUP('Customer Info'!A534,'Customer Info'!A534:I1034,3,FALSE)</f>
        <v>#N/A</v>
      </c>
      <c r="I542" s="6" t="e">
        <f>VLOOKUP('Customer Info'!A534,'Customer Info'!A534:I1033,5,FALSE)</f>
        <v>#N/A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1058</v>
      </c>
      <c r="R542" s="2" t="s">
        <v>28</v>
      </c>
      <c r="S542" s="9">
        <f t="shared" si="44"/>
        <v>0.05</v>
      </c>
    </row>
    <row r="543" spans="1:19" x14ac:dyDescent="0.25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e">
        <f>VLOOKUP('Customer Info'!A535,'Customer Info'!A535:I1034,2,FALSE)</f>
        <v>#N/A</v>
      </c>
      <c r="H543" s="6" t="e">
        <f>VLOOKUP('Customer Info'!A535,'Customer Info'!A535:I1035,3,FALSE)</f>
        <v>#N/A</v>
      </c>
      <c r="I543" s="6" t="e">
        <f>VLOOKUP('Customer Info'!A535,'Customer Info'!A535:I1034,5,FALSE)</f>
        <v>#N/A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127</v>
      </c>
      <c r="R543" s="2" t="s">
        <v>50</v>
      </c>
      <c r="S543" s="9">
        <f t="shared" si="44"/>
        <v>0.02</v>
      </c>
    </row>
    <row r="544" spans="1:19" x14ac:dyDescent="0.25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e">
        <f>VLOOKUP('Customer Info'!A536,'Customer Info'!A536:I1035,2,FALSE)</f>
        <v>#N/A</v>
      </c>
      <c r="H544" s="6" t="e">
        <f>VLOOKUP('Customer Info'!A536,'Customer Info'!A536:I1036,3,FALSE)</f>
        <v>#N/A</v>
      </c>
      <c r="I544" s="6" t="e">
        <f>VLOOKUP('Customer Info'!A536,'Customer Info'!A536:I1035,5,FALSE)</f>
        <v>#N/A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74</v>
      </c>
      <c r="R544" s="2" t="s">
        <v>28</v>
      </c>
      <c r="S544" s="9">
        <f t="shared" si="44"/>
        <v>0.02</v>
      </c>
    </row>
    <row r="545" spans="1:19" x14ac:dyDescent="0.25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e">
        <f>VLOOKUP('Customer Info'!A537,'Customer Info'!A537:I1036,2,FALSE)</f>
        <v>#N/A</v>
      </c>
      <c r="H545" s="6" t="e">
        <f>VLOOKUP('Customer Info'!A537,'Customer Info'!A537:I1037,3,FALSE)</f>
        <v>#N/A</v>
      </c>
      <c r="I545" s="6" t="e">
        <f>VLOOKUP('Customer Info'!A537,'Customer Info'!A537:I1036,5,FALSE)</f>
        <v>#N/A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1499</v>
      </c>
      <c r="R545" s="2" t="s">
        <v>28</v>
      </c>
      <c r="S545" s="9">
        <f t="shared" si="44"/>
        <v>0.05</v>
      </c>
    </row>
    <row r="546" spans="1:19" x14ac:dyDescent="0.25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e">
        <f>VLOOKUP('Customer Info'!A538,'Customer Info'!A538:I1037,2,FALSE)</f>
        <v>#N/A</v>
      </c>
      <c r="H546" s="6" t="e">
        <f>VLOOKUP('Customer Info'!A538,'Customer Info'!A538:I1038,3,FALSE)</f>
        <v>#N/A</v>
      </c>
      <c r="I546" s="6" t="e">
        <f>VLOOKUP('Customer Info'!A538,'Customer Info'!A538:I1037,5,FALSE)</f>
        <v>#N/A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529</v>
      </c>
      <c r="R546" s="2" t="s">
        <v>28</v>
      </c>
      <c r="S546" s="9">
        <f t="shared" si="44"/>
        <v>0.05</v>
      </c>
    </row>
    <row r="547" spans="1:19" x14ac:dyDescent="0.25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e">
        <f>VLOOKUP('Customer Info'!A539,'Customer Info'!A539:I1038,2,FALSE)</f>
        <v>#N/A</v>
      </c>
      <c r="H547" s="6" t="e">
        <f>VLOOKUP('Customer Info'!A539,'Customer Info'!A539:I1039,3,FALSE)</f>
        <v>#N/A</v>
      </c>
      <c r="I547" s="6" t="e">
        <f>VLOOKUP('Customer Info'!A539,'Customer Info'!A539:I1038,5,FALSE)</f>
        <v>#N/A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1206</v>
      </c>
      <c r="R547" s="2" t="s">
        <v>50</v>
      </c>
      <c r="S547" s="9">
        <f t="shared" si="44"/>
        <v>0.05</v>
      </c>
    </row>
    <row r="548" spans="1:19" x14ac:dyDescent="0.25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e">
        <f>VLOOKUP('Customer Info'!A540,'Customer Info'!A540:I1039,2,FALSE)</f>
        <v>#N/A</v>
      </c>
      <c r="H548" s="6" t="e">
        <f>VLOOKUP('Customer Info'!A540,'Customer Info'!A540:I1040,3,FALSE)</f>
        <v>#N/A</v>
      </c>
      <c r="I548" s="6" t="e">
        <f>VLOOKUP('Customer Info'!A540,'Customer Info'!A540:I1039,5,FALSE)</f>
        <v>#N/A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21573</v>
      </c>
      <c r="R548" s="2" t="s">
        <v>28</v>
      </c>
      <c r="S548" s="9">
        <f t="shared" si="44"/>
        <v>0.12</v>
      </c>
    </row>
    <row r="549" spans="1:19" x14ac:dyDescent="0.25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e">
        <f>VLOOKUP('Customer Info'!A541,'Customer Info'!A541:I1040,2,FALSE)</f>
        <v>#N/A</v>
      </c>
      <c r="H549" s="6" t="e">
        <f>VLOOKUP('Customer Info'!A541,'Customer Info'!A541:I1041,3,FALSE)</f>
        <v>#N/A</v>
      </c>
      <c r="I549" s="6" t="e">
        <f>VLOOKUP('Customer Info'!A541,'Customer Info'!A541:I1040,5,FALSE)</f>
        <v>#N/A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165</v>
      </c>
      <c r="R549" s="2" t="s">
        <v>26</v>
      </c>
      <c r="S549" s="9">
        <f t="shared" si="44"/>
        <v>0.02</v>
      </c>
    </row>
    <row r="550" spans="1:19" x14ac:dyDescent="0.25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e">
        <f>VLOOKUP('Customer Info'!A542,'Customer Info'!A542:I1041,2,FALSE)</f>
        <v>#N/A</v>
      </c>
      <c r="H550" s="6" t="e">
        <f>VLOOKUP('Customer Info'!A542,'Customer Info'!A542:I1042,3,FALSE)</f>
        <v>#N/A</v>
      </c>
      <c r="I550" s="6" t="e">
        <f>VLOOKUP('Customer Info'!A542,'Customer Info'!A542:I1041,5,FALSE)</f>
        <v>#N/A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84</v>
      </c>
      <c r="R550" s="2" t="s">
        <v>28</v>
      </c>
      <c r="S550" s="9">
        <f t="shared" si="44"/>
        <v>0.02</v>
      </c>
    </row>
    <row r="551" spans="1:19" x14ac:dyDescent="0.25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e">
        <f>VLOOKUP('Customer Info'!A543,'Customer Info'!A543:I1042,2,FALSE)</f>
        <v>#N/A</v>
      </c>
      <c r="H551" s="6" t="e">
        <f>VLOOKUP('Customer Info'!A543,'Customer Info'!A543:I1043,3,FALSE)</f>
        <v>#N/A</v>
      </c>
      <c r="I551" s="6" t="e">
        <f>VLOOKUP('Customer Info'!A543,'Customer Info'!A543:I1042,5,FALSE)</f>
        <v>#N/A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518</v>
      </c>
      <c r="R551" s="2" t="s">
        <v>28</v>
      </c>
      <c r="S551" s="9">
        <f t="shared" si="44"/>
        <v>0.05</v>
      </c>
    </row>
    <row r="552" spans="1:19" x14ac:dyDescent="0.25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e">
        <f>VLOOKUP('Customer Info'!A544,'Customer Info'!A544:I1043,2,FALSE)</f>
        <v>#N/A</v>
      </c>
      <c r="H552" s="6" t="e">
        <f>VLOOKUP('Customer Info'!A544,'Customer Info'!A544:I1044,3,FALSE)</f>
        <v>#N/A</v>
      </c>
      <c r="I552" s="6" t="e">
        <f>VLOOKUP('Customer Info'!A544,'Customer Info'!A544:I1043,5,FALSE)</f>
        <v>#N/A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286</v>
      </c>
      <c r="R552" s="2" t="s">
        <v>50</v>
      </c>
      <c r="S552" s="9">
        <f t="shared" si="44"/>
        <v>0.05</v>
      </c>
    </row>
    <row r="553" spans="1:19" x14ac:dyDescent="0.25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e">
        <f>VLOOKUP('Customer Info'!A545,'Customer Info'!A545:I1044,2,FALSE)</f>
        <v>#N/A</v>
      </c>
      <c r="H553" s="6" t="e">
        <f>VLOOKUP('Customer Info'!A545,'Customer Info'!A545:I1045,3,FALSE)</f>
        <v>#N/A</v>
      </c>
      <c r="I553" s="6" t="e">
        <f>VLOOKUP('Customer Info'!A545,'Customer Info'!A545:I1044,5,FALSE)</f>
        <v>#N/A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359</v>
      </c>
      <c r="R553" s="2" t="s">
        <v>28</v>
      </c>
      <c r="S553" s="9">
        <f t="shared" si="44"/>
        <v>0.02</v>
      </c>
    </row>
    <row r="554" spans="1:19" x14ac:dyDescent="0.25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e">
        <f>VLOOKUP('Customer Info'!A546,'Customer Info'!A546:I1045,2,FALSE)</f>
        <v>#N/A</v>
      </c>
      <c r="H554" s="6" t="e">
        <f>VLOOKUP('Customer Info'!A546,'Customer Info'!A546:I1046,3,FALSE)</f>
        <v>#N/A</v>
      </c>
      <c r="I554" s="6" t="e">
        <f>VLOOKUP('Customer Info'!A546,'Customer Info'!A546:I1045,5,FALSE)</f>
        <v>#N/A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156</v>
      </c>
      <c r="R554" s="2" t="s">
        <v>28</v>
      </c>
      <c r="S554" s="9">
        <f t="shared" si="44"/>
        <v>0.02</v>
      </c>
    </row>
    <row r="555" spans="1:19" x14ac:dyDescent="0.25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e">
        <f>VLOOKUP('Customer Info'!A547,'Customer Info'!A547:I1046,2,FALSE)</f>
        <v>#N/A</v>
      </c>
      <c r="H555" s="6" t="e">
        <f>VLOOKUP('Customer Info'!A547,'Customer Info'!A547:I1047,3,FALSE)</f>
        <v>#N/A</v>
      </c>
      <c r="I555" s="6" t="e">
        <f>VLOOKUP('Customer Info'!A547,'Customer Info'!A547:I1046,5,FALSE)</f>
        <v>#N/A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148</v>
      </c>
      <c r="R555" s="2" t="s">
        <v>28</v>
      </c>
      <c r="S555" s="9">
        <f t="shared" si="44"/>
        <v>0.02</v>
      </c>
    </row>
    <row r="556" spans="1:19" x14ac:dyDescent="0.25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e">
        <f>VLOOKUP('Customer Info'!A548,'Customer Info'!A548:I1047,2,FALSE)</f>
        <v>#N/A</v>
      </c>
      <c r="H556" s="6" t="e">
        <f>VLOOKUP('Customer Info'!A548,'Customer Info'!A548:I1048,3,FALSE)</f>
        <v>#N/A</v>
      </c>
      <c r="I556" s="6" t="e">
        <f>VLOOKUP('Customer Info'!A548,'Customer Info'!A548:I1047,5,FALSE)</f>
        <v>#N/A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745</v>
      </c>
      <c r="R556" s="2" t="s">
        <v>50</v>
      </c>
      <c r="S556" s="9">
        <f t="shared" si="44"/>
        <v>0.05</v>
      </c>
    </row>
    <row r="557" spans="1:19" x14ac:dyDescent="0.25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e">
        <f>VLOOKUP('Customer Info'!A549,'Customer Info'!A549:I1048,2,FALSE)</f>
        <v>#N/A</v>
      </c>
      <c r="H557" s="6" t="e">
        <f>VLOOKUP('Customer Info'!A549,'Customer Info'!A549:I1049,3,FALSE)</f>
        <v>#N/A</v>
      </c>
      <c r="I557" s="6" t="e">
        <f>VLOOKUP('Customer Info'!A549,'Customer Info'!A549:I1048,5,FALSE)</f>
        <v>#N/A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101</v>
      </c>
      <c r="R557" s="2" t="s">
        <v>50</v>
      </c>
      <c r="S557" s="9">
        <f t="shared" si="44"/>
        <v>0.02</v>
      </c>
    </row>
    <row r="558" spans="1:19" x14ac:dyDescent="0.25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e">
        <f>VLOOKUP('Customer Info'!A550,'Customer Info'!A550:I1049,2,FALSE)</f>
        <v>#N/A</v>
      </c>
      <c r="H558" s="6" t="e">
        <f>VLOOKUP('Customer Info'!A550,'Customer Info'!A550:I1050,3,FALSE)</f>
        <v>#N/A</v>
      </c>
      <c r="I558" s="6" t="e">
        <f>VLOOKUP('Customer Info'!A550,'Customer Info'!A550:I1049,5,FALSE)</f>
        <v>#N/A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285</v>
      </c>
      <c r="R558" s="2" t="s">
        <v>50</v>
      </c>
      <c r="S558" s="9">
        <f t="shared" si="44"/>
        <v>0.02</v>
      </c>
    </row>
    <row r="559" spans="1:19" x14ac:dyDescent="0.25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e">
        <f>VLOOKUP('Customer Info'!A551,'Customer Info'!A551:I1050,2,FALSE)</f>
        <v>#N/A</v>
      </c>
      <c r="H559" s="6" t="e">
        <f>VLOOKUP('Customer Info'!A551,'Customer Info'!A551:I1051,3,FALSE)</f>
        <v>#N/A</v>
      </c>
      <c r="I559" s="6" t="e">
        <f>VLOOKUP('Customer Info'!A551,'Customer Info'!A551:I1050,5,FALSE)</f>
        <v>#N/A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662</v>
      </c>
      <c r="R559" s="2" t="s">
        <v>28</v>
      </c>
      <c r="S559" s="9">
        <f t="shared" si="44"/>
        <v>0.05</v>
      </c>
    </row>
    <row r="560" spans="1:19" x14ac:dyDescent="0.25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e">
        <f>VLOOKUP('Customer Info'!A552,'Customer Info'!A552:I1051,2,FALSE)</f>
        <v>#N/A</v>
      </c>
      <c r="H560" s="6" t="e">
        <f>VLOOKUP('Customer Info'!A552,'Customer Info'!A552:I1052,3,FALSE)</f>
        <v>#N/A</v>
      </c>
      <c r="I560" s="6" t="e">
        <f>VLOOKUP('Customer Info'!A552,'Customer Info'!A552:I1051,5,FALSE)</f>
        <v>#N/A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4900</v>
      </c>
      <c r="R560" s="2" t="s">
        <v>28</v>
      </c>
      <c r="S560" s="9">
        <f t="shared" si="44"/>
        <v>7.0000000000000007E-2</v>
      </c>
    </row>
    <row r="561" spans="1:19" x14ac:dyDescent="0.25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e">
        <f>VLOOKUP('Customer Info'!A553,'Customer Info'!A553:I1052,2,FALSE)</f>
        <v>#N/A</v>
      </c>
      <c r="H561" s="6" t="e">
        <f>VLOOKUP('Customer Info'!A553,'Customer Info'!A553:I1053,3,FALSE)</f>
        <v>#N/A</v>
      </c>
      <c r="I561" s="6" t="e">
        <f>VLOOKUP('Customer Info'!A553,'Customer Info'!A553:I1052,5,FALSE)</f>
        <v>#N/A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560</v>
      </c>
      <c r="R561" s="2" t="s">
        <v>28</v>
      </c>
      <c r="S561" s="9">
        <f t="shared" si="44"/>
        <v>0.05</v>
      </c>
    </row>
    <row r="562" spans="1:19" x14ac:dyDescent="0.25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e">
        <f>VLOOKUP('Customer Info'!A554,'Customer Info'!A554:I1053,2,FALSE)</f>
        <v>#N/A</v>
      </c>
      <c r="H562" s="6" t="e">
        <f>VLOOKUP('Customer Info'!A554,'Customer Info'!A554:I1054,3,FALSE)</f>
        <v>#N/A</v>
      </c>
      <c r="I562" s="6" t="e">
        <f>VLOOKUP('Customer Info'!A554,'Customer Info'!A554:I1053,5,FALSE)</f>
        <v>#N/A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20</v>
      </c>
      <c r="R562" s="2" t="s">
        <v>26</v>
      </c>
      <c r="S562" s="9">
        <f t="shared" si="44"/>
        <v>0.02</v>
      </c>
    </row>
    <row r="563" spans="1:19" x14ac:dyDescent="0.25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e">
        <f>VLOOKUP('Customer Info'!A555,'Customer Info'!A555:I1054,2,FALSE)</f>
        <v>#N/A</v>
      </c>
      <c r="H563" s="6" t="e">
        <f>VLOOKUP('Customer Info'!A555,'Customer Info'!A555:I1055,3,FALSE)</f>
        <v>#N/A</v>
      </c>
      <c r="I563" s="6" t="e">
        <f>VLOOKUP('Customer Info'!A555,'Customer Info'!A555:I1054,5,FALSE)</f>
        <v>#N/A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43</v>
      </c>
      <c r="R563" s="2" t="s">
        <v>28</v>
      </c>
      <c r="S563" s="9">
        <f t="shared" si="44"/>
        <v>0.02</v>
      </c>
    </row>
    <row r="564" spans="1:19" x14ac:dyDescent="0.25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e">
        <f>VLOOKUP('Customer Info'!A556,'Customer Info'!A556:I1055,2,FALSE)</f>
        <v>#N/A</v>
      </c>
      <c r="H564" s="6" t="e">
        <f>VLOOKUP('Customer Info'!A556,'Customer Info'!A556:I1056,3,FALSE)</f>
        <v>#N/A</v>
      </c>
      <c r="I564" s="6" t="e">
        <f>VLOOKUP('Customer Info'!A556,'Customer Info'!A556:I1055,5,FALSE)</f>
        <v>#N/A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3326</v>
      </c>
      <c r="R564" s="2" t="s">
        <v>28</v>
      </c>
      <c r="S564" s="9">
        <f t="shared" si="44"/>
        <v>7.0000000000000007E-2</v>
      </c>
    </row>
    <row r="565" spans="1:19" x14ac:dyDescent="0.25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e">
        <f>VLOOKUP('Customer Info'!A557,'Customer Info'!A557:I1056,2,FALSE)</f>
        <v>#N/A</v>
      </c>
      <c r="H565" s="6" t="e">
        <f>VLOOKUP('Customer Info'!A557,'Customer Info'!A557:I1057,3,FALSE)</f>
        <v>#N/A</v>
      </c>
      <c r="I565" s="6" t="e">
        <f>VLOOKUP('Customer Info'!A557,'Customer Info'!A557:I1056,5,FALSE)</f>
        <v>#N/A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1256</v>
      </c>
      <c r="R565" s="2" t="s">
        <v>28</v>
      </c>
      <c r="S565" s="9">
        <f t="shared" si="44"/>
        <v>0.05</v>
      </c>
    </row>
    <row r="566" spans="1:19" x14ac:dyDescent="0.25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e">
        <f>VLOOKUP('Customer Info'!A558,'Customer Info'!A558:I1057,2,FALSE)</f>
        <v>#N/A</v>
      </c>
      <c r="H566" s="6" t="e">
        <f>VLOOKUP('Customer Info'!A558,'Customer Info'!A558:I1058,3,FALSE)</f>
        <v>#N/A</v>
      </c>
      <c r="I566" s="6" t="e">
        <f>VLOOKUP('Customer Info'!A558,'Customer Info'!A558:I1057,5,FALSE)</f>
        <v>#N/A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522</v>
      </c>
      <c r="R566" s="2" t="s">
        <v>28</v>
      </c>
      <c r="S566" s="9">
        <f t="shared" si="44"/>
        <v>0.05</v>
      </c>
    </row>
    <row r="567" spans="1:19" x14ac:dyDescent="0.25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e">
        <f>VLOOKUP('Customer Info'!A559,'Customer Info'!A559:I1058,2,FALSE)</f>
        <v>#N/A</v>
      </c>
      <c r="H567" s="6" t="e">
        <f>VLOOKUP('Customer Info'!A559,'Customer Info'!A559:I1059,3,FALSE)</f>
        <v>#N/A</v>
      </c>
      <c r="I567" s="6" t="e">
        <f>VLOOKUP('Customer Info'!A559,'Customer Info'!A559:I1058,5,FALSE)</f>
        <v>#N/A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844</v>
      </c>
      <c r="R567" s="2" t="s">
        <v>28</v>
      </c>
      <c r="S567" s="9">
        <f t="shared" si="44"/>
        <v>0.05</v>
      </c>
    </row>
    <row r="568" spans="1:19" x14ac:dyDescent="0.25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e">
        <f>VLOOKUP('Customer Info'!A560,'Customer Info'!A560:I1059,2,FALSE)</f>
        <v>#N/A</v>
      </c>
      <c r="H568" s="6" t="e">
        <f>VLOOKUP('Customer Info'!A560,'Customer Info'!A560:I1060,3,FALSE)</f>
        <v>#N/A</v>
      </c>
      <c r="I568" s="6" t="e">
        <f>VLOOKUP('Customer Info'!A560,'Customer Info'!A560:I1059,5,FALSE)</f>
        <v>#N/A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2878</v>
      </c>
      <c r="R568" s="2" t="s">
        <v>50</v>
      </c>
      <c r="S568" s="9">
        <f t="shared" si="44"/>
        <v>7.0000000000000007E-2</v>
      </c>
    </row>
    <row r="569" spans="1:19" x14ac:dyDescent="0.25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e">
        <f>VLOOKUP('Customer Info'!A561,'Customer Info'!A561:I1060,2,FALSE)</f>
        <v>#N/A</v>
      </c>
      <c r="H569" s="6" t="e">
        <f>VLOOKUP('Customer Info'!A561,'Customer Info'!A561:I1061,3,FALSE)</f>
        <v>#N/A</v>
      </c>
      <c r="I569" s="6" t="e">
        <f>VLOOKUP('Customer Info'!A561,'Customer Info'!A561:I1060,5,FALSE)</f>
        <v>#N/A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1710</v>
      </c>
      <c r="R569" s="2" t="s">
        <v>28</v>
      </c>
      <c r="S569" s="9">
        <f t="shared" si="44"/>
        <v>0.05</v>
      </c>
    </row>
    <row r="570" spans="1:19" x14ac:dyDescent="0.25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e">
        <f>VLOOKUP('Customer Info'!A562,'Customer Info'!A562:I1061,2,FALSE)</f>
        <v>#N/A</v>
      </c>
      <c r="H570" s="6" t="e">
        <f>VLOOKUP('Customer Info'!A562,'Customer Info'!A562:I1062,3,FALSE)</f>
        <v>#N/A</v>
      </c>
      <c r="I570" s="6" t="e">
        <f>VLOOKUP('Customer Info'!A562,'Customer Info'!A562:I1061,5,FALSE)</f>
        <v>#N/A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98</v>
      </c>
      <c r="R570" s="2" t="s">
        <v>28</v>
      </c>
      <c r="S570" s="9">
        <f t="shared" si="44"/>
        <v>0.02</v>
      </c>
    </row>
    <row r="571" spans="1:19" x14ac:dyDescent="0.25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e">
        <f>VLOOKUP('Customer Info'!A563,'Customer Info'!A563:I1062,2,FALSE)</f>
        <v>#N/A</v>
      </c>
      <c r="H571" s="6" t="e">
        <f>VLOOKUP('Customer Info'!A563,'Customer Info'!A563:I1063,3,FALSE)</f>
        <v>#N/A</v>
      </c>
      <c r="I571" s="6" t="e">
        <f>VLOOKUP('Customer Info'!A563,'Customer Info'!A563:I1062,5,FALSE)</f>
        <v>#N/A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1196</v>
      </c>
      <c r="R571" s="2" t="s">
        <v>26</v>
      </c>
      <c r="S571" s="9">
        <f t="shared" si="44"/>
        <v>0.05</v>
      </c>
    </row>
    <row r="572" spans="1:19" x14ac:dyDescent="0.25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e">
        <f>VLOOKUP('Customer Info'!A564,'Customer Info'!A564:I1063,2,FALSE)</f>
        <v>#N/A</v>
      </c>
      <c r="H572" s="6" t="e">
        <f>VLOOKUP('Customer Info'!A564,'Customer Info'!A564:I1064,3,FALSE)</f>
        <v>#N/A</v>
      </c>
      <c r="I572" s="6" t="e">
        <f>VLOOKUP('Customer Info'!A564,'Customer Info'!A564:I1063,5,FALSE)</f>
        <v>#N/A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48</v>
      </c>
      <c r="R572" s="2" t="s">
        <v>28</v>
      </c>
      <c r="S572" s="9">
        <f t="shared" si="44"/>
        <v>0.02</v>
      </c>
    </row>
    <row r="573" spans="1:19" x14ac:dyDescent="0.25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e">
        <f>VLOOKUP('Customer Info'!A565,'Customer Info'!A565:I1064,2,FALSE)</f>
        <v>#N/A</v>
      </c>
      <c r="H573" s="6" t="e">
        <f>VLOOKUP('Customer Info'!A565,'Customer Info'!A565:I1065,3,FALSE)</f>
        <v>#N/A</v>
      </c>
      <c r="I573" s="6" t="e">
        <f>VLOOKUP('Customer Info'!A565,'Customer Info'!A565:I1064,5,FALSE)</f>
        <v>#N/A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848</v>
      </c>
      <c r="R573" s="2" t="s">
        <v>50</v>
      </c>
      <c r="S573" s="9">
        <f t="shared" si="44"/>
        <v>0.05</v>
      </c>
    </row>
    <row r="574" spans="1:19" x14ac:dyDescent="0.25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e">
        <f>VLOOKUP('Customer Info'!A566,'Customer Info'!A566:I1065,2,FALSE)</f>
        <v>#N/A</v>
      </c>
      <c r="H574" s="6" t="e">
        <f>VLOOKUP('Customer Info'!A566,'Customer Info'!A566:I1066,3,FALSE)</f>
        <v>#N/A</v>
      </c>
      <c r="I574" s="6" t="e">
        <f>VLOOKUP('Customer Info'!A566,'Customer Info'!A566:I1065,5,FALSE)</f>
        <v>#N/A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389</v>
      </c>
      <c r="R574" s="2" t="s">
        <v>28</v>
      </c>
      <c r="S574" s="9">
        <f t="shared" si="44"/>
        <v>0.05</v>
      </c>
    </row>
    <row r="575" spans="1:19" x14ac:dyDescent="0.25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e">
        <f>VLOOKUP('Customer Info'!A567,'Customer Info'!A567:I1066,2,FALSE)</f>
        <v>#N/A</v>
      </c>
      <c r="H575" s="6" t="e">
        <f>VLOOKUP('Customer Info'!A567,'Customer Info'!A567:I1067,3,FALSE)</f>
        <v>#N/A</v>
      </c>
      <c r="I575" s="6" t="e">
        <f>VLOOKUP('Customer Info'!A567,'Customer Info'!A567:I1066,5,FALSE)</f>
        <v>#N/A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288</v>
      </c>
      <c r="R575" s="2" t="s">
        <v>50</v>
      </c>
      <c r="S575" s="9">
        <f t="shared" si="44"/>
        <v>0.02</v>
      </c>
    </row>
    <row r="576" spans="1:19" x14ac:dyDescent="0.25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e">
        <f>VLOOKUP('Customer Info'!A568,'Customer Info'!A568:I1067,2,FALSE)</f>
        <v>#N/A</v>
      </c>
      <c r="H576" s="6" t="e">
        <f>VLOOKUP('Customer Info'!A568,'Customer Info'!A568:I1068,3,FALSE)</f>
        <v>#N/A</v>
      </c>
      <c r="I576" s="6" t="e">
        <f>VLOOKUP('Customer Info'!A568,'Customer Info'!A568:I1067,5,FALSE)</f>
        <v>#N/A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42</v>
      </c>
      <c r="R576" s="2" t="s">
        <v>28</v>
      </c>
      <c r="S576" s="9">
        <f t="shared" si="44"/>
        <v>0.02</v>
      </c>
    </row>
    <row r="577" spans="1:19" x14ac:dyDescent="0.25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e">
        <f>VLOOKUP('Customer Info'!A569,'Customer Info'!A569:I1068,2,FALSE)</f>
        <v>#N/A</v>
      </c>
      <c r="H577" s="6" t="e">
        <f>VLOOKUP('Customer Info'!A569,'Customer Info'!A569:I1069,3,FALSE)</f>
        <v>#N/A</v>
      </c>
      <c r="I577" s="6" t="e">
        <f>VLOOKUP('Customer Info'!A569,'Customer Info'!A569:I1068,5,FALSE)</f>
        <v>#N/A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371</v>
      </c>
      <c r="R577" s="2" t="s">
        <v>50</v>
      </c>
      <c r="S577" s="9">
        <f t="shared" si="44"/>
        <v>0.05</v>
      </c>
    </row>
    <row r="578" spans="1:19" x14ac:dyDescent="0.25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e">
        <f>VLOOKUP('Customer Info'!A570,'Customer Info'!A570:I1069,2,FALSE)</f>
        <v>#N/A</v>
      </c>
      <c r="H578" s="6" t="e">
        <f>VLOOKUP('Customer Info'!A570,'Customer Info'!A570:I1070,3,FALSE)</f>
        <v>#N/A</v>
      </c>
      <c r="I578" s="6" t="e">
        <f>VLOOKUP('Customer Info'!A570,'Customer Info'!A570:I1069,5,FALSE)</f>
        <v>#N/A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4890</v>
      </c>
      <c r="R578" s="2" t="s">
        <v>28</v>
      </c>
      <c r="S578" s="9">
        <f t="shared" si="44"/>
        <v>0.09</v>
      </c>
    </row>
    <row r="579" spans="1:19" x14ac:dyDescent="0.25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e">
        <f>VLOOKUP('Customer Info'!A571,'Customer Info'!A571:I1070,2,FALSE)</f>
        <v>#N/A</v>
      </c>
      <c r="H579" s="6" t="e">
        <f>VLOOKUP('Customer Info'!A571,'Customer Info'!A571:I1071,3,FALSE)</f>
        <v>#N/A</v>
      </c>
      <c r="I579" s="6" t="e">
        <f>VLOOKUP('Customer Info'!A571,'Customer Info'!A571:I1070,5,FALSE)</f>
        <v>#N/A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76</v>
      </c>
      <c r="R579" s="2" t="s">
        <v>28</v>
      </c>
      <c r="S579" s="9">
        <f t="shared" si="44"/>
        <v>0.02</v>
      </c>
    </row>
    <row r="580" spans="1:19" x14ac:dyDescent="0.25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e">
        <f>VLOOKUP('Customer Info'!A572,'Customer Info'!A572:I1071,2,FALSE)</f>
        <v>#N/A</v>
      </c>
      <c r="H580" s="6" t="e">
        <f>VLOOKUP('Customer Info'!A572,'Customer Info'!A572:I1072,3,FALSE)</f>
        <v>#N/A</v>
      </c>
      <c r="I580" s="6" t="e">
        <f>VLOOKUP('Customer Info'!A572,'Customer Info'!A572:I1071,5,FALSE)</f>
        <v>#N/A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56</v>
      </c>
      <c r="R580" s="2" t="s">
        <v>28</v>
      </c>
      <c r="S580" s="9">
        <f t="shared" si="44"/>
        <v>0.02</v>
      </c>
    </row>
    <row r="581" spans="1:19" x14ac:dyDescent="0.25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e">
        <f>VLOOKUP('Customer Info'!A573,'Customer Info'!A573:I1072,2,FALSE)</f>
        <v>#N/A</v>
      </c>
      <c r="H581" s="6" t="e">
        <f>VLOOKUP('Customer Info'!A573,'Customer Info'!A573:I1073,3,FALSE)</f>
        <v>#N/A</v>
      </c>
      <c r="I581" s="6" t="e">
        <f>VLOOKUP('Customer Info'!A573,'Customer Info'!A573:I1072,5,FALSE)</f>
        <v>#N/A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371</v>
      </c>
      <c r="R581" s="2" t="s">
        <v>56</v>
      </c>
      <c r="S581" s="9">
        <f t="shared" si="44"/>
        <v>0.02</v>
      </c>
    </row>
    <row r="582" spans="1:19" x14ac:dyDescent="0.25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e">
        <f>VLOOKUP('Customer Info'!A574,'Customer Info'!A574:I1073,2,FALSE)</f>
        <v>#N/A</v>
      </c>
      <c r="H582" s="6" t="e">
        <f>VLOOKUP('Customer Info'!A574,'Customer Info'!A574:I1074,3,FALSE)</f>
        <v>#N/A</v>
      </c>
      <c r="I582" s="6" t="e">
        <f>VLOOKUP('Customer Info'!A574,'Customer Info'!A574:I1073,5,FALSE)</f>
        <v>#N/A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976</v>
      </c>
      <c r="R582" s="2" t="s">
        <v>28</v>
      </c>
      <c r="S582" s="9">
        <f t="shared" si="44"/>
        <v>0.05</v>
      </c>
    </row>
    <row r="583" spans="1:19" x14ac:dyDescent="0.25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e">
        <f>VLOOKUP('Customer Info'!A575,'Customer Info'!A575:I1074,2,FALSE)</f>
        <v>#N/A</v>
      </c>
      <c r="H583" s="6" t="e">
        <f>VLOOKUP('Customer Info'!A575,'Customer Info'!A575:I1075,3,FALSE)</f>
        <v>#N/A</v>
      </c>
      <c r="I583" s="6" t="e">
        <f>VLOOKUP('Customer Info'!A575,'Customer Info'!A575:I1074,5,FALSE)</f>
        <v>#N/A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1411</v>
      </c>
      <c r="R583" s="2" t="s">
        <v>28</v>
      </c>
      <c r="S583" s="9">
        <f t="shared" si="44"/>
        <v>0.09</v>
      </c>
    </row>
    <row r="584" spans="1:19" x14ac:dyDescent="0.25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e">
        <f>VLOOKUP('Customer Info'!A576,'Customer Info'!A576:I1075,2,FALSE)</f>
        <v>#N/A</v>
      </c>
      <c r="H584" s="6" t="e">
        <f>VLOOKUP('Customer Info'!A576,'Customer Info'!A576:I1076,3,FALSE)</f>
        <v>#N/A</v>
      </c>
      <c r="I584" s="6" t="e">
        <f>VLOOKUP('Customer Info'!A576,'Customer Info'!A576:I1075,5,FALSE)</f>
        <v>#N/A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482</v>
      </c>
      <c r="R584" s="2" t="s">
        <v>28</v>
      </c>
      <c r="S584" s="9">
        <f t="shared" si="44"/>
        <v>0.05</v>
      </c>
    </row>
    <row r="585" spans="1:19" x14ac:dyDescent="0.25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e">
        <f>VLOOKUP('Customer Info'!A577,'Customer Info'!A577:I1076,2,FALSE)</f>
        <v>#N/A</v>
      </c>
      <c r="H585" s="6" t="e">
        <f>VLOOKUP('Customer Info'!A577,'Customer Info'!A577:I1077,3,FALSE)</f>
        <v>#N/A</v>
      </c>
      <c r="I585" s="6" t="e">
        <f>VLOOKUP('Customer Info'!A577,'Customer Info'!A577:I1076,5,FALSE)</f>
        <v>#N/A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46</v>
      </c>
      <c r="R585" s="2" t="s">
        <v>28</v>
      </c>
      <c r="S585" s="9">
        <f t="shared" si="44"/>
        <v>0.02</v>
      </c>
    </row>
    <row r="586" spans="1:19" x14ac:dyDescent="0.25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e">
        <f>VLOOKUP('Customer Info'!A578,'Customer Info'!A578:I1077,2,FALSE)</f>
        <v>#N/A</v>
      </c>
      <c r="H586" s="6" t="e">
        <f>VLOOKUP('Customer Info'!A578,'Customer Info'!A578:I1078,3,FALSE)</f>
        <v>#N/A</v>
      </c>
      <c r="I586" s="6" t="e">
        <f>VLOOKUP('Customer Info'!A578,'Customer Info'!A578:I1077,5,FALSE)</f>
        <v>#N/A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118</v>
      </c>
      <c r="R586" s="2" t="s">
        <v>28</v>
      </c>
      <c r="S586" s="9">
        <f t="shared" si="44"/>
        <v>0.02</v>
      </c>
    </row>
    <row r="587" spans="1:19" x14ac:dyDescent="0.25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e">
        <f>VLOOKUP('Customer Info'!A579,'Customer Info'!A579:I1078,2,FALSE)</f>
        <v>#N/A</v>
      </c>
      <c r="H587" s="6" t="e">
        <f>VLOOKUP('Customer Info'!A579,'Customer Info'!A579:I1079,3,FALSE)</f>
        <v>#N/A</v>
      </c>
      <c r="I587" s="6" t="e">
        <f>VLOOKUP('Customer Info'!A579,'Customer Info'!A579:I1078,5,FALSE)</f>
        <v>#N/A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8">
        <f t="shared" ref="P587:P650" si="47">N587+O587</f>
        <v>18142</v>
      </c>
      <c r="Q587" s="8">
        <f t="shared" ref="Q587:Q650" si="48">P587-M587</f>
        <v>1552</v>
      </c>
      <c r="R587" s="2" t="s">
        <v>28</v>
      </c>
      <c r="S587" s="9">
        <f t="shared" ref="S587:S650" si="49">VLOOKUP(P587,$T$2:$U$7,2,TRUE)</f>
        <v>0.05</v>
      </c>
    </row>
    <row r="588" spans="1:19" x14ac:dyDescent="0.25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e">
        <f>VLOOKUP('Customer Info'!A580,'Customer Info'!A580:I1079,2,FALSE)</f>
        <v>#N/A</v>
      </c>
      <c r="H588" s="6" t="e">
        <f>VLOOKUP('Customer Info'!A580,'Customer Info'!A580:I1080,3,FALSE)</f>
        <v>#N/A</v>
      </c>
      <c r="I588" s="6" t="e">
        <f>VLOOKUP('Customer Info'!A580,'Customer Info'!A580:I1079,5,FALSE)</f>
        <v>#N/A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60</v>
      </c>
      <c r="R588" s="2" t="s">
        <v>50</v>
      </c>
      <c r="S588" s="9">
        <f t="shared" si="49"/>
        <v>0.02</v>
      </c>
    </row>
    <row r="589" spans="1:19" x14ac:dyDescent="0.25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e">
        <f>VLOOKUP('Customer Info'!A581,'Customer Info'!A581:I1080,2,FALSE)</f>
        <v>#N/A</v>
      </c>
      <c r="H589" s="6" t="e">
        <f>VLOOKUP('Customer Info'!A581,'Customer Info'!A581:I1081,3,FALSE)</f>
        <v>#N/A</v>
      </c>
      <c r="I589" s="6" t="e">
        <f>VLOOKUP('Customer Info'!A581,'Customer Info'!A581:I1080,5,FALSE)</f>
        <v>#N/A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432</v>
      </c>
      <c r="R589" s="2" t="s">
        <v>26</v>
      </c>
      <c r="S589" s="9">
        <f t="shared" si="49"/>
        <v>0.02</v>
      </c>
    </row>
    <row r="590" spans="1:19" x14ac:dyDescent="0.25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e">
        <f>VLOOKUP('Customer Info'!A582,'Customer Info'!A582:I1081,2,FALSE)</f>
        <v>#N/A</v>
      </c>
      <c r="H590" s="6" t="e">
        <f>VLOOKUP('Customer Info'!A582,'Customer Info'!A582:I1082,3,FALSE)</f>
        <v>#N/A</v>
      </c>
      <c r="I590" s="6" t="e">
        <f>VLOOKUP('Customer Info'!A582,'Customer Info'!A582:I1081,5,FALSE)</f>
        <v>#N/A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2067</v>
      </c>
      <c r="R590" s="2" t="s">
        <v>28</v>
      </c>
      <c r="S590" s="9">
        <f t="shared" si="49"/>
        <v>0.05</v>
      </c>
    </row>
    <row r="591" spans="1:19" x14ac:dyDescent="0.25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e">
        <f>VLOOKUP('Customer Info'!A583,'Customer Info'!A583:I1082,2,FALSE)</f>
        <v>#N/A</v>
      </c>
      <c r="H591" s="6" t="e">
        <f>VLOOKUP('Customer Info'!A583,'Customer Info'!A583:I1083,3,FALSE)</f>
        <v>#N/A</v>
      </c>
      <c r="I591" s="6" t="e">
        <f>VLOOKUP('Customer Info'!A583,'Customer Info'!A583:I1082,5,FALSE)</f>
        <v>#N/A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185</v>
      </c>
      <c r="R591" s="2" t="s">
        <v>28</v>
      </c>
      <c r="S591" s="9">
        <f t="shared" si="49"/>
        <v>0.02</v>
      </c>
    </row>
    <row r="592" spans="1:19" x14ac:dyDescent="0.25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e">
        <f>VLOOKUP('Customer Info'!A584,'Customer Info'!A584:I1083,2,FALSE)</f>
        <v>#N/A</v>
      </c>
      <c r="H592" s="6" t="e">
        <f>VLOOKUP('Customer Info'!A584,'Customer Info'!A584:I1084,3,FALSE)</f>
        <v>#N/A</v>
      </c>
      <c r="I592" s="6" t="e">
        <f>VLOOKUP('Customer Info'!A584,'Customer Info'!A584:I1083,5,FALSE)</f>
        <v>#N/A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124</v>
      </c>
      <c r="R592" s="2" t="s">
        <v>50</v>
      </c>
      <c r="S592" s="9">
        <f t="shared" si="49"/>
        <v>0.02</v>
      </c>
    </row>
    <row r="593" spans="1:19" x14ac:dyDescent="0.25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e">
        <f>VLOOKUP('Customer Info'!A585,'Customer Info'!A585:I1084,2,FALSE)</f>
        <v>#N/A</v>
      </c>
      <c r="H593" s="6" t="e">
        <f>VLOOKUP('Customer Info'!A585,'Customer Info'!A585:I1085,3,FALSE)</f>
        <v>#N/A</v>
      </c>
      <c r="I593" s="6" t="e">
        <f>VLOOKUP('Customer Info'!A585,'Customer Info'!A585:I1084,5,FALSE)</f>
        <v>#N/A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173</v>
      </c>
      <c r="R593" s="2" t="s">
        <v>50</v>
      </c>
      <c r="S593" s="9">
        <f t="shared" si="49"/>
        <v>0.05</v>
      </c>
    </row>
    <row r="594" spans="1:19" x14ac:dyDescent="0.25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e">
        <f>VLOOKUP('Customer Info'!A586,'Customer Info'!A586:I1085,2,FALSE)</f>
        <v>#N/A</v>
      </c>
      <c r="H594" s="6" t="e">
        <f>VLOOKUP('Customer Info'!A586,'Customer Info'!A586:I1086,3,FALSE)</f>
        <v>#N/A</v>
      </c>
      <c r="I594" s="6" t="e">
        <f>VLOOKUP('Customer Info'!A586,'Customer Info'!A586:I1085,5,FALSE)</f>
        <v>#N/A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60</v>
      </c>
      <c r="R594" s="2" t="s">
        <v>50</v>
      </c>
      <c r="S594" s="9">
        <f t="shared" si="49"/>
        <v>0.02</v>
      </c>
    </row>
    <row r="595" spans="1:19" x14ac:dyDescent="0.25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e">
        <f>VLOOKUP('Customer Info'!A587,'Customer Info'!A587:I1086,2,FALSE)</f>
        <v>#N/A</v>
      </c>
      <c r="H595" s="6" t="e">
        <f>VLOOKUP('Customer Info'!A587,'Customer Info'!A587:I1087,3,FALSE)</f>
        <v>#N/A</v>
      </c>
      <c r="I595" s="6" t="e">
        <f>VLOOKUP('Customer Info'!A587,'Customer Info'!A587:I1086,5,FALSE)</f>
        <v>#N/A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325</v>
      </c>
      <c r="R595" s="2" t="s">
        <v>28</v>
      </c>
      <c r="S595" s="9">
        <f t="shared" si="49"/>
        <v>0.02</v>
      </c>
    </row>
    <row r="596" spans="1:19" x14ac:dyDescent="0.25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e">
        <f>VLOOKUP('Customer Info'!A588,'Customer Info'!A588:I1087,2,FALSE)</f>
        <v>#N/A</v>
      </c>
      <c r="H596" s="6" t="e">
        <f>VLOOKUP('Customer Info'!A588,'Customer Info'!A588:I1088,3,FALSE)</f>
        <v>#N/A</v>
      </c>
      <c r="I596" s="6" t="e">
        <f>VLOOKUP('Customer Info'!A588,'Customer Info'!A588:I1087,5,FALSE)</f>
        <v>#N/A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110</v>
      </c>
      <c r="R596" s="2" t="s">
        <v>26</v>
      </c>
      <c r="S596" s="9">
        <f t="shared" si="49"/>
        <v>0.02</v>
      </c>
    </row>
    <row r="597" spans="1:19" x14ac:dyDescent="0.25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e">
        <f>VLOOKUP('Customer Info'!A589,'Customer Info'!A589:I1088,2,FALSE)</f>
        <v>#N/A</v>
      </c>
      <c r="H597" s="6" t="e">
        <f>VLOOKUP('Customer Info'!A589,'Customer Info'!A589:I1089,3,FALSE)</f>
        <v>#N/A</v>
      </c>
      <c r="I597" s="6" t="e">
        <f>VLOOKUP('Customer Info'!A589,'Customer Info'!A589:I1088,5,FALSE)</f>
        <v>#N/A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1064</v>
      </c>
      <c r="R597" s="2" t="s">
        <v>50</v>
      </c>
      <c r="S597" s="9">
        <f t="shared" si="49"/>
        <v>0.05</v>
      </c>
    </row>
    <row r="598" spans="1:19" x14ac:dyDescent="0.25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e">
        <f>VLOOKUP('Customer Info'!A590,'Customer Info'!A590:I1089,2,FALSE)</f>
        <v>#N/A</v>
      </c>
      <c r="H598" s="6" t="e">
        <f>VLOOKUP('Customer Info'!A590,'Customer Info'!A590:I1090,3,FALSE)</f>
        <v>#N/A</v>
      </c>
      <c r="I598" s="6" t="e">
        <f>VLOOKUP('Customer Info'!A590,'Customer Info'!A590:I1089,5,FALSE)</f>
        <v>#N/A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172</v>
      </c>
      <c r="R598" s="2" t="s">
        <v>50</v>
      </c>
      <c r="S598" s="9">
        <f t="shared" si="49"/>
        <v>0.02</v>
      </c>
    </row>
    <row r="599" spans="1:19" x14ac:dyDescent="0.25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e">
        <f>VLOOKUP('Customer Info'!A591,'Customer Info'!A591:I1090,2,FALSE)</f>
        <v>#N/A</v>
      </c>
      <c r="H599" s="6" t="e">
        <f>VLOOKUP('Customer Info'!A591,'Customer Info'!A591:I1091,3,FALSE)</f>
        <v>#N/A</v>
      </c>
      <c r="I599" s="6" t="e">
        <f>VLOOKUP('Customer Info'!A591,'Customer Info'!A591:I1090,5,FALSE)</f>
        <v>#N/A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1367</v>
      </c>
      <c r="R599" s="2" t="s">
        <v>50</v>
      </c>
      <c r="S599" s="9">
        <f t="shared" si="49"/>
        <v>0.05</v>
      </c>
    </row>
    <row r="600" spans="1:19" x14ac:dyDescent="0.25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e">
        <f>VLOOKUP('Customer Info'!A592,'Customer Info'!A592:I1091,2,FALSE)</f>
        <v>#N/A</v>
      </c>
      <c r="H600" s="6" t="e">
        <f>VLOOKUP('Customer Info'!A592,'Customer Info'!A592:I1092,3,FALSE)</f>
        <v>#N/A</v>
      </c>
      <c r="I600" s="6" t="e">
        <f>VLOOKUP('Customer Info'!A592,'Customer Info'!A592:I1091,5,FALSE)</f>
        <v>#N/A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1066</v>
      </c>
      <c r="R600" s="2" t="s">
        <v>28</v>
      </c>
      <c r="S600" s="9">
        <f t="shared" si="49"/>
        <v>0.05</v>
      </c>
    </row>
    <row r="601" spans="1:19" x14ac:dyDescent="0.25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e">
        <f>VLOOKUP('Customer Info'!A593,'Customer Info'!A593:I1092,2,FALSE)</f>
        <v>#N/A</v>
      </c>
      <c r="H601" s="6" t="e">
        <f>VLOOKUP('Customer Info'!A593,'Customer Info'!A593:I1093,3,FALSE)</f>
        <v>#N/A</v>
      </c>
      <c r="I601" s="6" t="e">
        <f>VLOOKUP('Customer Info'!A593,'Customer Info'!A593:I1092,5,FALSE)</f>
        <v>#N/A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25</v>
      </c>
      <c r="R601" s="2" t="s">
        <v>28</v>
      </c>
      <c r="S601" s="9">
        <f t="shared" si="49"/>
        <v>0.02</v>
      </c>
    </row>
    <row r="602" spans="1:19" x14ac:dyDescent="0.25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e">
        <f>VLOOKUP('Customer Info'!A594,'Customer Info'!A594:I1093,2,FALSE)</f>
        <v>#N/A</v>
      </c>
      <c r="H602" s="6" t="e">
        <f>VLOOKUP('Customer Info'!A594,'Customer Info'!A594:I1094,3,FALSE)</f>
        <v>#N/A</v>
      </c>
      <c r="I602" s="6" t="e">
        <f>VLOOKUP('Customer Info'!A594,'Customer Info'!A594:I1093,5,FALSE)</f>
        <v>#N/A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85</v>
      </c>
      <c r="R602" s="2" t="s">
        <v>28</v>
      </c>
      <c r="S602" s="9">
        <f t="shared" si="49"/>
        <v>0.02</v>
      </c>
    </row>
    <row r="603" spans="1:19" x14ac:dyDescent="0.25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e">
        <f>VLOOKUP('Customer Info'!A595,'Customer Info'!A595:I1094,2,FALSE)</f>
        <v>#N/A</v>
      </c>
      <c r="H603" s="6" t="e">
        <f>VLOOKUP('Customer Info'!A595,'Customer Info'!A595:I1095,3,FALSE)</f>
        <v>#N/A</v>
      </c>
      <c r="I603" s="6" t="e">
        <f>VLOOKUP('Customer Info'!A595,'Customer Info'!A595:I1094,5,FALSE)</f>
        <v>#N/A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22</v>
      </c>
      <c r="R603" s="2" t="s">
        <v>28</v>
      </c>
      <c r="S603" s="9">
        <f t="shared" si="49"/>
        <v>0.02</v>
      </c>
    </row>
    <row r="604" spans="1:19" x14ac:dyDescent="0.25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e">
        <f>VLOOKUP('Customer Info'!A596,'Customer Info'!A596:I1095,2,FALSE)</f>
        <v>#N/A</v>
      </c>
      <c r="H604" s="6" t="e">
        <f>VLOOKUP('Customer Info'!A596,'Customer Info'!A596:I1096,3,FALSE)</f>
        <v>#N/A</v>
      </c>
      <c r="I604" s="6" t="e">
        <f>VLOOKUP('Customer Info'!A596,'Customer Info'!A596:I1095,5,FALSE)</f>
        <v>#N/A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550</v>
      </c>
      <c r="R604" s="2" t="s">
        <v>26</v>
      </c>
      <c r="S604" s="9">
        <f t="shared" si="49"/>
        <v>0.05</v>
      </c>
    </row>
    <row r="605" spans="1:19" x14ac:dyDescent="0.25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e">
        <f>VLOOKUP('Customer Info'!A597,'Customer Info'!A597:I1096,2,FALSE)</f>
        <v>#N/A</v>
      </c>
      <c r="H605" s="6" t="e">
        <f>VLOOKUP('Customer Info'!A597,'Customer Info'!A597:I1097,3,FALSE)</f>
        <v>#N/A</v>
      </c>
      <c r="I605" s="6" t="e">
        <f>VLOOKUP('Customer Info'!A597,'Customer Info'!A597:I1096,5,FALSE)</f>
        <v>#N/A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901</v>
      </c>
      <c r="R605" s="2" t="s">
        <v>28</v>
      </c>
      <c r="S605" s="9">
        <f t="shared" si="49"/>
        <v>0.05</v>
      </c>
    </row>
    <row r="606" spans="1:19" x14ac:dyDescent="0.25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e">
        <f>VLOOKUP('Customer Info'!A598,'Customer Info'!A598:I1097,2,FALSE)</f>
        <v>#N/A</v>
      </c>
      <c r="H606" s="6" t="e">
        <f>VLOOKUP('Customer Info'!A598,'Customer Info'!A598:I1098,3,FALSE)</f>
        <v>#N/A</v>
      </c>
      <c r="I606" s="6" t="e">
        <f>VLOOKUP('Customer Info'!A598,'Customer Info'!A598:I1097,5,FALSE)</f>
        <v>#N/A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201</v>
      </c>
      <c r="R606" s="2" t="s">
        <v>50</v>
      </c>
      <c r="S606" s="9">
        <f t="shared" si="49"/>
        <v>0.02</v>
      </c>
    </row>
    <row r="607" spans="1:19" x14ac:dyDescent="0.25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e">
        <f>VLOOKUP('Customer Info'!A599,'Customer Info'!A599:I1098,2,FALSE)</f>
        <v>#N/A</v>
      </c>
      <c r="H607" s="6" t="e">
        <f>VLOOKUP('Customer Info'!A599,'Customer Info'!A599:I1099,3,FALSE)</f>
        <v>#N/A</v>
      </c>
      <c r="I607" s="6" t="e">
        <f>VLOOKUP('Customer Info'!A599,'Customer Info'!A599:I1098,5,FALSE)</f>
        <v>#N/A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28</v>
      </c>
      <c r="R607" s="2" t="s">
        <v>50</v>
      </c>
      <c r="S607" s="9">
        <f t="shared" si="49"/>
        <v>0.02</v>
      </c>
    </row>
    <row r="608" spans="1:19" x14ac:dyDescent="0.25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e">
        <f>VLOOKUP('Customer Info'!A600,'Customer Info'!A600:I1099,2,FALSE)</f>
        <v>#N/A</v>
      </c>
      <c r="H608" s="6" t="e">
        <f>VLOOKUP('Customer Info'!A600,'Customer Info'!A600:I1100,3,FALSE)</f>
        <v>#N/A</v>
      </c>
      <c r="I608" s="6" t="e">
        <f>VLOOKUP('Customer Info'!A600,'Customer Info'!A600:I1099,5,FALSE)</f>
        <v>#N/A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102</v>
      </c>
      <c r="R608" s="2" t="s">
        <v>28</v>
      </c>
      <c r="S608" s="9">
        <f t="shared" si="49"/>
        <v>0.02</v>
      </c>
    </row>
    <row r="609" spans="1:19" x14ac:dyDescent="0.25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e">
        <f>VLOOKUP('Customer Info'!A601,'Customer Info'!A601:I1100,2,FALSE)</f>
        <v>#N/A</v>
      </c>
      <c r="H609" s="6" t="e">
        <f>VLOOKUP('Customer Info'!A601,'Customer Info'!A601:I1101,3,FALSE)</f>
        <v>#N/A</v>
      </c>
      <c r="I609" s="6" t="e">
        <f>VLOOKUP('Customer Info'!A601,'Customer Info'!A601:I1100,5,FALSE)</f>
        <v>#N/A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550</v>
      </c>
      <c r="R609" s="2" t="s">
        <v>50</v>
      </c>
      <c r="S609" s="9">
        <f t="shared" si="49"/>
        <v>0.05</v>
      </c>
    </row>
    <row r="610" spans="1:19" x14ac:dyDescent="0.25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e">
        <f>VLOOKUP('Customer Info'!A602,'Customer Info'!A602:I1101,2,FALSE)</f>
        <v>#N/A</v>
      </c>
      <c r="H610" s="6" t="e">
        <f>VLOOKUP('Customer Info'!A602,'Customer Info'!A602:I1102,3,FALSE)</f>
        <v>#N/A</v>
      </c>
      <c r="I610" s="6" t="e">
        <f>VLOOKUP('Customer Info'!A602,'Customer Info'!A602:I1101,5,FALSE)</f>
        <v>#N/A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305</v>
      </c>
      <c r="R610" s="2" t="s">
        <v>28</v>
      </c>
      <c r="S610" s="9">
        <f t="shared" si="49"/>
        <v>0.02</v>
      </c>
    </row>
    <row r="611" spans="1:19" x14ac:dyDescent="0.25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e">
        <f>VLOOKUP('Customer Info'!A603,'Customer Info'!A603:I1102,2,FALSE)</f>
        <v>#N/A</v>
      </c>
      <c r="H611" s="6" t="e">
        <f>VLOOKUP('Customer Info'!A603,'Customer Info'!A603:I1103,3,FALSE)</f>
        <v>#N/A</v>
      </c>
      <c r="I611" s="6" t="e">
        <f>VLOOKUP('Customer Info'!A603,'Customer Info'!A603:I1102,5,FALSE)</f>
        <v>#N/A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2905</v>
      </c>
      <c r="R611" s="2" t="s">
        <v>28</v>
      </c>
      <c r="S611" s="9">
        <f t="shared" si="49"/>
        <v>7.0000000000000007E-2</v>
      </c>
    </row>
    <row r="612" spans="1:19" x14ac:dyDescent="0.25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e">
        <f>VLOOKUP('Customer Info'!A604,'Customer Info'!A604:I1103,2,FALSE)</f>
        <v>#N/A</v>
      </c>
      <c r="H612" s="6" t="e">
        <f>VLOOKUP('Customer Info'!A604,'Customer Info'!A604:I1104,3,FALSE)</f>
        <v>#N/A</v>
      </c>
      <c r="I612" s="6" t="e">
        <f>VLOOKUP('Customer Info'!A604,'Customer Info'!A604:I1103,5,FALSE)</f>
        <v>#N/A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1365</v>
      </c>
      <c r="R612" s="2" t="s">
        <v>50</v>
      </c>
      <c r="S612" s="9">
        <f t="shared" si="49"/>
        <v>0.05</v>
      </c>
    </row>
    <row r="613" spans="1:19" x14ac:dyDescent="0.25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e">
        <f>VLOOKUP('Customer Info'!A605,'Customer Info'!A605:I1104,2,FALSE)</f>
        <v>#N/A</v>
      </c>
      <c r="H613" s="6" t="e">
        <f>VLOOKUP('Customer Info'!A605,'Customer Info'!A605:I1105,3,FALSE)</f>
        <v>#N/A</v>
      </c>
      <c r="I613" s="6" t="e">
        <f>VLOOKUP('Customer Info'!A605,'Customer Info'!A605:I1104,5,FALSE)</f>
        <v>#N/A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158</v>
      </c>
      <c r="R613" s="2" t="s">
        <v>28</v>
      </c>
      <c r="S613" s="9">
        <f t="shared" si="49"/>
        <v>0.02</v>
      </c>
    </row>
    <row r="614" spans="1:19" x14ac:dyDescent="0.25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e">
        <f>VLOOKUP('Customer Info'!A606,'Customer Info'!A606:I1105,2,FALSE)</f>
        <v>#N/A</v>
      </c>
      <c r="H614" s="6" t="e">
        <f>VLOOKUP('Customer Info'!A606,'Customer Info'!A606:I1106,3,FALSE)</f>
        <v>#N/A</v>
      </c>
      <c r="I614" s="6" t="e">
        <f>VLOOKUP('Customer Info'!A606,'Customer Info'!A606:I1105,5,FALSE)</f>
        <v>#N/A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213</v>
      </c>
      <c r="R614" s="2" t="s">
        <v>28</v>
      </c>
      <c r="S614" s="9">
        <f t="shared" si="49"/>
        <v>0.02</v>
      </c>
    </row>
    <row r="615" spans="1:19" x14ac:dyDescent="0.25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e">
        <f>VLOOKUP('Customer Info'!A607,'Customer Info'!A607:I1106,2,FALSE)</f>
        <v>#N/A</v>
      </c>
      <c r="H615" s="6" t="e">
        <f>VLOOKUP('Customer Info'!A607,'Customer Info'!A607:I1107,3,FALSE)</f>
        <v>#N/A</v>
      </c>
      <c r="I615" s="6" t="e">
        <f>VLOOKUP('Customer Info'!A607,'Customer Info'!A607:I1106,5,FALSE)</f>
        <v>#N/A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2388</v>
      </c>
      <c r="R615" s="2" t="s">
        <v>28</v>
      </c>
      <c r="S615" s="9">
        <f t="shared" si="49"/>
        <v>7.0000000000000007E-2</v>
      </c>
    </row>
    <row r="616" spans="1:19" x14ac:dyDescent="0.25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e">
        <f>VLOOKUP('Customer Info'!A608,'Customer Info'!A608:I1107,2,FALSE)</f>
        <v>#N/A</v>
      </c>
      <c r="H616" s="6" t="e">
        <f>VLOOKUP('Customer Info'!A608,'Customer Info'!A608:I1108,3,FALSE)</f>
        <v>#N/A</v>
      </c>
      <c r="I616" s="6" t="e">
        <f>VLOOKUP('Customer Info'!A608,'Customer Info'!A608:I1107,5,FALSE)</f>
        <v>#N/A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15</v>
      </c>
      <c r="R616" s="2" t="s">
        <v>28</v>
      </c>
      <c r="S616" s="9">
        <f t="shared" si="49"/>
        <v>0.02</v>
      </c>
    </row>
    <row r="617" spans="1:19" x14ac:dyDescent="0.25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e">
        <f>VLOOKUP('Customer Info'!A609,'Customer Info'!A609:I1108,2,FALSE)</f>
        <v>#N/A</v>
      </c>
      <c r="H617" s="6" t="e">
        <f>VLOOKUP('Customer Info'!A609,'Customer Info'!A609:I1109,3,FALSE)</f>
        <v>#N/A</v>
      </c>
      <c r="I617" s="6" t="e">
        <f>VLOOKUP('Customer Info'!A609,'Customer Info'!A609:I1108,5,FALSE)</f>
        <v>#N/A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98</v>
      </c>
      <c r="R617" s="2" t="s">
        <v>28</v>
      </c>
      <c r="S617" s="9">
        <f t="shared" si="49"/>
        <v>0.02</v>
      </c>
    </row>
    <row r="618" spans="1:19" x14ac:dyDescent="0.25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e">
        <f>VLOOKUP('Customer Info'!A610,'Customer Info'!A610:I1109,2,FALSE)</f>
        <v>#N/A</v>
      </c>
      <c r="H618" s="6" t="e">
        <f>VLOOKUP('Customer Info'!A610,'Customer Info'!A610:I1110,3,FALSE)</f>
        <v>#N/A</v>
      </c>
      <c r="I618" s="6" t="e">
        <f>VLOOKUP('Customer Info'!A610,'Customer Info'!A610:I1109,5,FALSE)</f>
        <v>#N/A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115</v>
      </c>
      <c r="R618" s="2" t="s">
        <v>28</v>
      </c>
      <c r="S618" s="9">
        <f t="shared" si="49"/>
        <v>0.02</v>
      </c>
    </row>
    <row r="619" spans="1:19" x14ac:dyDescent="0.25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e">
        <f>VLOOKUP('Customer Info'!A611,'Customer Info'!A611:I1110,2,FALSE)</f>
        <v>#N/A</v>
      </c>
      <c r="H619" s="6" t="e">
        <f>VLOOKUP('Customer Info'!A611,'Customer Info'!A611:I1111,3,FALSE)</f>
        <v>#N/A</v>
      </c>
      <c r="I619" s="6" t="e">
        <f>VLOOKUP('Customer Info'!A611,'Customer Info'!A611:I1110,5,FALSE)</f>
        <v>#N/A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512</v>
      </c>
      <c r="R619" s="2" t="s">
        <v>28</v>
      </c>
      <c r="S619" s="9">
        <f t="shared" si="49"/>
        <v>0.05</v>
      </c>
    </row>
    <row r="620" spans="1:19" x14ac:dyDescent="0.25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e">
        <f>VLOOKUP('Customer Info'!A612,'Customer Info'!A612:I1111,2,FALSE)</f>
        <v>#N/A</v>
      </c>
      <c r="H620" s="6" t="e">
        <f>VLOOKUP('Customer Info'!A612,'Customer Info'!A612:I1112,3,FALSE)</f>
        <v>#N/A</v>
      </c>
      <c r="I620" s="6" t="e">
        <f>VLOOKUP('Customer Info'!A612,'Customer Info'!A612:I1111,5,FALSE)</f>
        <v>#N/A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66</v>
      </c>
      <c r="R620" s="2" t="s">
        <v>28</v>
      </c>
      <c r="S620" s="9">
        <f t="shared" si="49"/>
        <v>0.02</v>
      </c>
    </row>
    <row r="621" spans="1:19" x14ac:dyDescent="0.25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e">
        <f>VLOOKUP('Customer Info'!A613,'Customer Info'!A613:I1112,2,FALSE)</f>
        <v>#N/A</v>
      </c>
      <c r="H621" s="6" t="e">
        <f>VLOOKUP('Customer Info'!A613,'Customer Info'!A613:I1113,3,FALSE)</f>
        <v>#N/A</v>
      </c>
      <c r="I621" s="6" t="e">
        <f>VLOOKUP('Customer Info'!A613,'Customer Info'!A613:I1112,5,FALSE)</f>
        <v>#N/A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1567</v>
      </c>
      <c r="R621" s="2" t="s">
        <v>28</v>
      </c>
      <c r="S621" s="9">
        <f t="shared" si="49"/>
        <v>0.05</v>
      </c>
    </row>
    <row r="622" spans="1:19" x14ac:dyDescent="0.25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e">
        <f>VLOOKUP('Customer Info'!A614,'Customer Info'!A614:I1113,2,FALSE)</f>
        <v>#N/A</v>
      </c>
      <c r="H622" s="6" t="e">
        <f>VLOOKUP('Customer Info'!A614,'Customer Info'!A614:I1114,3,FALSE)</f>
        <v>#N/A</v>
      </c>
      <c r="I622" s="6" t="e">
        <f>VLOOKUP('Customer Info'!A614,'Customer Info'!A614:I1113,5,FALSE)</f>
        <v>#N/A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1257</v>
      </c>
      <c r="R622" s="2" t="s">
        <v>28</v>
      </c>
      <c r="S622" s="9">
        <f t="shared" si="49"/>
        <v>0.05</v>
      </c>
    </row>
    <row r="623" spans="1:19" x14ac:dyDescent="0.25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e">
        <f>VLOOKUP('Customer Info'!A615,'Customer Info'!A615:I1114,2,FALSE)</f>
        <v>#N/A</v>
      </c>
      <c r="H623" s="6" t="e">
        <f>VLOOKUP('Customer Info'!A615,'Customer Info'!A615:I1115,3,FALSE)</f>
        <v>#N/A</v>
      </c>
      <c r="I623" s="6" t="e">
        <f>VLOOKUP('Customer Info'!A615,'Customer Info'!A615:I1114,5,FALSE)</f>
        <v>#N/A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21995</v>
      </c>
      <c r="R623" s="2" t="s">
        <v>28</v>
      </c>
      <c r="S623" s="9">
        <f t="shared" si="49"/>
        <v>0.15</v>
      </c>
    </row>
    <row r="624" spans="1:19" x14ac:dyDescent="0.25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e">
        <f>VLOOKUP('Customer Info'!A616,'Customer Info'!A616:I1115,2,FALSE)</f>
        <v>#N/A</v>
      </c>
      <c r="H624" s="6" t="e">
        <f>VLOOKUP('Customer Info'!A616,'Customer Info'!A616:I1116,3,FALSE)</f>
        <v>#N/A</v>
      </c>
      <c r="I624" s="6" t="e">
        <f>VLOOKUP('Customer Info'!A616,'Customer Info'!A616:I1115,5,FALSE)</f>
        <v>#N/A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402</v>
      </c>
      <c r="R624" s="2" t="s">
        <v>50</v>
      </c>
      <c r="S624" s="9">
        <f t="shared" si="49"/>
        <v>0.05</v>
      </c>
    </row>
    <row r="625" spans="1:19" x14ac:dyDescent="0.25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e">
        <f>VLOOKUP('Customer Info'!A617,'Customer Info'!A617:I1116,2,FALSE)</f>
        <v>#N/A</v>
      </c>
      <c r="H625" s="6" t="e">
        <f>VLOOKUP('Customer Info'!A617,'Customer Info'!A617:I1117,3,FALSE)</f>
        <v>#N/A</v>
      </c>
      <c r="I625" s="6" t="e">
        <f>VLOOKUP('Customer Info'!A617,'Customer Info'!A617:I1116,5,FALSE)</f>
        <v>#N/A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19</v>
      </c>
      <c r="R625" s="2" t="s">
        <v>28</v>
      </c>
      <c r="S625" s="9">
        <f t="shared" si="49"/>
        <v>0.02</v>
      </c>
    </row>
    <row r="626" spans="1:19" x14ac:dyDescent="0.25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e">
        <f>VLOOKUP('Customer Info'!A618,'Customer Info'!A618:I1117,2,FALSE)</f>
        <v>#N/A</v>
      </c>
      <c r="H626" s="6" t="e">
        <f>VLOOKUP('Customer Info'!A618,'Customer Info'!A618:I1118,3,FALSE)</f>
        <v>#N/A</v>
      </c>
      <c r="I626" s="6" t="e">
        <f>VLOOKUP('Customer Info'!A618,'Customer Info'!A618:I1117,5,FALSE)</f>
        <v>#N/A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18</v>
      </c>
      <c r="R626" s="2" t="s">
        <v>28</v>
      </c>
      <c r="S626" s="9">
        <f t="shared" si="49"/>
        <v>0.02</v>
      </c>
    </row>
    <row r="627" spans="1:19" x14ac:dyDescent="0.25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e">
        <f>VLOOKUP('Customer Info'!A619,'Customer Info'!A619:I1118,2,FALSE)</f>
        <v>#N/A</v>
      </c>
      <c r="H627" s="6" t="e">
        <f>VLOOKUP('Customer Info'!A619,'Customer Info'!A619:I1119,3,FALSE)</f>
        <v>#N/A</v>
      </c>
      <c r="I627" s="6" t="e">
        <f>VLOOKUP('Customer Info'!A619,'Customer Info'!A619:I1118,5,FALSE)</f>
        <v>#N/A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3059</v>
      </c>
      <c r="R627" s="2" t="s">
        <v>28</v>
      </c>
      <c r="S627" s="9">
        <f t="shared" si="49"/>
        <v>0.09</v>
      </c>
    </row>
    <row r="628" spans="1:19" x14ac:dyDescent="0.25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e">
        <f>VLOOKUP('Customer Info'!A620,'Customer Info'!A620:I1119,2,FALSE)</f>
        <v>#N/A</v>
      </c>
      <c r="H628" s="6" t="e">
        <f>VLOOKUP('Customer Info'!A620,'Customer Info'!A620:I1120,3,FALSE)</f>
        <v>#N/A</v>
      </c>
      <c r="I628" s="6" t="e">
        <f>VLOOKUP('Customer Info'!A620,'Customer Info'!A620:I1119,5,FALSE)</f>
        <v>#N/A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2846</v>
      </c>
      <c r="R628" s="2" t="s">
        <v>28</v>
      </c>
      <c r="S628" s="9">
        <f t="shared" si="49"/>
        <v>7.0000000000000007E-2</v>
      </c>
    </row>
    <row r="629" spans="1:19" x14ac:dyDescent="0.25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e">
        <f>VLOOKUP('Customer Info'!A621,'Customer Info'!A621:I1120,2,FALSE)</f>
        <v>#N/A</v>
      </c>
      <c r="H629" s="6" t="e">
        <f>VLOOKUP('Customer Info'!A621,'Customer Info'!A621:I1121,3,FALSE)</f>
        <v>#N/A</v>
      </c>
      <c r="I629" s="6" t="e">
        <f>VLOOKUP('Customer Info'!A621,'Customer Info'!A621:I1120,5,FALSE)</f>
        <v>#N/A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949</v>
      </c>
      <c r="R629" s="2" t="s">
        <v>28</v>
      </c>
      <c r="S629" s="9">
        <f t="shared" si="49"/>
        <v>0.05</v>
      </c>
    </row>
    <row r="630" spans="1:19" x14ac:dyDescent="0.25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e">
        <f>VLOOKUP('Customer Info'!A622,'Customer Info'!A622:I1121,2,FALSE)</f>
        <v>#N/A</v>
      </c>
      <c r="H630" s="6" t="e">
        <f>VLOOKUP('Customer Info'!A622,'Customer Info'!A622:I1122,3,FALSE)</f>
        <v>#N/A</v>
      </c>
      <c r="I630" s="6" t="e">
        <f>VLOOKUP('Customer Info'!A622,'Customer Info'!A622:I1121,5,FALSE)</f>
        <v>#N/A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51</v>
      </c>
      <c r="R630" s="2" t="s">
        <v>28</v>
      </c>
      <c r="S630" s="9">
        <f t="shared" si="49"/>
        <v>0.02</v>
      </c>
    </row>
    <row r="631" spans="1:19" x14ac:dyDescent="0.25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e">
        <f>VLOOKUP('Customer Info'!A623,'Customer Info'!A623:I1122,2,FALSE)</f>
        <v>#N/A</v>
      </c>
      <c r="H631" s="6" t="e">
        <f>VLOOKUP('Customer Info'!A623,'Customer Info'!A623:I1123,3,FALSE)</f>
        <v>#N/A</v>
      </c>
      <c r="I631" s="6" t="e">
        <f>VLOOKUP('Customer Info'!A623,'Customer Info'!A623:I1122,5,FALSE)</f>
        <v>#N/A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130</v>
      </c>
      <c r="R631" s="2" t="s">
        <v>50</v>
      </c>
      <c r="S631" s="9">
        <f t="shared" si="49"/>
        <v>0.02</v>
      </c>
    </row>
    <row r="632" spans="1:19" x14ac:dyDescent="0.25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e">
        <f>VLOOKUP('Customer Info'!A624,'Customer Info'!A624:I1123,2,FALSE)</f>
        <v>#N/A</v>
      </c>
      <c r="H632" s="6" t="e">
        <f>VLOOKUP('Customer Info'!A624,'Customer Info'!A624:I1124,3,FALSE)</f>
        <v>#N/A</v>
      </c>
      <c r="I632" s="6" t="e">
        <f>VLOOKUP('Customer Info'!A624,'Customer Info'!A624:I1123,5,FALSE)</f>
        <v>#N/A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227</v>
      </c>
      <c r="R632" s="2" t="s">
        <v>28</v>
      </c>
      <c r="S632" s="9">
        <f t="shared" si="49"/>
        <v>0.02</v>
      </c>
    </row>
    <row r="633" spans="1:19" x14ac:dyDescent="0.25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e">
        <f>VLOOKUP('Customer Info'!A625,'Customer Info'!A625:I1124,2,FALSE)</f>
        <v>#N/A</v>
      </c>
      <c r="H633" s="6" t="e">
        <f>VLOOKUP('Customer Info'!A625,'Customer Info'!A625:I1125,3,FALSE)</f>
        <v>#N/A</v>
      </c>
      <c r="I633" s="6" t="e">
        <f>VLOOKUP('Customer Info'!A625,'Customer Info'!A625:I1124,5,FALSE)</f>
        <v>#N/A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2176</v>
      </c>
      <c r="R633" s="2" t="s">
        <v>28</v>
      </c>
      <c r="S633" s="9">
        <f t="shared" si="49"/>
        <v>7.0000000000000007E-2</v>
      </c>
    </row>
    <row r="634" spans="1:19" x14ac:dyDescent="0.25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e">
        <f>VLOOKUP('Customer Info'!A626,'Customer Info'!A626:I1125,2,FALSE)</f>
        <v>#N/A</v>
      </c>
      <c r="H634" s="6" t="e">
        <f>VLOOKUP('Customer Info'!A626,'Customer Info'!A626:I1126,3,FALSE)</f>
        <v>#N/A</v>
      </c>
      <c r="I634" s="6" t="e">
        <f>VLOOKUP('Customer Info'!A626,'Customer Info'!A626:I1125,5,FALSE)</f>
        <v>#N/A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58</v>
      </c>
      <c r="R634" s="2" t="s">
        <v>28</v>
      </c>
      <c r="S634" s="9">
        <f t="shared" si="49"/>
        <v>0.02</v>
      </c>
    </row>
    <row r="635" spans="1:19" x14ac:dyDescent="0.25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e">
        <f>VLOOKUP('Customer Info'!A627,'Customer Info'!A627:I1126,2,FALSE)</f>
        <v>#N/A</v>
      </c>
      <c r="H635" s="6" t="e">
        <f>VLOOKUP('Customer Info'!A627,'Customer Info'!A627:I1127,3,FALSE)</f>
        <v>#N/A</v>
      </c>
      <c r="I635" s="6" t="e">
        <f>VLOOKUP('Customer Info'!A627,'Customer Info'!A627:I1126,5,FALSE)</f>
        <v>#N/A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181</v>
      </c>
      <c r="R635" s="2" t="s">
        <v>50</v>
      </c>
      <c r="S635" s="9">
        <f t="shared" si="49"/>
        <v>0.02</v>
      </c>
    </row>
    <row r="636" spans="1:19" x14ac:dyDescent="0.25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e">
        <f>VLOOKUP('Customer Info'!A628,'Customer Info'!A628:I1127,2,FALSE)</f>
        <v>#N/A</v>
      </c>
      <c r="H636" s="6" t="e">
        <f>VLOOKUP('Customer Info'!A628,'Customer Info'!A628:I1128,3,FALSE)</f>
        <v>#N/A</v>
      </c>
      <c r="I636" s="6" t="e">
        <f>VLOOKUP('Customer Info'!A628,'Customer Info'!A628:I1127,5,FALSE)</f>
        <v>#N/A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450</v>
      </c>
      <c r="R636" s="2" t="s">
        <v>50</v>
      </c>
      <c r="S636" s="9">
        <f t="shared" si="49"/>
        <v>0.02</v>
      </c>
    </row>
    <row r="637" spans="1:19" x14ac:dyDescent="0.25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e">
        <f>VLOOKUP('Customer Info'!A629,'Customer Info'!A629:I1128,2,FALSE)</f>
        <v>#N/A</v>
      </c>
      <c r="H637" s="6" t="e">
        <f>VLOOKUP('Customer Info'!A629,'Customer Info'!A629:I1129,3,FALSE)</f>
        <v>#N/A</v>
      </c>
      <c r="I637" s="6" t="e">
        <f>VLOOKUP('Customer Info'!A629,'Customer Info'!A629:I1128,5,FALSE)</f>
        <v>#N/A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76</v>
      </c>
      <c r="R637" s="2" t="s">
        <v>28</v>
      </c>
      <c r="S637" s="9">
        <f t="shared" si="49"/>
        <v>0.02</v>
      </c>
    </row>
    <row r="638" spans="1:19" x14ac:dyDescent="0.25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e">
        <f>VLOOKUP('Customer Info'!A630,'Customer Info'!A630:I1129,2,FALSE)</f>
        <v>#N/A</v>
      </c>
      <c r="H638" s="6" t="e">
        <f>VLOOKUP('Customer Info'!A630,'Customer Info'!A630:I1130,3,FALSE)</f>
        <v>#N/A</v>
      </c>
      <c r="I638" s="6" t="e">
        <f>VLOOKUP('Customer Info'!A630,'Customer Info'!A630:I1129,5,FALSE)</f>
        <v>#N/A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14</v>
      </c>
      <c r="R638" s="2" t="s">
        <v>28</v>
      </c>
      <c r="S638" s="9">
        <f t="shared" si="49"/>
        <v>0.02</v>
      </c>
    </row>
    <row r="639" spans="1:19" x14ac:dyDescent="0.25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e">
        <f>VLOOKUP('Customer Info'!A631,'Customer Info'!A631:I1130,2,FALSE)</f>
        <v>#N/A</v>
      </c>
      <c r="H639" s="6" t="e">
        <f>VLOOKUP('Customer Info'!A631,'Customer Info'!A631:I1131,3,FALSE)</f>
        <v>#N/A</v>
      </c>
      <c r="I639" s="6" t="e">
        <f>VLOOKUP('Customer Info'!A631,'Customer Info'!A631:I1130,5,FALSE)</f>
        <v>#N/A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18</v>
      </c>
      <c r="R639" s="2" t="s">
        <v>50</v>
      </c>
      <c r="S639" s="9">
        <f t="shared" si="49"/>
        <v>0.02</v>
      </c>
    </row>
    <row r="640" spans="1:19" x14ac:dyDescent="0.25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e">
        <f>VLOOKUP('Customer Info'!A632,'Customer Info'!A632:I1131,2,FALSE)</f>
        <v>#N/A</v>
      </c>
      <c r="H640" s="6" t="e">
        <f>VLOOKUP('Customer Info'!A632,'Customer Info'!A632:I1132,3,FALSE)</f>
        <v>#N/A</v>
      </c>
      <c r="I640" s="6" t="e">
        <f>VLOOKUP('Customer Info'!A632,'Customer Info'!A632:I1131,5,FALSE)</f>
        <v>#N/A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2719</v>
      </c>
      <c r="R640" s="2" t="s">
        <v>28</v>
      </c>
      <c r="S640" s="9">
        <f t="shared" si="49"/>
        <v>7.0000000000000007E-2</v>
      </c>
    </row>
    <row r="641" spans="1:19" x14ac:dyDescent="0.25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e">
        <f>VLOOKUP('Customer Info'!A633,'Customer Info'!A633:I1132,2,FALSE)</f>
        <v>#N/A</v>
      </c>
      <c r="H641" s="6" t="e">
        <f>VLOOKUP('Customer Info'!A633,'Customer Info'!A633:I1133,3,FALSE)</f>
        <v>#N/A</v>
      </c>
      <c r="I641" s="6" t="e">
        <f>VLOOKUP('Customer Info'!A633,'Customer Info'!A633:I1132,5,FALSE)</f>
        <v>#N/A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755</v>
      </c>
      <c r="R641" s="2" t="s">
        <v>28</v>
      </c>
      <c r="S641" s="9">
        <f t="shared" si="49"/>
        <v>0.05</v>
      </c>
    </row>
    <row r="642" spans="1:19" x14ac:dyDescent="0.25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e">
        <f>VLOOKUP('Customer Info'!A634,'Customer Info'!A634:I1133,2,FALSE)</f>
        <v>#N/A</v>
      </c>
      <c r="H642" s="6" t="e">
        <f>VLOOKUP('Customer Info'!A634,'Customer Info'!A634:I1134,3,FALSE)</f>
        <v>#N/A</v>
      </c>
      <c r="I642" s="6" t="e">
        <f>VLOOKUP('Customer Info'!A634,'Customer Info'!A634:I1133,5,FALSE)</f>
        <v>#N/A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2778</v>
      </c>
      <c r="R642" s="2" t="s">
        <v>28</v>
      </c>
      <c r="S642" s="9">
        <f t="shared" si="49"/>
        <v>7.0000000000000007E-2</v>
      </c>
    </row>
    <row r="643" spans="1:19" x14ac:dyDescent="0.25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e">
        <f>VLOOKUP('Customer Info'!A635,'Customer Info'!A635:I1134,2,FALSE)</f>
        <v>#N/A</v>
      </c>
      <c r="H643" s="6" t="e">
        <f>VLOOKUP('Customer Info'!A635,'Customer Info'!A635:I1135,3,FALSE)</f>
        <v>#N/A</v>
      </c>
      <c r="I643" s="6" t="e">
        <f>VLOOKUP('Customer Info'!A635,'Customer Info'!A635:I1134,5,FALSE)</f>
        <v>#N/A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638</v>
      </c>
      <c r="R643" s="2" t="s">
        <v>50</v>
      </c>
      <c r="S643" s="9">
        <f t="shared" si="49"/>
        <v>0.05</v>
      </c>
    </row>
    <row r="644" spans="1:19" x14ac:dyDescent="0.25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e">
        <f>VLOOKUP('Customer Info'!A636,'Customer Info'!A636:I1135,2,FALSE)</f>
        <v>#N/A</v>
      </c>
      <c r="H644" s="6" t="e">
        <f>VLOOKUP('Customer Info'!A636,'Customer Info'!A636:I1136,3,FALSE)</f>
        <v>#N/A</v>
      </c>
      <c r="I644" s="6" t="e">
        <f>VLOOKUP('Customer Info'!A636,'Customer Info'!A636:I1135,5,FALSE)</f>
        <v>#N/A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633</v>
      </c>
      <c r="R644" s="2" t="s">
        <v>50</v>
      </c>
      <c r="S644" s="9">
        <f t="shared" si="49"/>
        <v>0.05</v>
      </c>
    </row>
    <row r="645" spans="1:19" x14ac:dyDescent="0.25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e">
        <f>VLOOKUP('Customer Info'!A637,'Customer Info'!A637:I1136,2,FALSE)</f>
        <v>#N/A</v>
      </c>
      <c r="H645" s="6" t="e">
        <f>VLOOKUP('Customer Info'!A637,'Customer Info'!A637:I1137,3,FALSE)</f>
        <v>#N/A</v>
      </c>
      <c r="I645" s="6" t="e">
        <f>VLOOKUP('Customer Info'!A637,'Customer Info'!A637:I1136,5,FALSE)</f>
        <v>#N/A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42</v>
      </c>
      <c r="R645" s="2" t="s">
        <v>28</v>
      </c>
      <c r="S645" s="9">
        <f t="shared" si="49"/>
        <v>0.02</v>
      </c>
    </row>
    <row r="646" spans="1:19" x14ac:dyDescent="0.25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e">
        <f>VLOOKUP('Customer Info'!A638,'Customer Info'!A638:I1137,2,FALSE)</f>
        <v>#N/A</v>
      </c>
      <c r="H646" s="6" t="e">
        <f>VLOOKUP('Customer Info'!A638,'Customer Info'!A638:I1138,3,FALSE)</f>
        <v>#N/A</v>
      </c>
      <c r="I646" s="6" t="e">
        <f>VLOOKUP('Customer Info'!A638,'Customer Info'!A638:I1137,5,FALSE)</f>
        <v>#N/A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774</v>
      </c>
      <c r="R646" s="2" t="s">
        <v>26</v>
      </c>
      <c r="S646" s="9">
        <f t="shared" si="49"/>
        <v>0.05</v>
      </c>
    </row>
    <row r="647" spans="1:19" x14ac:dyDescent="0.25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e">
        <f>VLOOKUP('Customer Info'!A639,'Customer Info'!A639:I1138,2,FALSE)</f>
        <v>#N/A</v>
      </c>
      <c r="H647" s="6" t="e">
        <f>VLOOKUP('Customer Info'!A639,'Customer Info'!A639:I1139,3,FALSE)</f>
        <v>#N/A</v>
      </c>
      <c r="I647" s="6" t="e">
        <f>VLOOKUP('Customer Info'!A639,'Customer Info'!A639:I1138,5,FALSE)</f>
        <v>#N/A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420</v>
      </c>
      <c r="R647" s="2" t="s">
        <v>28</v>
      </c>
      <c r="S647" s="9">
        <f t="shared" si="49"/>
        <v>0.05</v>
      </c>
    </row>
    <row r="648" spans="1:19" x14ac:dyDescent="0.25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e">
        <f>VLOOKUP('Customer Info'!A640,'Customer Info'!A640:I1139,2,FALSE)</f>
        <v>#N/A</v>
      </c>
      <c r="H648" s="6" t="e">
        <f>VLOOKUP('Customer Info'!A640,'Customer Info'!A640:I1140,3,FALSE)</f>
        <v>#N/A</v>
      </c>
      <c r="I648" s="6" t="e">
        <f>VLOOKUP('Customer Info'!A640,'Customer Info'!A640:I1139,5,FALSE)</f>
        <v>#N/A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257</v>
      </c>
      <c r="R648" s="2" t="s">
        <v>28</v>
      </c>
      <c r="S648" s="9">
        <f t="shared" si="49"/>
        <v>0.02</v>
      </c>
    </row>
    <row r="649" spans="1:19" x14ac:dyDescent="0.25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e">
        <f>VLOOKUP('Customer Info'!A641,'Customer Info'!A641:I1140,2,FALSE)</f>
        <v>#N/A</v>
      </c>
      <c r="H649" s="6" t="e">
        <f>VLOOKUP('Customer Info'!A641,'Customer Info'!A641:I1141,3,FALSE)</f>
        <v>#N/A</v>
      </c>
      <c r="I649" s="6" t="e">
        <f>VLOOKUP('Customer Info'!A641,'Customer Info'!A641:I1140,5,FALSE)</f>
        <v>#N/A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1512</v>
      </c>
      <c r="R649" s="2" t="s">
        <v>26</v>
      </c>
      <c r="S649" s="9">
        <f t="shared" si="49"/>
        <v>0.05</v>
      </c>
    </row>
    <row r="650" spans="1:19" x14ac:dyDescent="0.25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e">
        <f>VLOOKUP('Customer Info'!A642,'Customer Info'!A642:I1141,2,FALSE)</f>
        <v>#N/A</v>
      </c>
      <c r="H650" s="6" t="e">
        <f>VLOOKUP('Customer Info'!A642,'Customer Info'!A642:I1142,3,FALSE)</f>
        <v>#N/A</v>
      </c>
      <c r="I650" s="6" t="e">
        <f>VLOOKUP('Customer Info'!A642,'Customer Info'!A642:I1141,5,FALSE)</f>
        <v>#N/A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917</v>
      </c>
      <c r="R650" s="2" t="s">
        <v>28</v>
      </c>
      <c r="S650" s="9">
        <f t="shared" si="49"/>
        <v>0.05</v>
      </c>
    </row>
    <row r="651" spans="1:19" x14ac:dyDescent="0.25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e">
        <f>VLOOKUP('Customer Info'!A643,'Customer Info'!A643:I1142,2,FALSE)</f>
        <v>#N/A</v>
      </c>
      <c r="H651" s="6" t="e">
        <f>VLOOKUP('Customer Info'!A643,'Customer Info'!A643:I1143,3,FALSE)</f>
        <v>#N/A</v>
      </c>
      <c r="I651" s="6" t="e">
        <f>VLOOKUP('Customer Info'!A643,'Customer Info'!A643:I1142,5,FALSE)</f>
        <v>#N/A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8">
        <f t="shared" ref="P651:P714" si="52">N651+O651</f>
        <v>17060</v>
      </c>
      <c r="Q651" s="8">
        <f t="shared" ref="Q651:Q714" si="53">P651-M651</f>
        <v>1632</v>
      </c>
      <c r="R651" s="2" t="s">
        <v>26</v>
      </c>
      <c r="S651" s="9">
        <f t="shared" ref="S651:S714" si="54">VLOOKUP(P651,$T$2:$U$7,2,TRUE)</f>
        <v>0.05</v>
      </c>
    </row>
    <row r="652" spans="1:19" x14ac:dyDescent="0.25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e">
        <f>VLOOKUP('Customer Info'!A644,'Customer Info'!A644:I1143,2,FALSE)</f>
        <v>#N/A</v>
      </c>
      <c r="H652" s="6" t="e">
        <f>VLOOKUP('Customer Info'!A644,'Customer Info'!A644:I1144,3,FALSE)</f>
        <v>#N/A</v>
      </c>
      <c r="I652" s="6" t="e">
        <f>VLOOKUP('Customer Info'!A644,'Customer Info'!A644:I1143,5,FALSE)</f>
        <v>#N/A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30</v>
      </c>
      <c r="R652" s="2" t="s">
        <v>50</v>
      </c>
      <c r="S652" s="9">
        <f t="shared" si="54"/>
        <v>0.02</v>
      </c>
    </row>
    <row r="653" spans="1:19" x14ac:dyDescent="0.25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e">
        <f>VLOOKUP('Customer Info'!A645,'Customer Info'!A645:I1144,2,FALSE)</f>
        <v>#N/A</v>
      </c>
      <c r="H653" s="6" t="e">
        <f>VLOOKUP('Customer Info'!A645,'Customer Info'!A645:I1145,3,FALSE)</f>
        <v>#N/A</v>
      </c>
      <c r="I653" s="6" t="e">
        <f>VLOOKUP('Customer Info'!A645,'Customer Info'!A645:I1144,5,FALSE)</f>
        <v>#N/A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431</v>
      </c>
      <c r="R653" s="2" t="s">
        <v>28</v>
      </c>
      <c r="S653" s="9">
        <f t="shared" si="54"/>
        <v>0.05</v>
      </c>
    </row>
    <row r="654" spans="1:19" x14ac:dyDescent="0.25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e">
        <f>VLOOKUP('Customer Info'!A646,'Customer Info'!A646:I1145,2,FALSE)</f>
        <v>#N/A</v>
      </c>
      <c r="H654" s="6" t="e">
        <f>VLOOKUP('Customer Info'!A646,'Customer Info'!A646:I1146,3,FALSE)</f>
        <v>#N/A</v>
      </c>
      <c r="I654" s="6" t="e">
        <f>VLOOKUP('Customer Info'!A646,'Customer Info'!A646:I1145,5,FALSE)</f>
        <v>#N/A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576</v>
      </c>
      <c r="R654" s="2" t="s">
        <v>28</v>
      </c>
      <c r="S654" s="9">
        <f t="shared" si="54"/>
        <v>0.05</v>
      </c>
    </row>
    <row r="655" spans="1:19" x14ac:dyDescent="0.25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e">
        <f>VLOOKUP('Customer Info'!A647,'Customer Info'!A647:I1146,2,FALSE)</f>
        <v>#N/A</v>
      </c>
      <c r="H655" s="6" t="e">
        <f>VLOOKUP('Customer Info'!A647,'Customer Info'!A647:I1147,3,FALSE)</f>
        <v>#N/A</v>
      </c>
      <c r="I655" s="6" t="e">
        <f>VLOOKUP('Customer Info'!A647,'Customer Info'!A647:I1146,5,FALSE)</f>
        <v>#N/A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203</v>
      </c>
      <c r="R655" s="2" t="s">
        <v>28</v>
      </c>
      <c r="S655" s="9">
        <f t="shared" si="54"/>
        <v>0.02</v>
      </c>
    </row>
    <row r="656" spans="1:19" x14ac:dyDescent="0.25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e">
        <f>VLOOKUP('Customer Info'!A648,'Customer Info'!A648:I1147,2,FALSE)</f>
        <v>#N/A</v>
      </c>
      <c r="H656" s="6" t="e">
        <f>VLOOKUP('Customer Info'!A648,'Customer Info'!A648:I1148,3,FALSE)</f>
        <v>#N/A</v>
      </c>
      <c r="I656" s="6" t="e">
        <f>VLOOKUP('Customer Info'!A648,'Customer Info'!A648:I1147,5,FALSE)</f>
        <v>#N/A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175</v>
      </c>
      <c r="R656" s="2" t="s">
        <v>50</v>
      </c>
      <c r="S656" s="9">
        <f t="shared" si="54"/>
        <v>0.02</v>
      </c>
    </row>
    <row r="657" spans="1:19" x14ac:dyDescent="0.25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e">
        <f>VLOOKUP('Customer Info'!A649,'Customer Info'!A649:I1148,2,FALSE)</f>
        <v>#N/A</v>
      </c>
      <c r="H657" s="6" t="e">
        <f>VLOOKUP('Customer Info'!A649,'Customer Info'!A649:I1149,3,FALSE)</f>
        <v>#N/A</v>
      </c>
      <c r="I657" s="6" t="e">
        <f>VLOOKUP('Customer Info'!A649,'Customer Info'!A649:I1148,5,FALSE)</f>
        <v>#N/A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216</v>
      </c>
      <c r="R657" s="2" t="s">
        <v>28</v>
      </c>
      <c r="S657" s="9">
        <f t="shared" si="54"/>
        <v>0.02</v>
      </c>
    </row>
    <row r="658" spans="1:19" x14ac:dyDescent="0.25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e">
        <f>VLOOKUP('Customer Info'!A650,'Customer Info'!A650:I1149,2,FALSE)</f>
        <v>#N/A</v>
      </c>
      <c r="H658" s="6" t="e">
        <f>VLOOKUP('Customer Info'!A650,'Customer Info'!A650:I1150,3,FALSE)</f>
        <v>#N/A</v>
      </c>
      <c r="I658" s="6" t="e">
        <f>VLOOKUP('Customer Info'!A650,'Customer Info'!A650:I1149,5,FALSE)</f>
        <v>#N/A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66</v>
      </c>
      <c r="R658" s="2" t="s">
        <v>28</v>
      </c>
      <c r="S658" s="9">
        <f t="shared" si="54"/>
        <v>0.02</v>
      </c>
    </row>
    <row r="659" spans="1:19" x14ac:dyDescent="0.25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e">
        <f>VLOOKUP('Customer Info'!A651,'Customer Info'!A651:I1150,2,FALSE)</f>
        <v>#N/A</v>
      </c>
      <c r="H659" s="6" t="e">
        <f>VLOOKUP('Customer Info'!A651,'Customer Info'!A651:I1151,3,FALSE)</f>
        <v>#N/A</v>
      </c>
      <c r="I659" s="6" t="e">
        <f>VLOOKUP('Customer Info'!A651,'Customer Info'!A651:I1150,5,FALSE)</f>
        <v>#N/A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236</v>
      </c>
      <c r="R659" s="2" t="s">
        <v>50</v>
      </c>
      <c r="S659" s="9">
        <f t="shared" si="54"/>
        <v>0.02</v>
      </c>
    </row>
    <row r="660" spans="1:19" x14ac:dyDescent="0.25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e">
        <f>VLOOKUP('Customer Info'!A652,'Customer Info'!A652:I1151,2,FALSE)</f>
        <v>#N/A</v>
      </c>
      <c r="H660" s="6" t="e">
        <f>VLOOKUP('Customer Info'!A652,'Customer Info'!A652:I1152,3,FALSE)</f>
        <v>#N/A</v>
      </c>
      <c r="I660" s="6" t="e">
        <f>VLOOKUP('Customer Info'!A652,'Customer Info'!A652:I1151,5,FALSE)</f>
        <v>#N/A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697</v>
      </c>
      <c r="R660" s="2" t="s">
        <v>28</v>
      </c>
      <c r="S660" s="9">
        <f t="shared" si="54"/>
        <v>0.05</v>
      </c>
    </row>
    <row r="661" spans="1:19" x14ac:dyDescent="0.25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e">
        <f>VLOOKUP('Customer Info'!A653,'Customer Info'!A653:I1152,2,FALSE)</f>
        <v>#N/A</v>
      </c>
      <c r="H661" s="6" t="e">
        <f>VLOOKUP('Customer Info'!A653,'Customer Info'!A653:I1153,3,FALSE)</f>
        <v>#N/A</v>
      </c>
      <c r="I661" s="6" t="e">
        <f>VLOOKUP('Customer Info'!A653,'Customer Info'!A653:I1152,5,FALSE)</f>
        <v>#N/A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877</v>
      </c>
      <c r="R661" s="2" t="s">
        <v>28</v>
      </c>
      <c r="S661" s="9">
        <f t="shared" si="54"/>
        <v>0.05</v>
      </c>
    </row>
    <row r="662" spans="1:19" x14ac:dyDescent="0.25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e">
        <f>VLOOKUP('Customer Info'!A654,'Customer Info'!A654:I1153,2,FALSE)</f>
        <v>#N/A</v>
      </c>
      <c r="H662" s="6" t="e">
        <f>VLOOKUP('Customer Info'!A654,'Customer Info'!A654:I1154,3,FALSE)</f>
        <v>#N/A</v>
      </c>
      <c r="I662" s="6" t="e">
        <f>VLOOKUP('Customer Info'!A654,'Customer Info'!A654:I1153,5,FALSE)</f>
        <v>#N/A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505</v>
      </c>
      <c r="R662" s="2" t="s">
        <v>26</v>
      </c>
      <c r="S662" s="9">
        <f t="shared" si="54"/>
        <v>0.05</v>
      </c>
    </row>
    <row r="663" spans="1:19" x14ac:dyDescent="0.25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e">
        <f>VLOOKUP('Customer Info'!A655,'Customer Info'!A655:I1154,2,FALSE)</f>
        <v>#N/A</v>
      </c>
      <c r="H663" s="6" t="e">
        <f>VLOOKUP('Customer Info'!A655,'Customer Info'!A655:I1155,3,FALSE)</f>
        <v>#N/A</v>
      </c>
      <c r="I663" s="6" t="e">
        <f>VLOOKUP('Customer Info'!A655,'Customer Info'!A655:I1154,5,FALSE)</f>
        <v>#N/A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1241</v>
      </c>
      <c r="R663" s="2" t="s">
        <v>50</v>
      </c>
      <c r="S663" s="9">
        <f t="shared" si="54"/>
        <v>7.0000000000000007E-2</v>
      </c>
    </row>
    <row r="664" spans="1:19" x14ac:dyDescent="0.25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e">
        <f>VLOOKUP('Customer Info'!A656,'Customer Info'!A656:I1155,2,FALSE)</f>
        <v>#N/A</v>
      </c>
      <c r="H664" s="6" t="e">
        <f>VLOOKUP('Customer Info'!A656,'Customer Info'!A656:I1156,3,FALSE)</f>
        <v>#N/A</v>
      </c>
      <c r="I664" s="6" t="e">
        <f>VLOOKUP('Customer Info'!A656,'Customer Info'!A656:I1155,5,FALSE)</f>
        <v>#N/A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18</v>
      </c>
      <c r="R664" s="2" t="s">
        <v>26</v>
      </c>
      <c r="S664" s="9">
        <f t="shared" si="54"/>
        <v>0.02</v>
      </c>
    </row>
    <row r="665" spans="1:19" x14ac:dyDescent="0.25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e">
        <f>VLOOKUP('Customer Info'!A657,'Customer Info'!A657:I1156,2,FALSE)</f>
        <v>#N/A</v>
      </c>
      <c r="H665" s="6" t="e">
        <f>VLOOKUP('Customer Info'!A657,'Customer Info'!A657:I1157,3,FALSE)</f>
        <v>#N/A</v>
      </c>
      <c r="I665" s="6" t="e">
        <f>VLOOKUP('Customer Info'!A657,'Customer Info'!A657:I1156,5,FALSE)</f>
        <v>#N/A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343</v>
      </c>
      <c r="R665" s="2" t="s">
        <v>28</v>
      </c>
      <c r="S665" s="9">
        <f t="shared" si="54"/>
        <v>0.05</v>
      </c>
    </row>
    <row r="666" spans="1:19" x14ac:dyDescent="0.25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e">
        <f>VLOOKUP('Customer Info'!A658,'Customer Info'!A658:I1157,2,FALSE)</f>
        <v>#N/A</v>
      </c>
      <c r="H666" s="6" t="e">
        <f>VLOOKUP('Customer Info'!A658,'Customer Info'!A658:I1158,3,FALSE)</f>
        <v>#N/A</v>
      </c>
      <c r="I666" s="6" t="e">
        <f>VLOOKUP('Customer Info'!A658,'Customer Info'!A658:I1157,5,FALSE)</f>
        <v>#N/A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397</v>
      </c>
      <c r="R666" s="2" t="s">
        <v>28</v>
      </c>
      <c r="S666" s="9">
        <f t="shared" si="54"/>
        <v>0.02</v>
      </c>
    </row>
    <row r="667" spans="1:19" x14ac:dyDescent="0.25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e">
        <f>VLOOKUP('Customer Info'!A659,'Customer Info'!A659:I1158,2,FALSE)</f>
        <v>#N/A</v>
      </c>
      <c r="H667" s="6" t="e">
        <f>VLOOKUP('Customer Info'!A659,'Customer Info'!A659:I1159,3,FALSE)</f>
        <v>#N/A</v>
      </c>
      <c r="I667" s="6" t="e">
        <f>VLOOKUP('Customer Info'!A659,'Customer Info'!A659:I1158,5,FALSE)</f>
        <v>#N/A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93</v>
      </c>
      <c r="R667" s="2" t="s">
        <v>50</v>
      </c>
      <c r="S667" s="9">
        <f t="shared" si="54"/>
        <v>0.02</v>
      </c>
    </row>
    <row r="668" spans="1:19" x14ac:dyDescent="0.25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e">
        <f>VLOOKUP('Customer Info'!A660,'Customer Info'!A660:I1159,2,FALSE)</f>
        <v>#N/A</v>
      </c>
      <c r="H668" s="6" t="e">
        <f>VLOOKUP('Customer Info'!A660,'Customer Info'!A660:I1160,3,FALSE)</f>
        <v>#N/A</v>
      </c>
      <c r="I668" s="6" t="e">
        <f>VLOOKUP('Customer Info'!A660,'Customer Info'!A660:I1159,5,FALSE)</f>
        <v>#N/A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386</v>
      </c>
      <c r="R668" s="2" t="s">
        <v>28</v>
      </c>
      <c r="S668" s="9">
        <f t="shared" si="54"/>
        <v>0.05</v>
      </c>
    </row>
    <row r="669" spans="1:19" x14ac:dyDescent="0.25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e">
        <f>VLOOKUP('Customer Info'!A661,'Customer Info'!A661:I1160,2,FALSE)</f>
        <v>#N/A</v>
      </c>
      <c r="H669" s="6" t="e">
        <f>VLOOKUP('Customer Info'!A661,'Customer Info'!A661:I1161,3,FALSE)</f>
        <v>#N/A</v>
      </c>
      <c r="I669" s="6" t="e">
        <f>VLOOKUP('Customer Info'!A661,'Customer Info'!A661:I1160,5,FALSE)</f>
        <v>#N/A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1331</v>
      </c>
      <c r="R669" s="2" t="s">
        <v>26</v>
      </c>
      <c r="S669" s="9">
        <f t="shared" si="54"/>
        <v>0.05</v>
      </c>
    </row>
    <row r="670" spans="1:19" x14ac:dyDescent="0.25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e">
        <f>VLOOKUP('Customer Info'!A662,'Customer Info'!A662:I1161,2,FALSE)</f>
        <v>#N/A</v>
      </c>
      <c r="H670" s="6" t="e">
        <f>VLOOKUP('Customer Info'!A662,'Customer Info'!A662:I1162,3,FALSE)</f>
        <v>#N/A</v>
      </c>
      <c r="I670" s="6" t="e">
        <f>VLOOKUP('Customer Info'!A662,'Customer Info'!A662:I1161,5,FALSE)</f>
        <v>#N/A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6297</v>
      </c>
      <c r="R670" s="2" t="s">
        <v>28</v>
      </c>
      <c r="S670" s="9">
        <f t="shared" si="54"/>
        <v>0.09</v>
      </c>
    </row>
    <row r="671" spans="1:19" x14ac:dyDescent="0.25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e">
        <f>VLOOKUP('Customer Info'!A663,'Customer Info'!A663:I1162,2,FALSE)</f>
        <v>#N/A</v>
      </c>
      <c r="H671" s="6" t="e">
        <f>VLOOKUP('Customer Info'!A663,'Customer Info'!A663:I1163,3,FALSE)</f>
        <v>#N/A</v>
      </c>
      <c r="I671" s="6" t="e">
        <f>VLOOKUP('Customer Info'!A663,'Customer Info'!A663:I1162,5,FALSE)</f>
        <v>#N/A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57</v>
      </c>
      <c r="R671" s="2" t="s">
        <v>28</v>
      </c>
      <c r="S671" s="9">
        <f t="shared" si="54"/>
        <v>0.02</v>
      </c>
    </row>
    <row r="672" spans="1:19" x14ac:dyDescent="0.25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e">
        <f>VLOOKUP('Customer Info'!A664,'Customer Info'!A664:I1163,2,FALSE)</f>
        <v>#N/A</v>
      </c>
      <c r="H672" s="6" t="e">
        <f>VLOOKUP('Customer Info'!A664,'Customer Info'!A664:I1164,3,FALSE)</f>
        <v>#N/A</v>
      </c>
      <c r="I672" s="6" t="e">
        <f>VLOOKUP('Customer Info'!A664,'Customer Info'!A664:I1163,5,FALSE)</f>
        <v>#N/A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379</v>
      </c>
      <c r="R672" s="2" t="s">
        <v>28</v>
      </c>
      <c r="S672" s="9">
        <f t="shared" si="54"/>
        <v>0.05</v>
      </c>
    </row>
    <row r="673" spans="1:19" x14ac:dyDescent="0.25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e">
        <f>VLOOKUP('Customer Info'!A665,'Customer Info'!A665:I1164,2,FALSE)</f>
        <v>#N/A</v>
      </c>
      <c r="H673" s="6" t="e">
        <f>VLOOKUP('Customer Info'!A665,'Customer Info'!A665:I1165,3,FALSE)</f>
        <v>#N/A</v>
      </c>
      <c r="I673" s="6" t="e">
        <f>VLOOKUP('Customer Info'!A665,'Customer Info'!A665:I1164,5,FALSE)</f>
        <v>#N/A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114</v>
      </c>
      <c r="R673" s="2" t="s">
        <v>50</v>
      </c>
      <c r="S673" s="9">
        <f t="shared" si="54"/>
        <v>0.02</v>
      </c>
    </row>
    <row r="674" spans="1:19" x14ac:dyDescent="0.25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e">
        <f>VLOOKUP('Customer Info'!A666,'Customer Info'!A666:I1165,2,FALSE)</f>
        <v>#N/A</v>
      </c>
      <c r="H674" s="6" t="e">
        <f>VLOOKUP('Customer Info'!A666,'Customer Info'!A666:I1166,3,FALSE)</f>
        <v>#N/A</v>
      </c>
      <c r="I674" s="6" t="e">
        <f>VLOOKUP('Customer Info'!A666,'Customer Info'!A666:I1165,5,FALSE)</f>
        <v>#N/A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3264</v>
      </c>
      <c r="R674" s="2" t="s">
        <v>26</v>
      </c>
      <c r="S674" s="9">
        <f t="shared" si="54"/>
        <v>0.09</v>
      </c>
    </row>
    <row r="675" spans="1:19" x14ac:dyDescent="0.25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e">
        <f>VLOOKUP('Customer Info'!A667,'Customer Info'!A667:I1166,2,FALSE)</f>
        <v>#N/A</v>
      </c>
      <c r="H675" s="6" t="e">
        <f>VLOOKUP('Customer Info'!A667,'Customer Info'!A667:I1167,3,FALSE)</f>
        <v>#N/A</v>
      </c>
      <c r="I675" s="6" t="e">
        <f>VLOOKUP('Customer Info'!A667,'Customer Info'!A667:I1166,5,FALSE)</f>
        <v>#N/A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167</v>
      </c>
      <c r="R675" s="2" t="s">
        <v>50</v>
      </c>
      <c r="S675" s="9">
        <f t="shared" si="54"/>
        <v>0.02</v>
      </c>
    </row>
    <row r="676" spans="1:19" x14ac:dyDescent="0.25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e">
        <f>VLOOKUP('Customer Info'!A668,'Customer Info'!A668:I1167,2,FALSE)</f>
        <v>#N/A</v>
      </c>
      <c r="H676" s="6" t="e">
        <f>VLOOKUP('Customer Info'!A668,'Customer Info'!A668:I1168,3,FALSE)</f>
        <v>#N/A</v>
      </c>
      <c r="I676" s="6" t="e">
        <f>VLOOKUP('Customer Info'!A668,'Customer Info'!A668:I1167,5,FALSE)</f>
        <v>#N/A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1551</v>
      </c>
      <c r="R676" s="2" t="s">
        <v>28</v>
      </c>
      <c r="S676" s="9">
        <f t="shared" si="54"/>
        <v>0.05</v>
      </c>
    </row>
    <row r="677" spans="1:19" x14ac:dyDescent="0.25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e">
        <f>VLOOKUP('Customer Info'!A669,'Customer Info'!A669:I1168,2,FALSE)</f>
        <v>#N/A</v>
      </c>
      <c r="H677" s="6" t="e">
        <f>VLOOKUP('Customer Info'!A669,'Customer Info'!A669:I1169,3,FALSE)</f>
        <v>#N/A</v>
      </c>
      <c r="I677" s="6" t="e">
        <f>VLOOKUP('Customer Info'!A669,'Customer Info'!A669:I1168,5,FALSE)</f>
        <v>#N/A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296</v>
      </c>
      <c r="R677" s="2" t="s">
        <v>28</v>
      </c>
      <c r="S677" s="9">
        <f t="shared" si="54"/>
        <v>0.05</v>
      </c>
    </row>
    <row r="678" spans="1:19" x14ac:dyDescent="0.25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e">
        <f>VLOOKUP('Customer Info'!A670,'Customer Info'!A670:I1169,2,FALSE)</f>
        <v>#N/A</v>
      </c>
      <c r="H678" s="6" t="e">
        <f>VLOOKUP('Customer Info'!A670,'Customer Info'!A670:I1170,3,FALSE)</f>
        <v>#N/A</v>
      </c>
      <c r="I678" s="6" t="e">
        <f>VLOOKUP('Customer Info'!A670,'Customer Info'!A670:I1169,5,FALSE)</f>
        <v>#N/A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224</v>
      </c>
      <c r="R678" s="2" t="s">
        <v>26</v>
      </c>
      <c r="S678" s="9">
        <f t="shared" si="54"/>
        <v>0.02</v>
      </c>
    </row>
    <row r="679" spans="1:19" x14ac:dyDescent="0.25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e">
        <f>VLOOKUP('Customer Info'!A671,'Customer Info'!A671:I1170,2,FALSE)</f>
        <v>#N/A</v>
      </c>
      <c r="H679" s="6" t="e">
        <f>VLOOKUP('Customer Info'!A671,'Customer Info'!A671:I1171,3,FALSE)</f>
        <v>#N/A</v>
      </c>
      <c r="I679" s="6" t="e">
        <f>VLOOKUP('Customer Info'!A671,'Customer Info'!A671:I1170,5,FALSE)</f>
        <v>#N/A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703</v>
      </c>
      <c r="R679" s="2" t="s">
        <v>28</v>
      </c>
      <c r="S679" s="9">
        <f t="shared" si="54"/>
        <v>0.05</v>
      </c>
    </row>
    <row r="680" spans="1:19" x14ac:dyDescent="0.25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e">
        <f>VLOOKUP('Customer Info'!A672,'Customer Info'!A672:I1171,2,FALSE)</f>
        <v>#N/A</v>
      </c>
      <c r="H680" s="6" t="e">
        <f>VLOOKUP('Customer Info'!A672,'Customer Info'!A672:I1172,3,FALSE)</f>
        <v>#N/A</v>
      </c>
      <c r="I680" s="6" t="e">
        <f>VLOOKUP('Customer Info'!A672,'Customer Info'!A672:I1171,5,FALSE)</f>
        <v>#N/A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18</v>
      </c>
      <c r="R680" s="2" t="s">
        <v>28</v>
      </c>
      <c r="S680" s="9">
        <f t="shared" si="54"/>
        <v>0.02</v>
      </c>
    </row>
    <row r="681" spans="1:19" x14ac:dyDescent="0.25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e">
        <f>VLOOKUP('Customer Info'!A673,'Customer Info'!A673:I1172,2,FALSE)</f>
        <v>#N/A</v>
      </c>
      <c r="H681" s="6" t="e">
        <f>VLOOKUP('Customer Info'!A673,'Customer Info'!A673:I1173,3,FALSE)</f>
        <v>#N/A</v>
      </c>
      <c r="I681" s="6" t="e">
        <f>VLOOKUP('Customer Info'!A673,'Customer Info'!A673:I1172,5,FALSE)</f>
        <v>#N/A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853</v>
      </c>
      <c r="R681" s="2" t="s">
        <v>28</v>
      </c>
      <c r="S681" s="9">
        <f t="shared" si="54"/>
        <v>0.05</v>
      </c>
    </row>
    <row r="682" spans="1:19" x14ac:dyDescent="0.25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e">
        <f>VLOOKUP('Customer Info'!A674,'Customer Info'!A674:I1173,2,FALSE)</f>
        <v>#N/A</v>
      </c>
      <c r="H682" s="6" t="e">
        <f>VLOOKUP('Customer Info'!A674,'Customer Info'!A674:I1174,3,FALSE)</f>
        <v>#N/A</v>
      </c>
      <c r="I682" s="6" t="e">
        <f>VLOOKUP('Customer Info'!A674,'Customer Info'!A674:I1173,5,FALSE)</f>
        <v>#N/A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1519</v>
      </c>
      <c r="R682" s="2" t="s">
        <v>56</v>
      </c>
      <c r="S682" s="9">
        <f t="shared" si="54"/>
        <v>0.05</v>
      </c>
    </row>
    <row r="683" spans="1:19" x14ac:dyDescent="0.25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e">
        <f>VLOOKUP('Customer Info'!A675,'Customer Info'!A675:I1174,2,FALSE)</f>
        <v>#N/A</v>
      </c>
      <c r="H683" s="6" t="e">
        <f>VLOOKUP('Customer Info'!A675,'Customer Info'!A675:I1175,3,FALSE)</f>
        <v>#N/A</v>
      </c>
      <c r="I683" s="6" t="e">
        <f>VLOOKUP('Customer Info'!A675,'Customer Info'!A675:I1174,5,FALSE)</f>
        <v>#N/A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20</v>
      </c>
      <c r="R683" s="2" t="s">
        <v>50</v>
      </c>
      <c r="S683" s="9">
        <f t="shared" si="54"/>
        <v>0.02</v>
      </c>
    </row>
    <row r="684" spans="1:19" x14ac:dyDescent="0.25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e">
        <f>VLOOKUP('Customer Info'!A676,'Customer Info'!A676:I1175,2,FALSE)</f>
        <v>#N/A</v>
      </c>
      <c r="H684" s="6" t="e">
        <f>VLOOKUP('Customer Info'!A676,'Customer Info'!A676:I1176,3,FALSE)</f>
        <v>#N/A</v>
      </c>
      <c r="I684" s="6" t="e">
        <f>VLOOKUP('Customer Info'!A676,'Customer Info'!A676:I1175,5,FALSE)</f>
        <v>#N/A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20</v>
      </c>
      <c r="R684" s="2" t="s">
        <v>28</v>
      </c>
      <c r="S684" s="9">
        <f t="shared" si="54"/>
        <v>0.02</v>
      </c>
    </row>
    <row r="685" spans="1:19" x14ac:dyDescent="0.25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e">
        <f>VLOOKUP('Customer Info'!A677,'Customer Info'!A677:I1176,2,FALSE)</f>
        <v>#N/A</v>
      </c>
      <c r="H685" s="6" t="e">
        <f>VLOOKUP('Customer Info'!A677,'Customer Info'!A677:I1177,3,FALSE)</f>
        <v>#N/A</v>
      </c>
      <c r="I685" s="6" t="e">
        <f>VLOOKUP('Customer Info'!A677,'Customer Info'!A677:I1176,5,FALSE)</f>
        <v>#N/A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1732</v>
      </c>
      <c r="R685" s="2" t="s">
        <v>26</v>
      </c>
      <c r="S685" s="9">
        <f t="shared" si="54"/>
        <v>0.05</v>
      </c>
    </row>
    <row r="686" spans="1:19" x14ac:dyDescent="0.25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e">
        <f>VLOOKUP('Customer Info'!A678,'Customer Info'!A678:I1177,2,FALSE)</f>
        <v>#N/A</v>
      </c>
      <c r="H686" s="6" t="e">
        <f>VLOOKUP('Customer Info'!A678,'Customer Info'!A678:I1178,3,FALSE)</f>
        <v>#N/A</v>
      </c>
      <c r="I686" s="6" t="e">
        <f>VLOOKUP('Customer Info'!A678,'Customer Info'!A678:I1177,5,FALSE)</f>
        <v>#N/A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553</v>
      </c>
      <c r="R686" s="2" t="s">
        <v>28</v>
      </c>
      <c r="S686" s="9">
        <f t="shared" si="54"/>
        <v>0.02</v>
      </c>
    </row>
    <row r="687" spans="1:19" x14ac:dyDescent="0.25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e">
        <f>VLOOKUP('Customer Info'!A679,'Customer Info'!A679:I1178,2,FALSE)</f>
        <v>#N/A</v>
      </c>
      <c r="H687" s="6" t="e">
        <f>VLOOKUP('Customer Info'!A679,'Customer Info'!A679:I1179,3,FALSE)</f>
        <v>#N/A</v>
      </c>
      <c r="I687" s="6" t="e">
        <f>VLOOKUP('Customer Info'!A679,'Customer Info'!A679:I1178,5,FALSE)</f>
        <v>#N/A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158</v>
      </c>
      <c r="R687" s="2" t="s">
        <v>50</v>
      </c>
      <c r="S687" s="9">
        <f t="shared" si="54"/>
        <v>0.02</v>
      </c>
    </row>
    <row r="688" spans="1:19" x14ac:dyDescent="0.25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e">
        <f>VLOOKUP('Customer Info'!A680,'Customer Info'!A680:I1179,2,FALSE)</f>
        <v>#N/A</v>
      </c>
      <c r="H688" s="6" t="e">
        <f>VLOOKUP('Customer Info'!A680,'Customer Info'!A680:I1180,3,FALSE)</f>
        <v>#N/A</v>
      </c>
      <c r="I688" s="6" t="e">
        <f>VLOOKUP('Customer Info'!A680,'Customer Info'!A680:I1179,5,FALSE)</f>
        <v>#N/A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332</v>
      </c>
      <c r="R688" s="2" t="s">
        <v>28</v>
      </c>
      <c r="S688" s="9">
        <f t="shared" si="54"/>
        <v>0.05</v>
      </c>
    </row>
    <row r="689" spans="1:19" x14ac:dyDescent="0.25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e">
        <f>VLOOKUP('Customer Info'!A681,'Customer Info'!A681:I1180,2,FALSE)</f>
        <v>#N/A</v>
      </c>
      <c r="H689" s="6" t="e">
        <f>VLOOKUP('Customer Info'!A681,'Customer Info'!A681:I1181,3,FALSE)</f>
        <v>#N/A</v>
      </c>
      <c r="I689" s="6" t="e">
        <f>VLOOKUP('Customer Info'!A681,'Customer Info'!A681:I1180,5,FALSE)</f>
        <v>#N/A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217</v>
      </c>
      <c r="R689" s="2" t="s">
        <v>50</v>
      </c>
      <c r="S689" s="9">
        <f t="shared" si="54"/>
        <v>0.05</v>
      </c>
    </row>
    <row r="690" spans="1:19" x14ac:dyDescent="0.25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e">
        <f>VLOOKUP('Customer Info'!A682,'Customer Info'!A682:I1181,2,FALSE)</f>
        <v>#N/A</v>
      </c>
      <c r="H690" s="6" t="e">
        <f>VLOOKUP('Customer Info'!A682,'Customer Info'!A682:I1182,3,FALSE)</f>
        <v>#N/A</v>
      </c>
      <c r="I690" s="6" t="e">
        <f>VLOOKUP('Customer Info'!A682,'Customer Info'!A682:I1181,5,FALSE)</f>
        <v>#N/A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1471</v>
      </c>
      <c r="R690" s="2" t="s">
        <v>26</v>
      </c>
      <c r="S690" s="9">
        <f t="shared" si="54"/>
        <v>7.0000000000000007E-2</v>
      </c>
    </row>
    <row r="691" spans="1:19" x14ac:dyDescent="0.25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e">
        <f>VLOOKUP('Customer Info'!A683,'Customer Info'!A683:I1182,2,FALSE)</f>
        <v>#N/A</v>
      </c>
      <c r="H691" s="6" t="e">
        <f>VLOOKUP('Customer Info'!A683,'Customer Info'!A683:I1183,3,FALSE)</f>
        <v>#N/A</v>
      </c>
      <c r="I691" s="6" t="e">
        <f>VLOOKUP('Customer Info'!A683,'Customer Info'!A683:I1182,5,FALSE)</f>
        <v>#N/A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160</v>
      </c>
      <c r="R691" s="2" t="s">
        <v>28</v>
      </c>
      <c r="S691" s="9">
        <f t="shared" si="54"/>
        <v>0.02</v>
      </c>
    </row>
    <row r="692" spans="1:19" x14ac:dyDescent="0.25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e">
        <f>VLOOKUP('Customer Info'!A684,'Customer Info'!A684:I1183,2,FALSE)</f>
        <v>#N/A</v>
      </c>
      <c r="H692" s="6" t="e">
        <f>VLOOKUP('Customer Info'!A684,'Customer Info'!A684:I1184,3,FALSE)</f>
        <v>#N/A</v>
      </c>
      <c r="I692" s="6" t="e">
        <f>VLOOKUP('Customer Info'!A684,'Customer Info'!A684:I1183,5,FALSE)</f>
        <v>#N/A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587</v>
      </c>
      <c r="R692" s="2" t="s">
        <v>28</v>
      </c>
      <c r="S692" s="9">
        <f t="shared" si="54"/>
        <v>0.05</v>
      </c>
    </row>
    <row r="693" spans="1:19" x14ac:dyDescent="0.25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e">
        <f>VLOOKUP('Customer Info'!A685,'Customer Info'!A685:I1184,2,FALSE)</f>
        <v>#N/A</v>
      </c>
      <c r="H693" s="6" t="e">
        <f>VLOOKUP('Customer Info'!A685,'Customer Info'!A685:I1185,3,FALSE)</f>
        <v>#N/A</v>
      </c>
      <c r="I693" s="6" t="e">
        <f>VLOOKUP('Customer Info'!A685,'Customer Info'!A685:I1184,5,FALSE)</f>
        <v>#N/A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243</v>
      </c>
      <c r="R693" s="2" t="s">
        <v>28</v>
      </c>
      <c r="S693" s="9">
        <f t="shared" si="54"/>
        <v>0.02</v>
      </c>
    </row>
    <row r="694" spans="1:19" x14ac:dyDescent="0.25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e">
        <f>VLOOKUP('Customer Info'!A686,'Customer Info'!A686:I1185,2,FALSE)</f>
        <v>#N/A</v>
      </c>
      <c r="H694" s="6" t="e">
        <f>VLOOKUP('Customer Info'!A686,'Customer Info'!A686:I1186,3,FALSE)</f>
        <v>#N/A</v>
      </c>
      <c r="I694" s="6" t="e">
        <f>VLOOKUP('Customer Info'!A686,'Customer Info'!A686:I1185,5,FALSE)</f>
        <v>#N/A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186</v>
      </c>
      <c r="R694" s="2" t="s">
        <v>50</v>
      </c>
      <c r="S694" s="9">
        <f t="shared" si="54"/>
        <v>0.02</v>
      </c>
    </row>
    <row r="695" spans="1:19" x14ac:dyDescent="0.25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e">
        <f>VLOOKUP('Customer Info'!A687,'Customer Info'!A687:I1186,2,FALSE)</f>
        <v>#N/A</v>
      </c>
      <c r="H695" s="6" t="e">
        <f>VLOOKUP('Customer Info'!A687,'Customer Info'!A687:I1187,3,FALSE)</f>
        <v>#N/A</v>
      </c>
      <c r="I695" s="6" t="e">
        <f>VLOOKUP('Customer Info'!A687,'Customer Info'!A687:I1186,5,FALSE)</f>
        <v>#N/A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69</v>
      </c>
      <c r="R695" s="2" t="s">
        <v>28</v>
      </c>
      <c r="S695" s="9">
        <f t="shared" si="54"/>
        <v>0.02</v>
      </c>
    </row>
    <row r="696" spans="1:19" x14ac:dyDescent="0.25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e">
        <f>VLOOKUP('Customer Info'!A688,'Customer Info'!A688:I1187,2,FALSE)</f>
        <v>#N/A</v>
      </c>
      <c r="H696" s="6" t="e">
        <f>VLOOKUP('Customer Info'!A688,'Customer Info'!A688:I1188,3,FALSE)</f>
        <v>#N/A</v>
      </c>
      <c r="I696" s="6" t="e">
        <f>VLOOKUP('Customer Info'!A688,'Customer Info'!A688:I1187,5,FALSE)</f>
        <v>#N/A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103</v>
      </c>
      <c r="R696" s="2" t="s">
        <v>26</v>
      </c>
      <c r="S696" s="9">
        <f t="shared" si="54"/>
        <v>0.02</v>
      </c>
    </row>
    <row r="697" spans="1:19" x14ac:dyDescent="0.25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e">
        <f>VLOOKUP('Customer Info'!A689,'Customer Info'!A689:I1188,2,FALSE)</f>
        <v>#N/A</v>
      </c>
      <c r="H697" s="6" t="e">
        <f>VLOOKUP('Customer Info'!A689,'Customer Info'!A689:I1189,3,FALSE)</f>
        <v>#N/A</v>
      </c>
      <c r="I697" s="6" t="e">
        <f>VLOOKUP('Customer Info'!A689,'Customer Info'!A689:I1188,5,FALSE)</f>
        <v>#N/A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322</v>
      </c>
      <c r="R697" s="2" t="s">
        <v>28</v>
      </c>
      <c r="S697" s="9">
        <f t="shared" si="54"/>
        <v>0.05</v>
      </c>
    </row>
    <row r="698" spans="1:19" x14ac:dyDescent="0.25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e">
        <f>VLOOKUP('Customer Info'!A690,'Customer Info'!A690:I1189,2,FALSE)</f>
        <v>#N/A</v>
      </c>
      <c r="H698" s="6" t="e">
        <f>VLOOKUP('Customer Info'!A690,'Customer Info'!A690:I1190,3,FALSE)</f>
        <v>#N/A</v>
      </c>
      <c r="I698" s="6" t="e">
        <f>VLOOKUP('Customer Info'!A690,'Customer Info'!A690:I1189,5,FALSE)</f>
        <v>#N/A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3445</v>
      </c>
      <c r="R698" s="2" t="s">
        <v>28</v>
      </c>
      <c r="S698" s="9">
        <f t="shared" si="54"/>
        <v>7.0000000000000007E-2</v>
      </c>
    </row>
    <row r="699" spans="1:19" x14ac:dyDescent="0.25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e">
        <f>VLOOKUP('Customer Info'!A691,'Customer Info'!A691:I1190,2,FALSE)</f>
        <v>#N/A</v>
      </c>
      <c r="H699" s="6" t="e">
        <f>VLOOKUP('Customer Info'!A691,'Customer Info'!A691:I1191,3,FALSE)</f>
        <v>#N/A</v>
      </c>
      <c r="I699" s="6" t="e">
        <f>VLOOKUP('Customer Info'!A691,'Customer Info'!A691:I1190,5,FALSE)</f>
        <v>#N/A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130</v>
      </c>
      <c r="R699" s="2" t="s">
        <v>28</v>
      </c>
      <c r="S699" s="9">
        <f t="shared" si="54"/>
        <v>0.02</v>
      </c>
    </row>
    <row r="700" spans="1:19" x14ac:dyDescent="0.25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e">
        <f>VLOOKUP('Customer Info'!A692,'Customer Info'!A692:I1191,2,FALSE)</f>
        <v>#N/A</v>
      </c>
      <c r="H700" s="6" t="e">
        <f>VLOOKUP('Customer Info'!A692,'Customer Info'!A692:I1192,3,FALSE)</f>
        <v>#N/A</v>
      </c>
      <c r="I700" s="6" t="e">
        <f>VLOOKUP('Customer Info'!A692,'Customer Info'!A692:I1191,5,FALSE)</f>
        <v>#N/A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884</v>
      </c>
      <c r="R700" s="2" t="s">
        <v>28</v>
      </c>
      <c r="S700" s="9">
        <f t="shared" si="54"/>
        <v>0.05</v>
      </c>
    </row>
    <row r="701" spans="1:19" x14ac:dyDescent="0.25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e">
        <f>VLOOKUP('Customer Info'!A693,'Customer Info'!A693:I1192,2,FALSE)</f>
        <v>#N/A</v>
      </c>
      <c r="H701" s="6" t="e">
        <f>VLOOKUP('Customer Info'!A693,'Customer Info'!A693:I1193,3,FALSE)</f>
        <v>#N/A</v>
      </c>
      <c r="I701" s="6" t="e">
        <f>VLOOKUP('Customer Info'!A693,'Customer Info'!A693:I1192,5,FALSE)</f>
        <v>#N/A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1056</v>
      </c>
      <c r="R701" s="2" t="s">
        <v>50</v>
      </c>
      <c r="S701" s="9">
        <f t="shared" si="54"/>
        <v>0.05</v>
      </c>
    </row>
    <row r="702" spans="1:19" x14ac:dyDescent="0.25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e">
        <f>VLOOKUP('Customer Info'!A694,'Customer Info'!A694:I1193,2,FALSE)</f>
        <v>#N/A</v>
      </c>
      <c r="H702" s="6" t="e">
        <f>VLOOKUP('Customer Info'!A694,'Customer Info'!A694:I1194,3,FALSE)</f>
        <v>#N/A</v>
      </c>
      <c r="I702" s="6" t="e">
        <f>VLOOKUP('Customer Info'!A694,'Customer Info'!A694:I1193,5,FALSE)</f>
        <v>#N/A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82</v>
      </c>
      <c r="R702" s="2" t="s">
        <v>28</v>
      </c>
      <c r="S702" s="9">
        <f t="shared" si="54"/>
        <v>0.02</v>
      </c>
    </row>
    <row r="703" spans="1:19" x14ac:dyDescent="0.25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e">
        <f>VLOOKUP('Customer Info'!A695,'Customer Info'!A695:I1194,2,FALSE)</f>
        <v>#N/A</v>
      </c>
      <c r="H703" s="6" t="e">
        <f>VLOOKUP('Customer Info'!A695,'Customer Info'!A695:I1195,3,FALSE)</f>
        <v>#N/A</v>
      </c>
      <c r="I703" s="6" t="e">
        <f>VLOOKUP('Customer Info'!A695,'Customer Info'!A695:I1194,5,FALSE)</f>
        <v>#N/A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820</v>
      </c>
      <c r="R703" s="2" t="s">
        <v>28</v>
      </c>
      <c r="S703" s="9">
        <f t="shared" si="54"/>
        <v>0.05</v>
      </c>
    </row>
    <row r="704" spans="1:19" x14ac:dyDescent="0.25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e">
        <f>VLOOKUP('Customer Info'!A696,'Customer Info'!A696:I1195,2,FALSE)</f>
        <v>#N/A</v>
      </c>
      <c r="H704" s="6" t="e">
        <f>VLOOKUP('Customer Info'!A696,'Customer Info'!A696:I1196,3,FALSE)</f>
        <v>#N/A</v>
      </c>
      <c r="I704" s="6" t="e">
        <f>VLOOKUP('Customer Info'!A696,'Customer Info'!A696:I1195,5,FALSE)</f>
        <v>#N/A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45</v>
      </c>
      <c r="R704" s="2" t="s">
        <v>26</v>
      </c>
      <c r="S704" s="9">
        <f t="shared" si="54"/>
        <v>0.02</v>
      </c>
    </row>
    <row r="705" spans="1:19" x14ac:dyDescent="0.25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e">
        <f>VLOOKUP('Customer Info'!A697,'Customer Info'!A697:I1196,2,FALSE)</f>
        <v>#N/A</v>
      </c>
      <c r="H705" s="6" t="e">
        <f>VLOOKUP('Customer Info'!A697,'Customer Info'!A697:I1197,3,FALSE)</f>
        <v>#N/A</v>
      </c>
      <c r="I705" s="6" t="e">
        <f>VLOOKUP('Customer Info'!A697,'Customer Info'!A697:I1196,5,FALSE)</f>
        <v>#N/A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1736</v>
      </c>
      <c r="R705" s="2" t="s">
        <v>28</v>
      </c>
      <c r="S705" s="9">
        <f t="shared" si="54"/>
        <v>7.0000000000000007E-2</v>
      </c>
    </row>
    <row r="706" spans="1:19" x14ac:dyDescent="0.25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e">
        <f>VLOOKUP('Customer Info'!A698,'Customer Info'!A698:I1197,2,FALSE)</f>
        <v>#N/A</v>
      </c>
      <c r="H706" s="6" t="e">
        <f>VLOOKUP('Customer Info'!A698,'Customer Info'!A698:I1198,3,FALSE)</f>
        <v>#N/A</v>
      </c>
      <c r="I706" s="6" t="e">
        <f>VLOOKUP('Customer Info'!A698,'Customer Info'!A698:I1197,5,FALSE)</f>
        <v>#N/A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1441</v>
      </c>
      <c r="R706" s="2" t="s">
        <v>26</v>
      </c>
      <c r="S706" s="9">
        <f t="shared" si="54"/>
        <v>0.05</v>
      </c>
    </row>
    <row r="707" spans="1:19" x14ac:dyDescent="0.25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e">
        <f>VLOOKUP('Customer Info'!A699,'Customer Info'!A699:I1198,2,FALSE)</f>
        <v>#N/A</v>
      </c>
      <c r="H707" s="6" t="e">
        <f>VLOOKUP('Customer Info'!A699,'Customer Info'!A699:I1199,3,FALSE)</f>
        <v>#N/A</v>
      </c>
      <c r="I707" s="6" t="e">
        <f>VLOOKUP('Customer Info'!A699,'Customer Info'!A699:I1198,5,FALSE)</f>
        <v>#N/A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16</v>
      </c>
      <c r="R707" s="2" t="s">
        <v>28</v>
      </c>
      <c r="S707" s="9">
        <f t="shared" si="54"/>
        <v>0.02</v>
      </c>
    </row>
    <row r="708" spans="1:19" x14ac:dyDescent="0.25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e">
        <f>VLOOKUP('Customer Info'!A700,'Customer Info'!A700:I1199,2,FALSE)</f>
        <v>#N/A</v>
      </c>
      <c r="H708" s="6" t="e">
        <f>VLOOKUP('Customer Info'!A700,'Customer Info'!A700:I1200,3,FALSE)</f>
        <v>#N/A</v>
      </c>
      <c r="I708" s="6" t="e">
        <f>VLOOKUP('Customer Info'!A700,'Customer Info'!A700:I1199,5,FALSE)</f>
        <v>#N/A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369</v>
      </c>
      <c r="R708" s="2" t="s">
        <v>28</v>
      </c>
      <c r="S708" s="9">
        <f t="shared" si="54"/>
        <v>0.02</v>
      </c>
    </row>
    <row r="709" spans="1:19" x14ac:dyDescent="0.25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e">
        <f>VLOOKUP('Customer Info'!A701,'Customer Info'!A701:I1200,2,FALSE)</f>
        <v>#N/A</v>
      </c>
      <c r="H709" s="6" t="e">
        <f>VLOOKUP('Customer Info'!A701,'Customer Info'!A701:I1201,3,FALSE)</f>
        <v>#N/A</v>
      </c>
      <c r="I709" s="6" t="e">
        <f>VLOOKUP('Customer Info'!A701,'Customer Info'!A701:I1200,5,FALSE)</f>
        <v>#N/A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14</v>
      </c>
      <c r="R709" s="2" t="s">
        <v>28</v>
      </c>
      <c r="S709" s="9">
        <f t="shared" si="54"/>
        <v>0.02</v>
      </c>
    </row>
    <row r="710" spans="1:19" x14ac:dyDescent="0.25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e">
        <f>VLOOKUP('Customer Info'!A702,'Customer Info'!A702:I1201,2,FALSE)</f>
        <v>#N/A</v>
      </c>
      <c r="H710" s="6" t="e">
        <f>VLOOKUP('Customer Info'!A702,'Customer Info'!A702:I1202,3,FALSE)</f>
        <v>#N/A</v>
      </c>
      <c r="I710" s="6" t="e">
        <f>VLOOKUP('Customer Info'!A702,'Customer Info'!A702:I1201,5,FALSE)</f>
        <v>#N/A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246</v>
      </c>
      <c r="R710" s="2" t="s">
        <v>50</v>
      </c>
      <c r="S710" s="9">
        <f t="shared" si="54"/>
        <v>0.02</v>
      </c>
    </row>
    <row r="711" spans="1:19" x14ac:dyDescent="0.25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e">
        <f>VLOOKUP('Customer Info'!A703,'Customer Info'!A703:I1202,2,FALSE)</f>
        <v>#N/A</v>
      </c>
      <c r="H711" s="6" t="e">
        <f>VLOOKUP('Customer Info'!A703,'Customer Info'!A703:I1203,3,FALSE)</f>
        <v>#N/A</v>
      </c>
      <c r="I711" s="6" t="e">
        <f>VLOOKUP('Customer Info'!A703,'Customer Info'!A703:I1202,5,FALSE)</f>
        <v>#N/A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1813</v>
      </c>
      <c r="R711" s="2" t="s">
        <v>28</v>
      </c>
      <c r="S711" s="9">
        <f t="shared" si="54"/>
        <v>0.05</v>
      </c>
    </row>
    <row r="712" spans="1:19" x14ac:dyDescent="0.25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e">
        <f>VLOOKUP('Customer Info'!A704,'Customer Info'!A704:I1203,2,FALSE)</f>
        <v>#N/A</v>
      </c>
      <c r="H712" s="6" t="e">
        <f>VLOOKUP('Customer Info'!A704,'Customer Info'!A704:I1204,3,FALSE)</f>
        <v>#N/A</v>
      </c>
      <c r="I712" s="6" t="e">
        <f>VLOOKUP('Customer Info'!A704,'Customer Info'!A704:I1203,5,FALSE)</f>
        <v>#N/A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254</v>
      </c>
      <c r="R712" s="2" t="s">
        <v>26</v>
      </c>
      <c r="S712" s="9">
        <f t="shared" si="54"/>
        <v>0.02</v>
      </c>
    </row>
    <row r="713" spans="1:19" x14ac:dyDescent="0.25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e">
        <f>VLOOKUP('Customer Info'!A705,'Customer Info'!A705:I1204,2,FALSE)</f>
        <v>#N/A</v>
      </c>
      <c r="H713" s="6" t="e">
        <f>VLOOKUP('Customer Info'!A705,'Customer Info'!A705:I1205,3,FALSE)</f>
        <v>#N/A</v>
      </c>
      <c r="I713" s="6" t="e">
        <f>VLOOKUP('Customer Info'!A705,'Customer Info'!A705:I1204,5,FALSE)</f>
        <v>#N/A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146</v>
      </c>
      <c r="R713" s="2" t="s">
        <v>28</v>
      </c>
      <c r="S713" s="9">
        <f t="shared" si="54"/>
        <v>0.02</v>
      </c>
    </row>
    <row r="714" spans="1:19" x14ac:dyDescent="0.25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e">
        <f>VLOOKUP('Customer Info'!A706,'Customer Info'!A706:I1205,2,FALSE)</f>
        <v>#N/A</v>
      </c>
      <c r="H714" s="6" t="e">
        <f>VLOOKUP('Customer Info'!A706,'Customer Info'!A706:I1206,3,FALSE)</f>
        <v>#N/A</v>
      </c>
      <c r="I714" s="6" t="e">
        <f>VLOOKUP('Customer Info'!A706,'Customer Info'!A706:I1205,5,FALSE)</f>
        <v>#N/A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17</v>
      </c>
      <c r="R714" s="2" t="s">
        <v>28</v>
      </c>
      <c r="S714" s="9">
        <f t="shared" si="54"/>
        <v>0.02</v>
      </c>
    </row>
    <row r="715" spans="1:19" x14ac:dyDescent="0.25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e">
        <f>VLOOKUP('Customer Info'!A707,'Customer Info'!A707:I1206,2,FALSE)</f>
        <v>#N/A</v>
      </c>
      <c r="H715" s="6" t="e">
        <f>VLOOKUP('Customer Info'!A707,'Customer Info'!A707:I1207,3,FALSE)</f>
        <v>#N/A</v>
      </c>
      <c r="I715" s="6" t="e">
        <f>VLOOKUP('Customer Info'!A707,'Customer Info'!A707:I1206,5,FALSE)</f>
        <v>#N/A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8">
        <f t="shared" ref="P715:P778" si="57">N715+O715</f>
        <v>3309</v>
      </c>
      <c r="Q715" s="8">
        <f t="shared" ref="Q715:Q778" si="58">P715-M715</f>
        <v>163</v>
      </c>
      <c r="R715" s="2" t="s">
        <v>50</v>
      </c>
      <c r="S715" s="9">
        <f t="shared" ref="S715:S778" si="59">VLOOKUP(P715,$T$2:$U$7,2,TRUE)</f>
        <v>0.02</v>
      </c>
    </row>
    <row r="716" spans="1:19" x14ac:dyDescent="0.25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e">
        <f>VLOOKUP('Customer Info'!A708,'Customer Info'!A708:I1207,2,FALSE)</f>
        <v>#N/A</v>
      </c>
      <c r="H716" s="6" t="e">
        <f>VLOOKUP('Customer Info'!A708,'Customer Info'!A708:I1208,3,FALSE)</f>
        <v>#N/A</v>
      </c>
      <c r="I716" s="6" t="e">
        <f>VLOOKUP('Customer Info'!A708,'Customer Info'!A708:I1207,5,FALSE)</f>
        <v>#N/A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415</v>
      </c>
      <c r="R716" s="2" t="s">
        <v>28</v>
      </c>
      <c r="S716" s="9">
        <f t="shared" si="59"/>
        <v>0.05</v>
      </c>
    </row>
    <row r="717" spans="1:19" x14ac:dyDescent="0.25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e">
        <f>VLOOKUP('Customer Info'!A709,'Customer Info'!A709:I1208,2,FALSE)</f>
        <v>#N/A</v>
      </c>
      <c r="H717" s="6" t="e">
        <f>VLOOKUP('Customer Info'!A709,'Customer Info'!A709:I1209,3,FALSE)</f>
        <v>#N/A</v>
      </c>
      <c r="I717" s="6" t="e">
        <f>VLOOKUP('Customer Info'!A709,'Customer Info'!A709:I1208,5,FALSE)</f>
        <v>#N/A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484</v>
      </c>
      <c r="R717" s="2" t="s">
        <v>28</v>
      </c>
      <c r="S717" s="9">
        <f t="shared" si="59"/>
        <v>0.05</v>
      </c>
    </row>
    <row r="718" spans="1:19" x14ac:dyDescent="0.25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e">
        <f>VLOOKUP('Customer Info'!A710,'Customer Info'!A710:I1209,2,FALSE)</f>
        <v>#N/A</v>
      </c>
      <c r="H718" s="6" t="e">
        <f>VLOOKUP('Customer Info'!A710,'Customer Info'!A710:I1210,3,FALSE)</f>
        <v>#N/A</v>
      </c>
      <c r="I718" s="6" t="e">
        <f>VLOOKUP('Customer Info'!A710,'Customer Info'!A710:I1209,5,FALSE)</f>
        <v>#N/A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53</v>
      </c>
      <c r="R718" s="2" t="s">
        <v>28</v>
      </c>
      <c r="S718" s="9">
        <f t="shared" si="59"/>
        <v>0.02</v>
      </c>
    </row>
    <row r="719" spans="1:19" x14ac:dyDescent="0.25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e">
        <f>VLOOKUP('Customer Info'!A711,'Customer Info'!A711:I1210,2,FALSE)</f>
        <v>#N/A</v>
      </c>
      <c r="H719" s="6" t="e">
        <f>VLOOKUP('Customer Info'!A711,'Customer Info'!A711:I1211,3,FALSE)</f>
        <v>#N/A</v>
      </c>
      <c r="I719" s="6" t="e">
        <f>VLOOKUP('Customer Info'!A711,'Customer Info'!A711:I1210,5,FALSE)</f>
        <v>#N/A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111</v>
      </c>
      <c r="R719" s="2" t="s">
        <v>28</v>
      </c>
      <c r="S719" s="9">
        <f t="shared" si="59"/>
        <v>0.02</v>
      </c>
    </row>
    <row r="720" spans="1:19" x14ac:dyDescent="0.25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e">
        <f>VLOOKUP('Customer Info'!A712,'Customer Info'!A712:I1211,2,FALSE)</f>
        <v>#N/A</v>
      </c>
      <c r="H720" s="6" t="e">
        <f>VLOOKUP('Customer Info'!A712,'Customer Info'!A712:I1212,3,FALSE)</f>
        <v>#N/A</v>
      </c>
      <c r="I720" s="6" t="e">
        <f>VLOOKUP('Customer Info'!A712,'Customer Info'!A712:I1211,5,FALSE)</f>
        <v>#N/A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2564</v>
      </c>
      <c r="R720" s="2" t="s">
        <v>28</v>
      </c>
      <c r="S720" s="9">
        <f t="shared" si="59"/>
        <v>7.0000000000000007E-2</v>
      </c>
    </row>
    <row r="721" spans="1:19" x14ac:dyDescent="0.25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e">
        <f>VLOOKUP('Customer Info'!A713,'Customer Info'!A713:I1212,2,FALSE)</f>
        <v>#N/A</v>
      </c>
      <c r="H721" s="6" t="e">
        <f>VLOOKUP('Customer Info'!A713,'Customer Info'!A713:I1213,3,FALSE)</f>
        <v>#N/A</v>
      </c>
      <c r="I721" s="6" t="e">
        <f>VLOOKUP('Customer Info'!A713,'Customer Info'!A713:I1212,5,FALSE)</f>
        <v>#N/A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298</v>
      </c>
      <c r="R721" s="2" t="s">
        <v>26</v>
      </c>
      <c r="S721" s="9">
        <f t="shared" si="59"/>
        <v>0.02</v>
      </c>
    </row>
    <row r="722" spans="1:19" x14ac:dyDescent="0.25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e">
        <f>VLOOKUP('Customer Info'!A714,'Customer Info'!A714:I1213,2,FALSE)</f>
        <v>#N/A</v>
      </c>
      <c r="H722" s="6" t="e">
        <f>VLOOKUP('Customer Info'!A714,'Customer Info'!A714:I1214,3,FALSE)</f>
        <v>#N/A</v>
      </c>
      <c r="I722" s="6" t="e">
        <f>VLOOKUP('Customer Info'!A714,'Customer Info'!A714:I1213,5,FALSE)</f>
        <v>#N/A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475</v>
      </c>
      <c r="R722" s="2" t="s">
        <v>50</v>
      </c>
      <c r="S722" s="9">
        <f t="shared" si="59"/>
        <v>0.05</v>
      </c>
    </row>
    <row r="723" spans="1:19" x14ac:dyDescent="0.25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e">
        <f>VLOOKUP('Customer Info'!A715,'Customer Info'!A715:I1214,2,FALSE)</f>
        <v>#N/A</v>
      </c>
      <c r="H723" s="6" t="e">
        <f>VLOOKUP('Customer Info'!A715,'Customer Info'!A715:I1215,3,FALSE)</f>
        <v>#N/A</v>
      </c>
      <c r="I723" s="6" t="e">
        <f>VLOOKUP('Customer Info'!A715,'Customer Info'!A715:I1214,5,FALSE)</f>
        <v>#N/A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235</v>
      </c>
      <c r="R723" s="2" t="s">
        <v>50</v>
      </c>
      <c r="S723" s="9">
        <f t="shared" si="59"/>
        <v>0.02</v>
      </c>
    </row>
    <row r="724" spans="1:19" x14ac:dyDescent="0.25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e">
        <f>VLOOKUP('Customer Info'!A716,'Customer Info'!A716:I1215,2,FALSE)</f>
        <v>#N/A</v>
      </c>
      <c r="H724" s="6" t="e">
        <f>VLOOKUP('Customer Info'!A716,'Customer Info'!A716:I1216,3,FALSE)</f>
        <v>#N/A</v>
      </c>
      <c r="I724" s="6" t="e">
        <f>VLOOKUP('Customer Info'!A716,'Customer Info'!A716:I1215,5,FALSE)</f>
        <v>#N/A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59</v>
      </c>
      <c r="R724" s="2" t="s">
        <v>50</v>
      </c>
      <c r="S724" s="9">
        <f t="shared" si="59"/>
        <v>0.02</v>
      </c>
    </row>
    <row r="725" spans="1:19" x14ac:dyDescent="0.25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e">
        <f>VLOOKUP('Customer Info'!A717,'Customer Info'!A717:I1216,2,FALSE)</f>
        <v>#N/A</v>
      </c>
      <c r="H725" s="6" t="e">
        <f>VLOOKUP('Customer Info'!A717,'Customer Info'!A717:I1217,3,FALSE)</f>
        <v>#N/A</v>
      </c>
      <c r="I725" s="6" t="e">
        <f>VLOOKUP('Customer Info'!A717,'Customer Info'!A717:I1216,5,FALSE)</f>
        <v>#N/A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48</v>
      </c>
      <c r="R725" s="2" t="s">
        <v>50</v>
      </c>
      <c r="S725" s="9">
        <f t="shared" si="59"/>
        <v>0.02</v>
      </c>
    </row>
    <row r="726" spans="1:19" x14ac:dyDescent="0.25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e">
        <f>VLOOKUP('Customer Info'!A718,'Customer Info'!A718:I1217,2,FALSE)</f>
        <v>#N/A</v>
      </c>
      <c r="H726" s="6" t="e">
        <f>VLOOKUP('Customer Info'!A718,'Customer Info'!A718:I1218,3,FALSE)</f>
        <v>#N/A</v>
      </c>
      <c r="I726" s="6" t="e">
        <f>VLOOKUP('Customer Info'!A718,'Customer Info'!A718:I1217,5,FALSE)</f>
        <v>#N/A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111</v>
      </c>
      <c r="R726" s="2" t="s">
        <v>50</v>
      </c>
      <c r="S726" s="9">
        <f t="shared" si="59"/>
        <v>0.02</v>
      </c>
    </row>
    <row r="727" spans="1:19" x14ac:dyDescent="0.25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e">
        <f>VLOOKUP('Customer Info'!A719,'Customer Info'!A719:I1218,2,FALSE)</f>
        <v>#N/A</v>
      </c>
      <c r="H727" s="6" t="e">
        <f>VLOOKUP('Customer Info'!A719,'Customer Info'!A719:I1219,3,FALSE)</f>
        <v>#N/A</v>
      </c>
      <c r="I727" s="6" t="e">
        <f>VLOOKUP('Customer Info'!A719,'Customer Info'!A719:I1218,5,FALSE)</f>
        <v>#N/A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178</v>
      </c>
      <c r="R727" s="2" t="s">
        <v>50</v>
      </c>
      <c r="S727" s="9">
        <f t="shared" si="59"/>
        <v>0.02</v>
      </c>
    </row>
    <row r="728" spans="1:19" x14ac:dyDescent="0.25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e">
        <f>VLOOKUP('Customer Info'!A720,'Customer Info'!A720:I1219,2,FALSE)</f>
        <v>#N/A</v>
      </c>
      <c r="H728" s="6" t="e">
        <f>VLOOKUP('Customer Info'!A720,'Customer Info'!A720:I1220,3,FALSE)</f>
        <v>#N/A</v>
      </c>
      <c r="I728" s="6" t="e">
        <f>VLOOKUP('Customer Info'!A720,'Customer Info'!A720:I1219,5,FALSE)</f>
        <v>#N/A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2107</v>
      </c>
      <c r="R728" s="2" t="s">
        <v>28</v>
      </c>
      <c r="S728" s="9">
        <f t="shared" si="59"/>
        <v>0.05</v>
      </c>
    </row>
    <row r="729" spans="1:19" x14ac:dyDescent="0.25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e">
        <f>VLOOKUP('Customer Info'!A721,'Customer Info'!A721:I1220,2,FALSE)</f>
        <v>#N/A</v>
      </c>
      <c r="H729" s="6" t="e">
        <f>VLOOKUP('Customer Info'!A721,'Customer Info'!A721:I1221,3,FALSE)</f>
        <v>#N/A</v>
      </c>
      <c r="I729" s="6" t="e">
        <f>VLOOKUP('Customer Info'!A721,'Customer Info'!A721:I1220,5,FALSE)</f>
        <v>#N/A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42</v>
      </c>
      <c r="R729" s="2" t="s">
        <v>28</v>
      </c>
      <c r="S729" s="9">
        <f t="shared" si="59"/>
        <v>0.02</v>
      </c>
    </row>
    <row r="730" spans="1:19" x14ac:dyDescent="0.25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e">
        <f>VLOOKUP('Customer Info'!A722,'Customer Info'!A722:I1221,2,FALSE)</f>
        <v>#N/A</v>
      </c>
      <c r="H730" s="6" t="e">
        <f>VLOOKUP('Customer Info'!A722,'Customer Info'!A722:I1222,3,FALSE)</f>
        <v>#N/A</v>
      </c>
      <c r="I730" s="6" t="e">
        <f>VLOOKUP('Customer Info'!A722,'Customer Info'!A722:I1221,5,FALSE)</f>
        <v>#N/A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239</v>
      </c>
      <c r="R730" s="2" t="s">
        <v>28</v>
      </c>
      <c r="S730" s="9">
        <f t="shared" si="59"/>
        <v>0.02</v>
      </c>
    </row>
    <row r="731" spans="1:19" x14ac:dyDescent="0.25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e">
        <f>VLOOKUP('Customer Info'!A723,'Customer Info'!A723:I1222,2,FALSE)</f>
        <v>#N/A</v>
      </c>
      <c r="H731" s="6" t="e">
        <f>VLOOKUP('Customer Info'!A723,'Customer Info'!A723:I1223,3,FALSE)</f>
        <v>#N/A</v>
      </c>
      <c r="I731" s="6" t="e">
        <f>VLOOKUP('Customer Info'!A723,'Customer Info'!A723:I1222,5,FALSE)</f>
        <v>#N/A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180</v>
      </c>
      <c r="R731" s="2" t="s">
        <v>50</v>
      </c>
      <c r="S731" s="9">
        <f t="shared" si="59"/>
        <v>0.02</v>
      </c>
    </row>
    <row r="732" spans="1:19" x14ac:dyDescent="0.25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e">
        <f>VLOOKUP('Customer Info'!A724,'Customer Info'!A724:I1223,2,FALSE)</f>
        <v>#N/A</v>
      </c>
      <c r="H732" s="6" t="e">
        <f>VLOOKUP('Customer Info'!A724,'Customer Info'!A724:I1224,3,FALSE)</f>
        <v>#N/A</v>
      </c>
      <c r="I732" s="6" t="e">
        <f>VLOOKUP('Customer Info'!A724,'Customer Info'!A724:I1223,5,FALSE)</f>
        <v>#N/A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604</v>
      </c>
      <c r="R732" s="2" t="s">
        <v>28</v>
      </c>
      <c r="S732" s="9">
        <f t="shared" si="59"/>
        <v>0.05</v>
      </c>
    </row>
    <row r="733" spans="1:19" x14ac:dyDescent="0.25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e">
        <f>VLOOKUP('Customer Info'!A725,'Customer Info'!A725:I1224,2,FALSE)</f>
        <v>#N/A</v>
      </c>
      <c r="H733" s="6" t="e">
        <f>VLOOKUP('Customer Info'!A725,'Customer Info'!A725:I1225,3,FALSE)</f>
        <v>#N/A</v>
      </c>
      <c r="I733" s="6" t="e">
        <f>VLOOKUP('Customer Info'!A725,'Customer Info'!A725:I1224,5,FALSE)</f>
        <v>#N/A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57</v>
      </c>
      <c r="R733" s="2" t="s">
        <v>50</v>
      </c>
      <c r="S733" s="9">
        <f t="shared" si="59"/>
        <v>0.02</v>
      </c>
    </row>
    <row r="734" spans="1:19" x14ac:dyDescent="0.25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e">
        <f>VLOOKUP('Customer Info'!A726,'Customer Info'!A726:I1225,2,FALSE)</f>
        <v>#N/A</v>
      </c>
      <c r="H734" s="6" t="e">
        <f>VLOOKUP('Customer Info'!A726,'Customer Info'!A726:I1226,3,FALSE)</f>
        <v>#N/A</v>
      </c>
      <c r="I734" s="6" t="e">
        <f>VLOOKUP('Customer Info'!A726,'Customer Info'!A726:I1225,5,FALSE)</f>
        <v>#N/A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10432</v>
      </c>
      <c r="R734" s="2" t="s">
        <v>56</v>
      </c>
      <c r="S734" s="9">
        <f t="shared" si="59"/>
        <v>0.12</v>
      </c>
    </row>
    <row r="735" spans="1:19" x14ac:dyDescent="0.25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e">
        <f>VLOOKUP('Customer Info'!A727,'Customer Info'!A727:I1226,2,FALSE)</f>
        <v>#N/A</v>
      </c>
      <c r="H735" s="6" t="e">
        <f>VLOOKUP('Customer Info'!A727,'Customer Info'!A727:I1227,3,FALSE)</f>
        <v>#N/A</v>
      </c>
      <c r="I735" s="6" t="e">
        <f>VLOOKUP('Customer Info'!A727,'Customer Info'!A727:I1226,5,FALSE)</f>
        <v>#N/A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6322</v>
      </c>
      <c r="R735" s="2" t="s">
        <v>28</v>
      </c>
      <c r="S735" s="9">
        <f t="shared" si="59"/>
        <v>0.09</v>
      </c>
    </row>
    <row r="736" spans="1:19" x14ac:dyDescent="0.25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e">
        <f>VLOOKUP('Customer Info'!A728,'Customer Info'!A728:I1227,2,FALSE)</f>
        <v>#N/A</v>
      </c>
      <c r="H736" s="6" t="e">
        <f>VLOOKUP('Customer Info'!A728,'Customer Info'!A728:I1228,3,FALSE)</f>
        <v>#N/A</v>
      </c>
      <c r="I736" s="6" t="e">
        <f>VLOOKUP('Customer Info'!A728,'Customer Info'!A728:I1227,5,FALSE)</f>
        <v>#N/A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63</v>
      </c>
      <c r="R736" s="2" t="s">
        <v>28</v>
      </c>
      <c r="S736" s="9">
        <f t="shared" si="59"/>
        <v>0.02</v>
      </c>
    </row>
    <row r="737" spans="1:19" x14ac:dyDescent="0.25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e">
        <f>VLOOKUP('Customer Info'!A729,'Customer Info'!A729:I1228,2,FALSE)</f>
        <v>#N/A</v>
      </c>
      <c r="H737" s="6" t="e">
        <f>VLOOKUP('Customer Info'!A729,'Customer Info'!A729:I1229,3,FALSE)</f>
        <v>#N/A</v>
      </c>
      <c r="I737" s="6" t="e">
        <f>VLOOKUP('Customer Info'!A729,'Customer Info'!A729:I1228,5,FALSE)</f>
        <v>#N/A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180</v>
      </c>
      <c r="R737" s="2" t="s">
        <v>26</v>
      </c>
      <c r="S737" s="9">
        <f t="shared" si="59"/>
        <v>0.02</v>
      </c>
    </row>
    <row r="738" spans="1:19" x14ac:dyDescent="0.25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e">
        <f>VLOOKUP('Customer Info'!A730,'Customer Info'!A730:I1229,2,FALSE)</f>
        <v>#N/A</v>
      </c>
      <c r="H738" s="6" t="e">
        <f>VLOOKUP('Customer Info'!A730,'Customer Info'!A730:I1230,3,FALSE)</f>
        <v>#N/A</v>
      </c>
      <c r="I738" s="6" t="e">
        <f>VLOOKUP('Customer Info'!A730,'Customer Info'!A730:I1229,5,FALSE)</f>
        <v>#N/A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301</v>
      </c>
      <c r="R738" s="2" t="s">
        <v>28</v>
      </c>
      <c r="S738" s="9">
        <f t="shared" si="59"/>
        <v>0.02</v>
      </c>
    </row>
    <row r="739" spans="1:19" x14ac:dyDescent="0.25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e">
        <f>VLOOKUP('Customer Info'!A731,'Customer Info'!A731:I1230,2,FALSE)</f>
        <v>#N/A</v>
      </c>
      <c r="H739" s="6" t="e">
        <f>VLOOKUP('Customer Info'!A731,'Customer Info'!A731:I1231,3,FALSE)</f>
        <v>#N/A</v>
      </c>
      <c r="I739" s="6" t="e">
        <f>VLOOKUP('Customer Info'!A731,'Customer Info'!A731:I1230,5,FALSE)</f>
        <v>#N/A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127</v>
      </c>
      <c r="R739" s="2" t="s">
        <v>28</v>
      </c>
      <c r="S739" s="9">
        <f t="shared" si="59"/>
        <v>0.02</v>
      </c>
    </row>
    <row r="740" spans="1:19" x14ac:dyDescent="0.25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e">
        <f>VLOOKUP('Customer Info'!A732,'Customer Info'!A732:I1231,2,FALSE)</f>
        <v>#N/A</v>
      </c>
      <c r="H740" s="6" t="e">
        <f>VLOOKUP('Customer Info'!A732,'Customer Info'!A732:I1232,3,FALSE)</f>
        <v>#N/A</v>
      </c>
      <c r="I740" s="6" t="e">
        <f>VLOOKUP('Customer Info'!A732,'Customer Info'!A732:I1231,5,FALSE)</f>
        <v>#N/A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214</v>
      </c>
      <c r="R740" s="2" t="s">
        <v>28</v>
      </c>
      <c r="S740" s="9">
        <f t="shared" si="59"/>
        <v>0.02</v>
      </c>
    </row>
    <row r="741" spans="1:19" x14ac:dyDescent="0.25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e">
        <f>VLOOKUP('Customer Info'!A733,'Customer Info'!A733:I1232,2,FALSE)</f>
        <v>#N/A</v>
      </c>
      <c r="H741" s="6" t="e">
        <f>VLOOKUP('Customer Info'!A733,'Customer Info'!A733:I1233,3,FALSE)</f>
        <v>#N/A</v>
      </c>
      <c r="I741" s="6" t="e">
        <f>VLOOKUP('Customer Info'!A733,'Customer Info'!A733:I1232,5,FALSE)</f>
        <v>#N/A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2098</v>
      </c>
      <c r="R741" s="2" t="s">
        <v>28</v>
      </c>
      <c r="S741" s="9">
        <f t="shared" si="59"/>
        <v>0.05</v>
      </c>
    </row>
    <row r="742" spans="1:19" x14ac:dyDescent="0.25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e">
        <f>VLOOKUP('Customer Info'!A734,'Customer Info'!A734:I1233,2,FALSE)</f>
        <v>#N/A</v>
      </c>
      <c r="H742" s="6" t="e">
        <f>VLOOKUP('Customer Info'!A734,'Customer Info'!A734:I1234,3,FALSE)</f>
        <v>#N/A</v>
      </c>
      <c r="I742" s="6" t="e">
        <f>VLOOKUP('Customer Info'!A734,'Customer Info'!A734:I1233,5,FALSE)</f>
        <v>#N/A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820</v>
      </c>
      <c r="R742" s="2" t="s">
        <v>28</v>
      </c>
      <c r="S742" s="9">
        <f t="shared" si="59"/>
        <v>0.05</v>
      </c>
    </row>
    <row r="743" spans="1:19" x14ac:dyDescent="0.25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e">
        <f>VLOOKUP('Customer Info'!A735,'Customer Info'!A735:I1234,2,FALSE)</f>
        <v>#N/A</v>
      </c>
      <c r="H743" s="6" t="e">
        <f>VLOOKUP('Customer Info'!A735,'Customer Info'!A735:I1235,3,FALSE)</f>
        <v>#N/A</v>
      </c>
      <c r="I743" s="6" t="e">
        <f>VLOOKUP('Customer Info'!A735,'Customer Info'!A735:I1234,5,FALSE)</f>
        <v>#N/A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83</v>
      </c>
      <c r="R743" s="2" t="s">
        <v>26</v>
      </c>
      <c r="S743" s="9">
        <f t="shared" si="59"/>
        <v>0.02</v>
      </c>
    </row>
    <row r="744" spans="1:19" x14ac:dyDescent="0.25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e">
        <f>VLOOKUP('Customer Info'!A736,'Customer Info'!A736:I1235,2,FALSE)</f>
        <v>#N/A</v>
      </c>
      <c r="H744" s="6" t="e">
        <f>VLOOKUP('Customer Info'!A736,'Customer Info'!A736:I1236,3,FALSE)</f>
        <v>#N/A</v>
      </c>
      <c r="I744" s="6" t="e">
        <f>VLOOKUP('Customer Info'!A736,'Customer Info'!A736:I1235,5,FALSE)</f>
        <v>#N/A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769</v>
      </c>
      <c r="R744" s="2" t="s">
        <v>28</v>
      </c>
      <c r="S744" s="9">
        <f t="shared" si="59"/>
        <v>0.05</v>
      </c>
    </row>
    <row r="745" spans="1:19" x14ac:dyDescent="0.25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e">
        <f>VLOOKUP('Customer Info'!A737,'Customer Info'!A737:I1236,2,FALSE)</f>
        <v>#N/A</v>
      </c>
      <c r="H745" s="6" t="e">
        <f>VLOOKUP('Customer Info'!A737,'Customer Info'!A737:I1237,3,FALSE)</f>
        <v>#N/A</v>
      </c>
      <c r="I745" s="6" t="e">
        <f>VLOOKUP('Customer Info'!A737,'Customer Info'!A737:I1236,5,FALSE)</f>
        <v>#N/A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153</v>
      </c>
      <c r="R745" s="2" t="s">
        <v>26</v>
      </c>
      <c r="S745" s="9">
        <f t="shared" si="59"/>
        <v>0.02</v>
      </c>
    </row>
    <row r="746" spans="1:19" x14ac:dyDescent="0.25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e">
        <f>VLOOKUP('Customer Info'!A738,'Customer Info'!A738:I1237,2,FALSE)</f>
        <v>#N/A</v>
      </c>
      <c r="H746" s="6" t="e">
        <f>VLOOKUP('Customer Info'!A738,'Customer Info'!A738:I1238,3,FALSE)</f>
        <v>#N/A</v>
      </c>
      <c r="I746" s="6" t="e">
        <f>VLOOKUP('Customer Info'!A738,'Customer Info'!A738:I1237,5,FALSE)</f>
        <v>#N/A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204</v>
      </c>
      <c r="R746" s="2" t="s">
        <v>26</v>
      </c>
      <c r="S746" s="9">
        <f t="shared" si="59"/>
        <v>0.02</v>
      </c>
    </row>
    <row r="747" spans="1:19" x14ac:dyDescent="0.25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e">
        <f>VLOOKUP('Customer Info'!A739,'Customer Info'!A739:I1238,2,FALSE)</f>
        <v>#N/A</v>
      </c>
      <c r="H747" s="6" t="e">
        <f>VLOOKUP('Customer Info'!A739,'Customer Info'!A739:I1239,3,FALSE)</f>
        <v>#N/A</v>
      </c>
      <c r="I747" s="6" t="e">
        <f>VLOOKUP('Customer Info'!A739,'Customer Info'!A739:I1238,5,FALSE)</f>
        <v>#N/A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301</v>
      </c>
      <c r="R747" s="2" t="s">
        <v>50</v>
      </c>
      <c r="S747" s="9">
        <f t="shared" si="59"/>
        <v>0.05</v>
      </c>
    </row>
    <row r="748" spans="1:19" x14ac:dyDescent="0.25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e">
        <f>VLOOKUP('Customer Info'!A740,'Customer Info'!A740:I1239,2,FALSE)</f>
        <v>#N/A</v>
      </c>
      <c r="H748" s="6" t="e">
        <f>VLOOKUP('Customer Info'!A740,'Customer Info'!A740:I1240,3,FALSE)</f>
        <v>#N/A</v>
      </c>
      <c r="I748" s="6" t="e">
        <f>VLOOKUP('Customer Info'!A740,'Customer Info'!A740:I1239,5,FALSE)</f>
        <v>#N/A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598</v>
      </c>
      <c r="R748" s="2" t="s">
        <v>28</v>
      </c>
      <c r="S748" s="9">
        <f t="shared" si="59"/>
        <v>0.05</v>
      </c>
    </row>
    <row r="749" spans="1:19" x14ac:dyDescent="0.25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e">
        <f>VLOOKUP('Customer Info'!A741,'Customer Info'!A741:I1240,2,FALSE)</f>
        <v>#N/A</v>
      </c>
      <c r="H749" s="6" t="e">
        <f>VLOOKUP('Customer Info'!A741,'Customer Info'!A741:I1241,3,FALSE)</f>
        <v>#N/A</v>
      </c>
      <c r="I749" s="6" t="e">
        <f>VLOOKUP('Customer Info'!A741,'Customer Info'!A741:I1240,5,FALSE)</f>
        <v>#N/A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191</v>
      </c>
      <c r="R749" s="2" t="s">
        <v>26</v>
      </c>
      <c r="S749" s="9">
        <f t="shared" si="59"/>
        <v>0.02</v>
      </c>
    </row>
    <row r="750" spans="1:19" x14ac:dyDescent="0.25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e">
        <f>VLOOKUP('Customer Info'!A742,'Customer Info'!A742:I1241,2,FALSE)</f>
        <v>#N/A</v>
      </c>
      <c r="H750" s="6" t="e">
        <f>VLOOKUP('Customer Info'!A742,'Customer Info'!A742:I1242,3,FALSE)</f>
        <v>#N/A</v>
      </c>
      <c r="I750" s="6" t="e">
        <f>VLOOKUP('Customer Info'!A742,'Customer Info'!A742:I1241,5,FALSE)</f>
        <v>#N/A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2359</v>
      </c>
      <c r="R750" s="2" t="s">
        <v>28</v>
      </c>
      <c r="S750" s="9">
        <f t="shared" si="59"/>
        <v>7.0000000000000007E-2</v>
      </c>
    </row>
    <row r="751" spans="1:19" x14ac:dyDescent="0.25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e">
        <f>VLOOKUP('Customer Info'!A743,'Customer Info'!A743:I1242,2,FALSE)</f>
        <v>#N/A</v>
      </c>
      <c r="H751" s="6" t="e">
        <f>VLOOKUP('Customer Info'!A743,'Customer Info'!A743:I1243,3,FALSE)</f>
        <v>#N/A</v>
      </c>
      <c r="I751" s="6" t="e">
        <f>VLOOKUP('Customer Info'!A743,'Customer Info'!A743:I1242,5,FALSE)</f>
        <v>#N/A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251</v>
      </c>
      <c r="R751" s="2" t="s">
        <v>28</v>
      </c>
      <c r="S751" s="9">
        <f t="shared" si="59"/>
        <v>0.02</v>
      </c>
    </row>
    <row r="752" spans="1:19" x14ac:dyDescent="0.25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e">
        <f>VLOOKUP('Customer Info'!A744,'Customer Info'!A744:I1243,2,FALSE)</f>
        <v>#N/A</v>
      </c>
      <c r="H752" s="6" t="e">
        <f>VLOOKUP('Customer Info'!A744,'Customer Info'!A744:I1244,3,FALSE)</f>
        <v>#N/A</v>
      </c>
      <c r="I752" s="6" t="e">
        <f>VLOOKUP('Customer Info'!A744,'Customer Info'!A744:I1243,5,FALSE)</f>
        <v>#N/A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277</v>
      </c>
      <c r="R752" s="2" t="s">
        <v>28</v>
      </c>
      <c r="S752" s="9">
        <f t="shared" si="59"/>
        <v>0.02</v>
      </c>
    </row>
    <row r="753" spans="1:19" x14ac:dyDescent="0.25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e">
        <f>VLOOKUP('Customer Info'!A745,'Customer Info'!A745:I1244,2,FALSE)</f>
        <v>#N/A</v>
      </c>
      <c r="H753" s="6" t="e">
        <f>VLOOKUP('Customer Info'!A745,'Customer Info'!A745:I1245,3,FALSE)</f>
        <v>#N/A</v>
      </c>
      <c r="I753" s="6" t="e">
        <f>VLOOKUP('Customer Info'!A745,'Customer Info'!A745:I1244,5,FALSE)</f>
        <v>#N/A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4372</v>
      </c>
      <c r="R753" s="2" t="s">
        <v>28</v>
      </c>
      <c r="S753" s="9">
        <f t="shared" si="59"/>
        <v>0.09</v>
      </c>
    </row>
    <row r="754" spans="1:19" x14ac:dyDescent="0.25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e">
        <f>VLOOKUP('Customer Info'!A746,'Customer Info'!A746:I1245,2,FALSE)</f>
        <v>#N/A</v>
      </c>
      <c r="H754" s="6" t="e">
        <f>VLOOKUP('Customer Info'!A746,'Customer Info'!A746:I1246,3,FALSE)</f>
        <v>#N/A</v>
      </c>
      <c r="I754" s="6" t="e">
        <f>VLOOKUP('Customer Info'!A746,'Customer Info'!A746:I1245,5,FALSE)</f>
        <v>#N/A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48</v>
      </c>
      <c r="R754" s="2" t="s">
        <v>28</v>
      </c>
      <c r="S754" s="9">
        <f t="shared" si="59"/>
        <v>0.02</v>
      </c>
    </row>
    <row r="755" spans="1:19" x14ac:dyDescent="0.25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e">
        <f>VLOOKUP('Customer Info'!A747,'Customer Info'!A747:I1246,2,FALSE)</f>
        <v>#N/A</v>
      </c>
      <c r="H755" s="6" t="e">
        <f>VLOOKUP('Customer Info'!A747,'Customer Info'!A747:I1247,3,FALSE)</f>
        <v>#N/A</v>
      </c>
      <c r="I755" s="6" t="e">
        <f>VLOOKUP('Customer Info'!A747,'Customer Info'!A747:I1246,5,FALSE)</f>
        <v>#N/A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583</v>
      </c>
      <c r="R755" s="2" t="s">
        <v>50</v>
      </c>
      <c r="S755" s="9">
        <f t="shared" si="59"/>
        <v>0.05</v>
      </c>
    </row>
    <row r="756" spans="1:19" x14ac:dyDescent="0.25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e">
        <f>VLOOKUP('Customer Info'!A748,'Customer Info'!A748:I1247,2,FALSE)</f>
        <v>#N/A</v>
      </c>
      <c r="H756" s="6" t="e">
        <f>VLOOKUP('Customer Info'!A748,'Customer Info'!A748:I1248,3,FALSE)</f>
        <v>#N/A</v>
      </c>
      <c r="I756" s="6" t="e">
        <f>VLOOKUP('Customer Info'!A748,'Customer Info'!A748:I1247,5,FALSE)</f>
        <v>#N/A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779</v>
      </c>
      <c r="R756" s="2" t="s">
        <v>50</v>
      </c>
      <c r="S756" s="9">
        <f t="shared" si="59"/>
        <v>0.05</v>
      </c>
    </row>
    <row r="757" spans="1:19" x14ac:dyDescent="0.25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e">
        <f>VLOOKUP('Customer Info'!A749,'Customer Info'!A749:I1248,2,FALSE)</f>
        <v>#N/A</v>
      </c>
      <c r="H757" s="6" t="e">
        <f>VLOOKUP('Customer Info'!A749,'Customer Info'!A749:I1249,3,FALSE)</f>
        <v>#N/A</v>
      </c>
      <c r="I757" s="6" t="e">
        <f>VLOOKUP('Customer Info'!A749,'Customer Info'!A749:I1248,5,FALSE)</f>
        <v>#N/A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530</v>
      </c>
      <c r="R757" s="2" t="s">
        <v>28</v>
      </c>
      <c r="S757" s="9">
        <f t="shared" si="59"/>
        <v>0.05</v>
      </c>
    </row>
    <row r="758" spans="1:19" x14ac:dyDescent="0.25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e">
        <f>VLOOKUP('Customer Info'!A750,'Customer Info'!A750:I1249,2,FALSE)</f>
        <v>#N/A</v>
      </c>
      <c r="H758" s="6" t="e">
        <f>VLOOKUP('Customer Info'!A750,'Customer Info'!A750:I1250,3,FALSE)</f>
        <v>#N/A</v>
      </c>
      <c r="I758" s="6" t="e">
        <f>VLOOKUP('Customer Info'!A750,'Customer Info'!A750:I1249,5,FALSE)</f>
        <v>#N/A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652</v>
      </c>
      <c r="R758" s="2" t="s">
        <v>26</v>
      </c>
      <c r="S758" s="9">
        <f t="shared" si="59"/>
        <v>0.05</v>
      </c>
    </row>
    <row r="759" spans="1:19" x14ac:dyDescent="0.25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e">
        <f>VLOOKUP('Customer Info'!A751,'Customer Info'!A751:I1250,2,FALSE)</f>
        <v>#N/A</v>
      </c>
      <c r="H759" s="6" t="e">
        <f>VLOOKUP('Customer Info'!A751,'Customer Info'!A751:I1251,3,FALSE)</f>
        <v>#N/A</v>
      </c>
      <c r="I759" s="6" t="e">
        <f>VLOOKUP('Customer Info'!A751,'Customer Info'!A751:I1250,5,FALSE)</f>
        <v>#N/A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801</v>
      </c>
      <c r="R759" s="2" t="s">
        <v>26</v>
      </c>
      <c r="S759" s="9">
        <f t="shared" si="59"/>
        <v>7.0000000000000007E-2</v>
      </c>
    </row>
    <row r="760" spans="1:19" x14ac:dyDescent="0.25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e">
        <f>VLOOKUP('Customer Info'!A752,'Customer Info'!A752:I1251,2,FALSE)</f>
        <v>#N/A</v>
      </c>
      <c r="H760" s="6" t="e">
        <f>VLOOKUP('Customer Info'!A752,'Customer Info'!A752:I1252,3,FALSE)</f>
        <v>#N/A</v>
      </c>
      <c r="I760" s="6" t="e">
        <f>VLOOKUP('Customer Info'!A752,'Customer Info'!A752:I1251,5,FALSE)</f>
        <v>#N/A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3520</v>
      </c>
      <c r="R760" s="2" t="s">
        <v>50</v>
      </c>
      <c r="S760" s="9">
        <f t="shared" si="59"/>
        <v>7.0000000000000007E-2</v>
      </c>
    </row>
    <row r="761" spans="1:19" x14ac:dyDescent="0.25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e">
        <f>VLOOKUP('Customer Info'!A753,'Customer Info'!A753:I1252,2,FALSE)</f>
        <v>#N/A</v>
      </c>
      <c r="H761" s="6" t="e">
        <f>VLOOKUP('Customer Info'!A753,'Customer Info'!A753:I1253,3,FALSE)</f>
        <v>#N/A</v>
      </c>
      <c r="I761" s="6" t="e">
        <f>VLOOKUP('Customer Info'!A753,'Customer Info'!A753:I1252,5,FALSE)</f>
        <v>#N/A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46</v>
      </c>
      <c r="R761" s="2" t="s">
        <v>28</v>
      </c>
      <c r="S761" s="9">
        <f t="shared" si="59"/>
        <v>0.02</v>
      </c>
    </row>
    <row r="762" spans="1:19" x14ac:dyDescent="0.25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e">
        <f>VLOOKUP('Customer Info'!A754,'Customer Info'!A754:I1253,2,FALSE)</f>
        <v>#N/A</v>
      </c>
      <c r="H762" s="6" t="e">
        <f>VLOOKUP('Customer Info'!A754,'Customer Info'!A754:I1254,3,FALSE)</f>
        <v>#N/A</v>
      </c>
      <c r="I762" s="6" t="e">
        <f>VLOOKUP('Customer Info'!A754,'Customer Info'!A754:I1253,5,FALSE)</f>
        <v>#N/A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1449</v>
      </c>
      <c r="R762" s="2" t="s">
        <v>50</v>
      </c>
      <c r="S762" s="9">
        <f t="shared" si="59"/>
        <v>7.0000000000000007E-2</v>
      </c>
    </row>
    <row r="763" spans="1:19" x14ac:dyDescent="0.25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e">
        <f>VLOOKUP('Customer Info'!A755,'Customer Info'!A755:I1254,2,FALSE)</f>
        <v>#N/A</v>
      </c>
      <c r="H763" s="6" t="e">
        <f>VLOOKUP('Customer Info'!A755,'Customer Info'!A755:I1255,3,FALSE)</f>
        <v>#N/A</v>
      </c>
      <c r="I763" s="6" t="e">
        <f>VLOOKUP('Customer Info'!A755,'Customer Info'!A755:I1254,5,FALSE)</f>
        <v>#N/A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356</v>
      </c>
      <c r="R763" s="2" t="s">
        <v>50</v>
      </c>
      <c r="S763" s="9">
        <f t="shared" si="59"/>
        <v>0.05</v>
      </c>
    </row>
    <row r="764" spans="1:19" x14ac:dyDescent="0.25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e">
        <f>VLOOKUP('Customer Info'!A756,'Customer Info'!A756:I1255,2,FALSE)</f>
        <v>#N/A</v>
      </c>
      <c r="H764" s="6" t="e">
        <f>VLOOKUP('Customer Info'!A756,'Customer Info'!A756:I1256,3,FALSE)</f>
        <v>#N/A</v>
      </c>
      <c r="I764" s="6" t="e">
        <f>VLOOKUP('Customer Info'!A756,'Customer Info'!A756:I1255,5,FALSE)</f>
        <v>#N/A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324</v>
      </c>
      <c r="R764" s="2" t="s">
        <v>28</v>
      </c>
      <c r="S764" s="9">
        <f t="shared" si="59"/>
        <v>0.02</v>
      </c>
    </row>
    <row r="765" spans="1:19" x14ac:dyDescent="0.25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e">
        <f>VLOOKUP('Customer Info'!A757,'Customer Info'!A757:I1256,2,FALSE)</f>
        <v>#N/A</v>
      </c>
      <c r="H765" s="6" t="e">
        <f>VLOOKUP('Customer Info'!A757,'Customer Info'!A757:I1257,3,FALSE)</f>
        <v>#N/A</v>
      </c>
      <c r="I765" s="6" t="e">
        <f>VLOOKUP('Customer Info'!A757,'Customer Info'!A757:I1256,5,FALSE)</f>
        <v>#N/A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143</v>
      </c>
      <c r="R765" s="2" t="s">
        <v>28</v>
      </c>
      <c r="S765" s="9">
        <f t="shared" si="59"/>
        <v>0.02</v>
      </c>
    </row>
    <row r="766" spans="1:19" x14ac:dyDescent="0.25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e">
        <f>VLOOKUP('Customer Info'!A758,'Customer Info'!A758:I1257,2,FALSE)</f>
        <v>#N/A</v>
      </c>
      <c r="H766" s="6" t="e">
        <f>VLOOKUP('Customer Info'!A758,'Customer Info'!A758:I1258,3,FALSE)</f>
        <v>#N/A</v>
      </c>
      <c r="I766" s="6" t="e">
        <f>VLOOKUP('Customer Info'!A758,'Customer Info'!A758:I1257,5,FALSE)</f>
        <v>#N/A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1216</v>
      </c>
      <c r="R766" s="2" t="s">
        <v>28</v>
      </c>
      <c r="S766" s="9">
        <f t="shared" si="59"/>
        <v>0.05</v>
      </c>
    </row>
    <row r="767" spans="1:19" x14ac:dyDescent="0.25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e">
        <f>VLOOKUP('Customer Info'!A759,'Customer Info'!A759:I1258,2,FALSE)</f>
        <v>#N/A</v>
      </c>
      <c r="H767" s="6" t="e">
        <f>VLOOKUP('Customer Info'!A759,'Customer Info'!A759:I1259,3,FALSE)</f>
        <v>#N/A</v>
      </c>
      <c r="I767" s="6" t="e">
        <f>VLOOKUP('Customer Info'!A759,'Customer Info'!A759:I1258,5,FALSE)</f>
        <v>#N/A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16639</v>
      </c>
      <c r="R767" s="2" t="s">
        <v>28</v>
      </c>
      <c r="S767" s="9">
        <f t="shared" si="59"/>
        <v>0.12</v>
      </c>
    </row>
    <row r="768" spans="1:19" x14ac:dyDescent="0.25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e">
        <f>VLOOKUP('Customer Info'!A760,'Customer Info'!A760:I1259,2,FALSE)</f>
        <v>#N/A</v>
      </c>
      <c r="H768" s="6" t="e">
        <f>VLOOKUP('Customer Info'!A760,'Customer Info'!A760:I1260,3,FALSE)</f>
        <v>#N/A</v>
      </c>
      <c r="I768" s="6" t="e">
        <f>VLOOKUP('Customer Info'!A760,'Customer Info'!A760:I1259,5,FALSE)</f>
        <v>#N/A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2628</v>
      </c>
      <c r="R768" s="2" t="s">
        <v>28</v>
      </c>
      <c r="S768" s="9">
        <f t="shared" si="59"/>
        <v>7.0000000000000007E-2</v>
      </c>
    </row>
    <row r="769" spans="1:19" x14ac:dyDescent="0.25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e">
        <f>VLOOKUP('Customer Info'!A761,'Customer Info'!A761:I1260,2,FALSE)</f>
        <v>#N/A</v>
      </c>
      <c r="H769" s="6" t="e">
        <f>VLOOKUP('Customer Info'!A761,'Customer Info'!A761:I1261,3,FALSE)</f>
        <v>#N/A</v>
      </c>
      <c r="I769" s="6" t="e">
        <f>VLOOKUP('Customer Info'!A761,'Customer Info'!A761:I1260,5,FALSE)</f>
        <v>#N/A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1101</v>
      </c>
      <c r="R769" s="2" t="s">
        <v>28</v>
      </c>
      <c r="S769" s="9">
        <f t="shared" si="59"/>
        <v>0.05</v>
      </c>
    </row>
    <row r="770" spans="1:19" x14ac:dyDescent="0.25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e">
        <f>VLOOKUP('Customer Info'!A762,'Customer Info'!A762:I1261,2,FALSE)</f>
        <v>#N/A</v>
      </c>
      <c r="H770" s="6" t="e">
        <f>VLOOKUP('Customer Info'!A762,'Customer Info'!A762:I1262,3,FALSE)</f>
        <v>#N/A</v>
      </c>
      <c r="I770" s="6" t="e">
        <f>VLOOKUP('Customer Info'!A762,'Customer Info'!A762:I1261,5,FALSE)</f>
        <v>#N/A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160</v>
      </c>
      <c r="R770" s="2" t="s">
        <v>28</v>
      </c>
      <c r="S770" s="9">
        <f t="shared" si="59"/>
        <v>0.02</v>
      </c>
    </row>
    <row r="771" spans="1:19" x14ac:dyDescent="0.25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e">
        <f>VLOOKUP('Customer Info'!A763,'Customer Info'!A763:I1262,2,FALSE)</f>
        <v>#N/A</v>
      </c>
      <c r="H771" s="6" t="e">
        <f>VLOOKUP('Customer Info'!A763,'Customer Info'!A763:I1263,3,FALSE)</f>
        <v>#N/A</v>
      </c>
      <c r="I771" s="6" t="e">
        <f>VLOOKUP('Customer Info'!A763,'Customer Info'!A763:I1262,5,FALSE)</f>
        <v>#N/A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136</v>
      </c>
      <c r="R771" s="2" t="s">
        <v>28</v>
      </c>
      <c r="S771" s="9">
        <f t="shared" si="59"/>
        <v>0.02</v>
      </c>
    </row>
    <row r="772" spans="1:19" x14ac:dyDescent="0.25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e">
        <f>VLOOKUP('Customer Info'!A764,'Customer Info'!A764:I1263,2,FALSE)</f>
        <v>#N/A</v>
      </c>
      <c r="H772" s="6" t="e">
        <f>VLOOKUP('Customer Info'!A764,'Customer Info'!A764:I1264,3,FALSE)</f>
        <v>#N/A</v>
      </c>
      <c r="I772" s="6" t="e">
        <f>VLOOKUP('Customer Info'!A764,'Customer Info'!A764:I1263,5,FALSE)</f>
        <v>#N/A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30</v>
      </c>
      <c r="R772" s="2" t="s">
        <v>28</v>
      </c>
      <c r="S772" s="9">
        <f t="shared" si="59"/>
        <v>0.02</v>
      </c>
    </row>
    <row r="773" spans="1:19" x14ac:dyDescent="0.25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e">
        <f>VLOOKUP('Customer Info'!A765,'Customer Info'!A765:I1264,2,FALSE)</f>
        <v>#N/A</v>
      </c>
      <c r="H773" s="6" t="e">
        <f>VLOOKUP('Customer Info'!A765,'Customer Info'!A765:I1265,3,FALSE)</f>
        <v>#N/A</v>
      </c>
      <c r="I773" s="6" t="e">
        <f>VLOOKUP('Customer Info'!A765,'Customer Info'!A765:I1264,5,FALSE)</f>
        <v>#N/A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2114</v>
      </c>
      <c r="R773" s="2" t="s">
        <v>28</v>
      </c>
      <c r="S773" s="9">
        <f t="shared" si="59"/>
        <v>0.05</v>
      </c>
    </row>
    <row r="774" spans="1:19" x14ac:dyDescent="0.25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e">
        <f>VLOOKUP('Customer Info'!A766,'Customer Info'!A766:I1265,2,FALSE)</f>
        <v>#N/A</v>
      </c>
      <c r="H774" s="6" t="e">
        <f>VLOOKUP('Customer Info'!A766,'Customer Info'!A766:I1266,3,FALSE)</f>
        <v>#N/A</v>
      </c>
      <c r="I774" s="6" t="e">
        <f>VLOOKUP('Customer Info'!A766,'Customer Info'!A766:I1265,5,FALSE)</f>
        <v>#N/A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540</v>
      </c>
      <c r="R774" s="2" t="s">
        <v>28</v>
      </c>
      <c r="S774" s="9">
        <f t="shared" si="59"/>
        <v>0.05</v>
      </c>
    </row>
    <row r="775" spans="1:19" x14ac:dyDescent="0.25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e">
        <f>VLOOKUP('Customer Info'!A767,'Customer Info'!A767:I1266,2,FALSE)</f>
        <v>#N/A</v>
      </c>
      <c r="H775" s="6" t="e">
        <f>VLOOKUP('Customer Info'!A767,'Customer Info'!A767:I1267,3,FALSE)</f>
        <v>#N/A</v>
      </c>
      <c r="I775" s="6" t="e">
        <f>VLOOKUP('Customer Info'!A767,'Customer Info'!A767:I1266,5,FALSE)</f>
        <v>#N/A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597</v>
      </c>
      <c r="R775" s="2" t="s">
        <v>50</v>
      </c>
      <c r="S775" s="9">
        <f t="shared" si="59"/>
        <v>0.05</v>
      </c>
    </row>
    <row r="776" spans="1:19" x14ac:dyDescent="0.25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e">
        <f>VLOOKUP('Customer Info'!A768,'Customer Info'!A768:I1267,2,FALSE)</f>
        <v>#N/A</v>
      </c>
      <c r="H776" s="6" t="e">
        <f>VLOOKUP('Customer Info'!A768,'Customer Info'!A768:I1268,3,FALSE)</f>
        <v>#N/A</v>
      </c>
      <c r="I776" s="6" t="e">
        <f>VLOOKUP('Customer Info'!A768,'Customer Info'!A768:I1267,5,FALSE)</f>
        <v>#N/A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137</v>
      </c>
      <c r="R776" s="2" t="s">
        <v>28</v>
      </c>
      <c r="S776" s="9">
        <f t="shared" si="59"/>
        <v>0.02</v>
      </c>
    </row>
    <row r="777" spans="1:19" x14ac:dyDescent="0.25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e">
        <f>VLOOKUP('Customer Info'!A769,'Customer Info'!A769:I1268,2,FALSE)</f>
        <v>#N/A</v>
      </c>
      <c r="H777" s="6" t="e">
        <f>VLOOKUP('Customer Info'!A769,'Customer Info'!A769:I1269,3,FALSE)</f>
        <v>#N/A</v>
      </c>
      <c r="I777" s="6" t="e">
        <f>VLOOKUP('Customer Info'!A769,'Customer Info'!A769:I1268,5,FALSE)</f>
        <v>#N/A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780</v>
      </c>
      <c r="R777" s="2" t="s">
        <v>50</v>
      </c>
      <c r="S777" s="9">
        <f t="shared" si="59"/>
        <v>0.05</v>
      </c>
    </row>
    <row r="778" spans="1:19" x14ac:dyDescent="0.25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e">
        <f>VLOOKUP('Customer Info'!A770,'Customer Info'!A770:I1269,2,FALSE)</f>
        <v>#N/A</v>
      </c>
      <c r="H778" s="6" t="e">
        <f>VLOOKUP('Customer Info'!A770,'Customer Info'!A770:I1270,3,FALSE)</f>
        <v>#N/A</v>
      </c>
      <c r="I778" s="6" t="e">
        <f>VLOOKUP('Customer Info'!A770,'Customer Info'!A770:I1269,5,FALSE)</f>
        <v>#N/A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186</v>
      </c>
      <c r="R778" s="2" t="s">
        <v>56</v>
      </c>
      <c r="S778" s="9">
        <f t="shared" si="59"/>
        <v>0.02</v>
      </c>
    </row>
    <row r="779" spans="1:19" x14ac:dyDescent="0.25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e">
        <f>VLOOKUP('Customer Info'!A771,'Customer Info'!A771:I1270,2,FALSE)</f>
        <v>#N/A</v>
      </c>
      <c r="H779" s="6" t="e">
        <f>VLOOKUP('Customer Info'!A771,'Customer Info'!A771:I1271,3,FALSE)</f>
        <v>#N/A</v>
      </c>
      <c r="I779" s="6" t="e">
        <f>VLOOKUP('Customer Info'!A771,'Customer Info'!A771:I1270,5,FALSE)</f>
        <v>#N/A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8">
        <f t="shared" ref="P779:P842" si="62">N779+O779</f>
        <v>3651</v>
      </c>
      <c r="Q779" s="8">
        <f t="shared" ref="Q779:Q842" si="63">P779-M779</f>
        <v>171</v>
      </c>
      <c r="R779" s="2" t="s">
        <v>28</v>
      </c>
      <c r="S779" s="9">
        <f t="shared" ref="S779:S842" si="64">VLOOKUP(P779,$T$2:$U$7,2,TRUE)</f>
        <v>0.02</v>
      </c>
    </row>
    <row r="780" spans="1:19" x14ac:dyDescent="0.25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e">
        <f>VLOOKUP('Customer Info'!A772,'Customer Info'!A772:I1271,2,FALSE)</f>
        <v>#N/A</v>
      </c>
      <c r="H780" s="6" t="e">
        <f>VLOOKUP('Customer Info'!A772,'Customer Info'!A772:I1272,3,FALSE)</f>
        <v>#N/A</v>
      </c>
      <c r="I780" s="6" t="e">
        <f>VLOOKUP('Customer Info'!A772,'Customer Info'!A772:I1271,5,FALSE)</f>
        <v>#N/A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1080</v>
      </c>
      <c r="R780" s="2" t="s">
        <v>28</v>
      </c>
      <c r="S780" s="9">
        <f t="shared" si="64"/>
        <v>0.05</v>
      </c>
    </row>
    <row r="781" spans="1:19" x14ac:dyDescent="0.25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e">
        <f>VLOOKUP('Customer Info'!A773,'Customer Info'!A773:I1272,2,FALSE)</f>
        <v>#N/A</v>
      </c>
      <c r="H781" s="6" t="e">
        <f>VLOOKUP('Customer Info'!A773,'Customer Info'!A773:I1273,3,FALSE)</f>
        <v>#N/A</v>
      </c>
      <c r="I781" s="6" t="e">
        <f>VLOOKUP('Customer Info'!A773,'Customer Info'!A773:I1272,5,FALSE)</f>
        <v>#N/A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1334</v>
      </c>
      <c r="R781" s="2" t="s">
        <v>28</v>
      </c>
      <c r="S781" s="9">
        <f t="shared" si="64"/>
        <v>0.05</v>
      </c>
    </row>
    <row r="782" spans="1:19" x14ac:dyDescent="0.25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e">
        <f>VLOOKUP('Customer Info'!A774,'Customer Info'!A774:I1273,2,FALSE)</f>
        <v>#N/A</v>
      </c>
      <c r="H782" s="6" t="e">
        <f>VLOOKUP('Customer Info'!A774,'Customer Info'!A774:I1274,3,FALSE)</f>
        <v>#N/A</v>
      </c>
      <c r="I782" s="6" t="e">
        <f>VLOOKUP('Customer Info'!A774,'Customer Info'!A774:I1273,5,FALSE)</f>
        <v>#N/A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26</v>
      </c>
      <c r="R782" s="2" t="s">
        <v>50</v>
      </c>
      <c r="S782" s="9">
        <f t="shared" si="64"/>
        <v>0.02</v>
      </c>
    </row>
    <row r="783" spans="1:19" x14ac:dyDescent="0.25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e">
        <f>VLOOKUP('Customer Info'!A775,'Customer Info'!A775:I1274,2,FALSE)</f>
        <v>#N/A</v>
      </c>
      <c r="H783" s="6" t="e">
        <f>VLOOKUP('Customer Info'!A775,'Customer Info'!A775:I1275,3,FALSE)</f>
        <v>#N/A</v>
      </c>
      <c r="I783" s="6" t="e">
        <f>VLOOKUP('Customer Info'!A775,'Customer Info'!A775:I1274,5,FALSE)</f>
        <v>#N/A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3182</v>
      </c>
      <c r="R783" s="2" t="s">
        <v>28</v>
      </c>
      <c r="S783" s="9">
        <f t="shared" si="64"/>
        <v>7.0000000000000007E-2</v>
      </c>
    </row>
    <row r="784" spans="1:19" x14ac:dyDescent="0.25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e">
        <f>VLOOKUP('Customer Info'!A776,'Customer Info'!A776:I1275,2,FALSE)</f>
        <v>#N/A</v>
      </c>
      <c r="H784" s="6" t="e">
        <f>VLOOKUP('Customer Info'!A776,'Customer Info'!A776:I1276,3,FALSE)</f>
        <v>#N/A</v>
      </c>
      <c r="I784" s="6" t="e">
        <f>VLOOKUP('Customer Info'!A776,'Customer Info'!A776:I1275,5,FALSE)</f>
        <v>#N/A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751</v>
      </c>
      <c r="R784" s="2" t="s">
        <v>50</v>
      </c>
      <c r="S784" s="9">
        <f t="shared" si="64"/>
        <v>0.05</v>
      </c>
    </row>
    <row r="785" spans="1:19" x14ac:dyDescent="0.25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e">
        <f>VLOOKUP('Customer Info'!A777,'Customer Info'!A777:I1276,2,FALSE)</f>
        <v>#N/A</v>
      </c>
      <c r="H785" s="6" t="e">
        <f>VLOOKUP('Customer Info'!A777,'Customer Info'!A777:I1277,3,FALSE)</f>
        <v>#N/A</v>
      </c>
      <c r="I785" s="6" t="e">
        <f>VLOOKUP('Customer Info'!A777,'Customer Info'!A777:I1276,5,FALSE)</f>
        <v>#N/A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2278</v>
      </c>
      <c r="R785" s="2" t="s">
        <v>28</v>
      </c>
      <c r="S785" s="9">
        <f t="shared" si="64"/>
        <v>7.0000000000000007E-2</v>
      </c>
    </row>
    <row r="786" spans="1:19" x14ac:dyDescent="0.25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e">
        <f>VLOOKUP('Customer Info'!A778,'Customer Info'!A778:I1277,2,FALSE)</f>
        <v>#N/A</v>
      </c>
      <c r="H786" s="6" t="e">
        <f>VLOOKUP('Customer Info'!A778,'Customer Info'!A778:I1278,3,FALSE)</f>
        <v>#N/A</v>
      </c>
      <c r="I786" s="6" t="e">
        <f>VLOOKUP('Customer Info'!A778,'Customer Info'!A778:I1277,5,FALSE)</f>
        <v>#N/A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20756</v>
      </c>
      <c r="R786" s="2" t="s">
        <v>28</v>
      </c>
      <c r="S786" s="9">
        <f t="shared" si="64"/>
        <v>0.15</v>
      </c>
    </row>
    <row r="787" spans="1:19" x14ac:dyDescent="0.25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e">
        <f>VLOOKUP('Customer Info'!A779,'Customer Info'!A779:I1278,2,FALSE)</f>
        <v>#N/A</v>
      </c>
      <c r="H787" s="6" t="e">
        <f>VLOOKUP('Customer Info'!A779,'Customer Info'!A779:I1279,3,FALSE)</f>
        <v>#N/A</v>
      </c>
      <c r="I787" s="6" t="e">
        <f>VLOOKUP('Customer Info'!A779,'Customer Info'!A779:I1278,5,FALSE)</f>
        <v>#N/A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495</v>
      </c>
      <c r="R787" s="2" t="s">
        <v>28</v>
      </c>
      <c r="S787" s="9">
        <f t="shared" si="64"/>
        <v>0.05</v>
      </c>
    </row>
    <row r="788" spans="1:19" x14ac:dyDescent="0.25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e">
        <f>VLOOKUP('Customer Info'!A780,'Customer Info'!A780:I1279,2,FALSE)</f>
        <v>#N/A</v>
      </c>
      <c r="H788" s="6" t="e">
        <f>VLOOKUP('Customer Info'!A780,'Customer Info'!A780:I1280,3,FALSE)</f>
        <v>#N/A</v>
      </c>
      <c r="I788" s="6" t="e">
        <f>VLOOKUP('Customer Info'!A780,'Customer Info'!A780:I1279,5,FALSE)</f>
        <v>#N/A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516</v>
      </c>
      <c r="R788" s="2" t="s">
        <v>28</v>
      </c>
      <c r="S788" s="9">
        <f t="shared" si="64"/>
        <v>0.02</v>
      </c>
    </row>
    <row r="789" spans="1:19" x14ac:dyDescent="0.25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e">
        <f>VLOOKUP('Customer Info'!A781,'Customer Info'!A781:I1280,2,FALSE)</f>
        <v>#N/A</v>
      </c>
      <c r="H789" s="6" t="e">
        <f>VLOOKUP('Customer Info'!A781,'Customer Info'!A781:I1281,3,FALSE)</f>
        <v>#N/A</v>
      </c>
      <c r="I789" s="6" t="e">
        <f>VLOOKUP('Customer Info'!A781,'Customer Info'!A781:I1280,5,FALSE)</f>
        <v>#N/A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184</v>
      </c>
      <c r="R789" s="2" t="s">
        <v>50</v>
      </c>
      <c r="S789" s="9">
        <f t="shared" si="64"/>
        <v>0.02</v>
      </c>
    </row>
    <row r="790" spans="1:19" x14ac:dyDescent="0.25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e">
        <f>VLOOKUP('Customer Info'!A782,'Customer Info'!A782:I1281,2,FALSE)</f>
        <v>#N/A</v>
      </c>
      <c r="H790" s="6" t="e">
        <f>VLOOKUP('Customer Info'!A782,'Customer Info'!A782:I1282,3,FALSE)</f>
        <v>#N/A</v>
      </c>
      <c r="I790" s="6" t="e">
        <f>VLOOKUP('Customer Info'!A782,'Customer Info'!A782:I1281,5,FALSE)</f>
        <v>#N/A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391</v>
      </c>
      <c r="R790" s="2" t="s">
        <v>26</v>
      </c>
      <c r="S790" s="9">
        <f t="shared" si="64"/>
        <v>0.02</v>
      </c>
    </row>
    <row r="791" spans="1:19" x14ac:dyDescent="0.25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e">
        <f>VLOOKUP('Customer Info'!A783,'Customer Info'!A783:I1282,2,FALSE)</f>
        <v>#N/A</v>
      </c>
      <c r="H791" s="6" t="e">
        <f>VLOOKUP('Customer Info'!A783,'Customer Info'!A783:I1283,3,FALSE)</f>
        <v>#N/A</v>
      </c>
      <c r="I791" s="6" t="e">
        <f>VLOOKUP('Customer Info'!A783,'Customer Info'!A783:I1282,5,FALSE)</f>
        <v>#N/A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1023</v>
      </c>
      <c r="R791" s="2" t="s">
        <v>28</v>
      </c>
      <c r="S791" s="9">
        <f t="shared" si="64"/>
        <v>0.05</v>
      </c>
    </row>
    <row r="792" spans="1:19" x14ac:dyDescent="0.25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e">
        <f>VLOOKUP('Customer Info'!A784,'Customer Info'!A784:I1283,2,FALSE)</f>
        <v>#N/A</v>
      </c>
      <c r="H792" s="6" t="e">
        <f>VLOOKUP('Customer Info'!A784,'Customer Info'!A784:I1284,3,FALSE)</f>
        <v>#N/A</v>
      </c>
      <c r="I792" s="6" t="e">
        <f>VLOOKUP('Customer Info'!A784,'Customer Info'!A784:I1283,5,FALSE)</f>
        <v>#N/A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371</v>
      </c>
      <c r="R792" s="2" t="s">
        <v>50</v>
      </c>
      <c r="S792" s="9">
        <f t="shared" si="64"/>
        <v>0.02</v>
      </c>
    </row>
    <row r="793" spans="1:19" x14ac:dyDescent="0.25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e">
        <f>VLOOKUP('Customer Info'!A785,'Customer Info'!A785:I1284,2,FALSE)</f>
        <v>#N/A</v>
      </c>
      <c r="H793" s="6" t="e">
        <f>VLOOKUP('Customer Info'!A785,'Customer Info'!A785:I1285,3,FALSE)</f>
        <v>#N/A</v>
      </c>
      <c r="I793" s="6" t="e">
        <f>VLOOKUP('Customer Info'!A785,'Customer Info'!A785:I1284,5,FALSE)</f>
        <v>#N/A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1814</v>
      </c>
      <c r="R793" s="2" t="s">
        <v>50</v>
      </c>
      <c r="S793" s="9">
        <f t="shared" si="64"/>
        <v>0.05</v>
      </c>
    </row>
    <row r="794" spans="1:19" x14ac:dyDescent="0.25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e">
        <f>VLOOKUP('Customer Info'!A786,'Customer Info'!A786:I1285,2,FALSE)</f>
        <v>#N/A</v>
      </c>
      <c r="H794" s="6" t="e">
        <f>VLOOKUP('Customer Info'!A786,'Customer Info'!A786:I1286,3,FALSE)</f>
        <v>#N/A</v>
      </c>
      <c r="I794" s="6" t="e">
        <f>VLOOKUP('Customer Info'!A786,'Customer Info'!A786:I1285,5,FALSE)</f>
        <v>#N/A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1090</v>
      </c>
      <c r="R794" s="2" t="s">
        <v>28</v>
      </c>
      <c r="S794" s="9">
        <f t="shared" si="64"/>
        <v>0.05</v>
      </c>
    </row>
    <row r="795" spans="1:19" x14ac:dyDescent="0.25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e">
        <f>VLOOKUP('Customer Info'!A787,'Customer Info'!A787:I1286,2,FALSE)</f>
        <v>#N/A</v>
      </c>
      <c r="H795" s="6" t="e">
        <f>VLOOKUP('Customer Info'!A787,'Customer Info'!A787:I1287,3,FALSE)</f>
        <v>#N/A</v>
      </c>
      <c r="I795" s="6" t="e">
        <f>VLOOKUP('Customer Info'!A787,'Customer Info'!A787:I1286,5,FALSE)</f>
        <v>#N/A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2468</v>
      </c>
      <c r="R795" s="2" t="s">
        <v>26</v>
      </c>
      <c r="S795" s="9">
        <f t="shared" si="64"/>
        <v>7.0000000000000007E-2</v>
      </c>
    </row>
    <row r="796" spans="1:19" x14ac:dyDescent="0.25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e">
        <f>VLOOKUP('Customer Info'!A788,'Customer Info'!A788:I1287,2,FALSE)</f>
        <v>#N/A</v>
      </c>
      <c r="H796" s="6" t="e">
        <f>VLOOKUP('Customer Info'!A788,'Customer Info'!A788:I1288,3,FALSE)</f>
        <v>#N/A</v>
      </c>
      <c r="I796" s="6" t="e">
        <f>VLOOKUP('Customer Info'!A788,'Customer Info'!A788:I1287,5,FALSE)</f>
        <v>#N/A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51</v>
      </c>
      <c r="R796" s="2" t="s">
        <v>28</v>
      </c>
      <c r="S796" s="9">
        <f t="shared" si="64"/>
        <v>0.02</v>
      </c>
    </row>
    <row r="797" spans="1:19" x14ac:dyDescent="0.25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e">
        <f>VLOOKUP('Customer Info'!A789,'Customer Info'!A789:I1288,2,FALSE)</f>
        <v>#N/A</v>
      </c>
      <c r="H797" s="6" t="e">
        <f>VLOOKUP('Customer Info'!A789,'Customer Info'!A789:I1289,3,FALSE)</f>
        <v>#N/A</v>
      </c>
      <c r="I797" s="6" t="e">
        <f>VLOOKUP('Customer Info'!A789,'Customer Info'!A789:I1288,5,FALSE)</f>
        <v>#N/A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4234</v>
      </c>
      <c r="R797" s="2" t="s">
        <v>28</v>
      </c>
      <c r="S797" s="9">
        <f t="shared" si="64"/>
        <v>0.09</v>
      </c>
    </row>
    <row r="798" spans="1:19" x14ac:dyDescent="0.25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e">
        <f>VLOOKUP('Customer Info'!A790,'Customer Info'!A790:I1289,2,FALSE)</f>
        <v>#N/A</v>
      </c>
      <c r="H798" s="6" t="e">
        <f>VLOOKUP('Customer Info'!A790,'Customer Info'!A790:I1290,3,FALSE)</f>
        <v>#N/A</v>
      </c>
      <c r="I798" s="6" t="e">
        <f>VLOOKUP('Customer Info'!A790,'Customer Info'!A790:I1289,5,FALSE)</f>
        <v>#N/A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930</v>
      </c>
      <c r="R798" s="2" t="s">
        <v>28</v>
      </c>
      <c r="S798" s="9">
        <f t="shared" si="64"/>
        <v>0.05</v>
      </c>
    </row>
    <row r="799" spans="1:19" x14ac:dyDescent="0.25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e">
        <f>VLOOKUP('Customer Info'!A791,'Customer Info'!A791:I1290,2,FALSE)</f>
        <v>#N/A</v>
      </c>
      <c r="H799" s="6" t="e">
        <f>VLOOKUP('Customer Info'!A791,'Customer Info'!A791:I1291,3,FALSE)</f>
        <v>#N/A</v>
      </c>
      <c r="I799" s="6" t="e">
        <f>VLOOKUP('Customer Info'!A791,'Customer Info'!A791:I1290,5,FALSE)</f>
        <v>#N/A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264</v>
      </c>
      <c r="R799" s="2" t="s">
        <v>28</v>
      </c>
      <c r="S799" s="9">
        <f t="shared" si="64"/>
        <v>0.05</v>
      </c>
    </row>
    <row r="800" spans="1:19" x14ac:dyDescent="0.25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e">
        <f>VLOOKUP('Customer Info'!A792,'Customer Info'!A792:I1291,2,FALSE)</f>
        <v>#N/A</v>
      </c>
      <c r="H800" s="6" t="e">
        <f>VLOOKUP('Customer Info'!A792,'Customer Info'!A792:I1292,3,FALSE)</f>
        <v>#N/A</v>
      </c>
      <c r="I800" s="6" t="e">
        <f>VLOOKUP('Customer Info'!A792,'Customer Info'!A792:I1291,5,FALSE)</f>
        <v>#N/A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40</v>
      </c>
      <c r="R800" s="2" t="s">
        <v>50</v>
      </c>
      <c r="S800" s="9">
        <f t="shared" si="64"/>
        <v>0.02</v>
      </c>
    </row>
    <row r="801" spans="1:19" x14ac:dyDescent="0.25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e">
        <f>VLOOKUP('Customer Info'!A793,'Customer Info'!A793:I1292,2,FALSE)</f>
        <v>#N/A</v>
      </c>
      <c r="H801" s="6" t="e">
        <f>VLOOKUP('Customer Info'!A793,'Customer Info'!A793:I1293,3,FALSE)</f>
        <v>#N/A</v>
      </c>
      <c r="I801" s="6" t="e">
        <f>VLOOKUP('Customer Info'!A793,'Customer Info'!A793:I1292,5,FALSE)</f>
        <v>#N/A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276</v>
      </c>
      <c r="R801" s="2" t="s">
        <v>28</v>
      </c>
      <c r="S801" s="9">
        <f t="shared" si="64"/>
        <v>0.05</v>
      </c>
    </row>
    <row r="802" spans="1:19" x14ac:dyDescent="0.25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e">
        <f>VLOOKUP('Customer Info'!A794,'Customer Info'!A794:I1293,2,FALSE)</f>
        <v>#N/A</v>
      </c>
      <c r="H802" s="6" t="e">
        <f>VLOOKUP('Customer Info'!A794,'Customer Info'!A794:I1294,3,FALSE)</f>
        <v>#N/A</v>
      </c>
      <c r="I802" s="6" t="e">
        <f>VLOOKUP('Customer Info'!A794,'Customer Info'!A794:I1293,5,FALSE)</f>
        <v>#N/A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141</v>
      </c>
      <c r="R802" s="2" t="s">
        <v>28</v>
      </c>
      <c r="S802" s="9">
        <f t="shared" si="64"/>
        <v>0.02</v>
      </c>
    </row>
    <row r="803" spans="1:19" x14ac:dyDescent="0.25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e">
        <f>VLOOKUP('Customer Info'!A795,'Customer Info'!A795:I1294,2,FALSE)</f>
        <v>#N/A</v>
      </c>
      <c r="H803" s="6" t="e">
        <f>VLOOKUP('Customer Info'!A795,'Customer Info'!A795:I1295,3,FALSE)</f>
        <v>#N/A</v>
      </c>
      <c r="I803" s="6" t="e">
        <f>VLOOKUP('Customer Info'!A795,'Customer Info'!A795:I1294,5,FALSE)</f>
        <v>#N/A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583</v>
      </c>
      <c r="R803" s="2" t="s">
        <v>26</v>
      </c>
      <c r="S803" s="9">
        <f t="shared" si="64"/>
        <v>0.05</v>
      </c>
    </row>
    <row r="804" spans="1:19" x14ac:dyDescent="0.25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e">
        <f>VLOOKUP('Customer Info'!A796,'Customer Info'!A796:I1295,2,FALSE)</f>
        <v>#N/A</v>
      </c>
      <c r="H804" s="6" t="e">
        <f>VLOOKUP('Customer Info'!A796,'Customer Info'!A796:I1296,3,FALSE)</f>
        <v>#N/A</v>
      </c>
      <c r="I804" s="6" t="e">
        <f>VLOOKUP('Customer Info'!A796,'Customer Info'!A796:I1295,5,FALSE)</f>
        <v>#N/A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485</v>
      </c>
      <c r="R804" s="2" t="s">
        <v>28</v>
      </c>
      <c r="S804" s="9">
        <f t="shared" si="64"/>
        <v>0.05</v>
      </c>
    </row>
    <row r="805" spans="1:19" x14ac:dyDescent="0.25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e">
        <f>VLOOKUP('Customer Info'!A797,'Customer Info'!A797:I1296,2,FALSE)</f>
        <v>#N/A</v>
      </c>
      <c r="H805" s="6" t="e">
        <f>VLOOKUP('Customer Info'!A797,'Customer Info'!A797:I1297,3,FALSE)</f>
        <v>#N/A</v>
      </c>
      <c r="I805" s="6" t="e">
        <f>VLOOKUP('Customer Info'!A797,'Customer Info'!A797:I1296,5,FALSE)</f>
        <v>#N/A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54</v>
      </c>
      <c r="R805" s="2" t="s">
        <v>28</v>
      </c>
      <c r="S805" s="9">
        <f t="shared" si="64"/>
        <v>0.02</v>
      </c>
    </row>
    <row r="806" spans="1:19" x14ac:dyDescent="0.25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e">
        <f>VLOOKUP('Customer Info'!A798,'Customer Info'!A798:I1297,2,FALSE)</f>
        <v>#N/A</v>
      </c>
      <c r="H806" s="6" t="e">
        <f>VLOOKUP('Customer Info'!A798,'Customer Info'!A798:I1298,3,FALSE)</f>
        <v>#N/A</v>
      </c>
      <c r="I806" s="6" t="e">
        <f>VLOOKUP('Customer Info'!A798,'Customer Info'!A798:I1297,5,FALSE)</f>
        <v>#N/A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38</v>
      </c>
      <c r="R806" s="2" t="s">
        <v>28</v>
      </c>
      <c r="S806" s="9">
        <f t="shared" si="64"/>
        <v>0.02</v>
      </c>
    </row>
    <row r="807" spans="1:19" x14ac:dyDescent="0.25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e">
        <f>VLOOKUP('Customer Info'!A799,'Customer Info'!A799:I1298,2,FALSE)</f>
        <v>#N/A</v>
      </c>
      <c r="H807" s="6" t="e">
        <f>VLOOKUP('Customer Info'!A799,'Customer Info'!A799:I1299,3,FALSE)</f>
        <v>#N/A</v>
      </c>
      <c r="I807" s="6" t="e">
        <f>VLOOKUP('Customer Info'!A799,'Customer Info'!A799:I1298,5,FALSE)</f>
        <v>#N/A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110</v>
      </c>
      <c r="R807" s="2" t="s">
        <v>26</v>
      </c>
      <c r="S807" s="9">
        <f t="shared" si="64"/>
        <v>0.02</v>
      </c>
    </row>
    <row r="808" spans="1:19" x14ac:dyDescent="0.25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e">
        <f>VLOOKUP('Customer Info'!A800,'Customer Info'!A800:I1299,2,FALSE)</f>
        <v>#N/A</v>
      </c>
      <c r="H808" s="6" t="e">
        <f>VLOOKUP('Customer Info'!A800,'Customer Info'!A800:I1300,3,FALSE)</f>
        <v>#N/A</v>
      </c>
      <c r="I808" s="6" t="e">
        <f>VLOOKUP('Customer Info'!A800,'Customer Info'!A800:I1299,5,FALSE)</f>
        <v>#N/A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383</v>
      </c>
      <c r="R808" s="2" t="s">
        <v>56</v>
      </c>
      <c r="S808" s="9">
        <f t="shared" si="64"/>
        <v>0.02</v>
      </c>
    </row>
    <row r="809" spans="1:19" x14ac:dyDescent="0.25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e">
        <f>VLOOKUP('Customer Info'!A801,'Customer Info'!A801:I1300,2,FALSE)</f>
        <v>#N/A</v>
      </c>
      <c r="H809" s="6" t="e">
        <f>VLOOKUP('Customer Info'!A801,'Customer Info'!A801:I1301,3,FALSE)</f>
        <v>#N/A</v>
      </c>
      <c r="I809" s="6" t="e">
        <f>VLOOKUP('Customer Info'!A801,'Customer Info'!A801:I1300,5,FALSE)</f>
        <v>#N/A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502</v>
      </c>
      <c r="R809" s="2" t="s">
        <v>50</v>
      </c>
      <c r="S809" s="9">
        <f t="shared" si="64"/>
        <v>0.05</v>
      </c>
    </row>
    <row r="810" spans="1:19" x14ac:dyDescent="0.25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e">
        <f>VLOOKUP('Customer Info'!A802,'Customer Info'!A802:I1301,2,FALSE)</f>
        <v>#N/A</v>
      </c>
      <c r="H810" s="6" t="e">
        <f>VLOOKUP('Customer Info'!A802,'Customer Info'!A802:I1302,3,FALSE)</f>
        <v>#N/A</v>
      </c>
      <c r="I810" s="6" t="e">
        <f>VLOOKUP('Customer Info'!A802,'Customer Info'!A802:I1301,5,FALSE)</f>
        <v>#N/A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1230</v>
      </c>
      <c r="R810" s="2" t="s">
        <v>50</v>
      </c>
      <c r="S810" s="9">
        <f t="shared" si="64"/>
        <v>0.05</v>
      </c>
    </row>
    <row r="811" spans="1:19" x14ac:dyDescent="0.25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e">
        <f>VLOOKUP('Customer Info'!A803,'Customer Info'!A803:I1302,2,FALSE)</f>
        <v>#N/A</v>
      </c>
      <c r="H811" s="6" t="e">
        <f>VLOOKUP('Customer Info'!A803,'Customer Info'!A803:I1303,3,FALSE)</f>
        <v>#N/A</v>
      </c>
      <c r="I811" s="6" t="e">
        <f>VLOOKUP('Customer Info'!A803,'Customer Info'!A803:I1302,5,FALSE)</f>
        <v>#N/A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221</v>
      </c>
      <c r="R811" s="2" t="s">
        <v>28</v>
      </c>
      <c r="S811" s="9">
        <f t="shared" si="64"/>
        <v>0.02</v>
      </c>
    </row>
    <row r="812" spans="1:19" x14ac:dyDescent="0.25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e">
        <f>VLOOKUP('Customer Info'!A804,'Customer Info'!A804:I1303,2,FALSE)</f>
        <v>#N/A</v>
      </c>
      <c r="H812" s="6" t="e">
        <f>VLOOKUP('Customer Info'!A804,'Customer Info'!A804:I1304,3,FALSE)</f>
        <v>#N/A</v>
      </c>
      <c r="I812" s="6" t="e">
        <f>VLOOKUP('Customer Info'!A804,'Customer Info'!A804:I1303,5,FALSE)</f>
        <v>#N/A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62</v>
      </c>
      <c r="R812" s="2" t="s">
        <v>50</v>
      </c>
      <c r="S812" s="9">
        <f t="shared" si="64"/>
        <v>0.02</v>
      </c>
    </row>
    <row r="813" spans="1:19" x14ac:dyDescent="0.25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e">
        <f>VLOOKUP('Customer Info'!A805,'Customer Info'!A805:I1304,2,FALSE)</f>
        <v>#N/A</v>
      </c>
      <c r="H813" s="6" t="e">
        <f>VLOOKUP('Customer Info'!A805,'Customer Info'!A805:I1305,3,FALSE)</f>
        <v>#N/A</v>
      </c>
      <c r="I813" s="6" t="e">
        <f>VLOOKUP('Customer Info'!A805,'Customer Info'!A805:I1304,5,FALSE)</f>
        <v>#N/A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147</v>
      </c>
      <c r="R813" s="2" t="s">
        <v>28</v>
      </c>
      <c r="S813" s="9">
        <f t="shared" si="64"/>
        <v>0.02</v>
      </c>
    </row>
    <row r="814" spans="1:19" x14ac:dyDescent="0.25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e">
        <f>VLOOKUP('Customer Info'!A806,'Customer Info'!A806:I1305,2,FALSE)</f>
        <v>#N/A</v>
      </c>
      <c r="H814" s="6" t="e">
        <f>VLOOKUP('Customer Info'!A806,'Customer Info'!A806:I1306,3,FALSE)</f>
        <v>#N/A</v>
      </c>
      <c r="I814" s="6" t="e">
        <f>VLOOKUP('Customer Info'!A806,'Customer Info'!A806:I1305,5,FALSE)</f>
        <v>#N/A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333</v>
      </c>
      <c r="R814" s="2" t="s">
        <v>50</v>
      </c>
      <c r="S814" s="9">
        <f t="shared" si="64"/>
        <v>0.05</v>
      </c>
    </row>
    <row r="815" spans="1:19" x14ac:dyDescent="0.25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e">
        <f>VLOOKUP('Customer Info'!A807,'Customer Info'!A807:I1306,2,FALSE)</f>
        <v>#N/A</v>
      </c>
      <c r="H815" s="6" t="e">
        <f>VLOOKUP('Customer Info'!A807,'Customer Info'!A807:I1307,3,FALSE)</f>
        <v>#N/A</v>
      </c>
      <c r="I815" s="6" t="e">
        <f>VLOOKUP('Customer Info'!A807,'Customer Info'!A807:I1306,5,FALSE)</f>
        <v>#N/A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1616</v>
      </c>
      <c r="R815" s="2" t="s">
        <v>50</v>
      </c>
      <c r="S815" s="9">
        <f t="shared" si="64"/>
        <v>0.05</v>
      </c>
    </row>
    <row r="816" spans="1:19" x14ac:dyDescent="0.25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e">
        <f>VLOOKUP('Customer Info'!A808,'Customer Info'!A808:I1307,2,FALSE)</f>
        <v>#N/A</v>
      </c>
      <c r="H816" s="6" t="e">
        <f>VLOOKUP('Customer Info'!A808,'Customer Info'!A808:I1308,3,FALSE)</f>
        <v>#N/A</v>
      </c>
      <c r="I816" s="6" t="e">
        <f>VLOOKUP('Customer Info'!A808,'Customer Info'!A808:I1307,5,FALSE)</f>
        <v>#N/A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595</v>
      </c>
      <c r="R816" s="2" t="s">
        <v>28</v>
      </c>
      <c r="S816" s="9">
        <f t="shared" si="64"/>
        <v>0.05</v>
      </c>
    </row>
    <row r="817" spans="1:19" x14ac:dyDescent="0.25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e">
        <f>VLOOKUP('Customer Info'!A809,'Customer Info'!A809:I1308,2,FALSE)</f>
        <v>#N/A</v>
      </c>
      <c r="H817" s="6" t="e">
        <f>VLOOKUP('Customer Info'!A809,'Customer Info'!A809:I1309,3,FALSE)</f>
        <v>#N/A</v>
      </c>
      <c r="I817" s="6" t="e">
        <f>VLOOKUP('Customer Info'!A809,'Customer Info'!A809:I1308,5,FALSE)</f>
        <v>#N/A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28</v>
      </c>
      <c r="R817" s="2" t="s">
        <v>28</v>
      </c>
      <c r="S817" s="9">
        <f t="shared" si="64"/>
        <v>0.02</v>
      </c>
    </row>
    <row r="818" spans="1:19" x14ac:dyDescent="0.25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e">
        <f>VLOOKUP('Customer Info'!A810,'Customer Info'!A810:I1309,2,FALSE)</f>
        <v>#N/A</v>
      </c>
      <c r="H818" s="6" t="e">
        <f>VLOOKUP('Customer Info'!A810,'Customer Info'!A810:I1310,3,FALSE)</f>
        <v>#N/A</v>
      </c>
      <c r="I818" s="6" t="e">
        <f>VLOOKUP('Customer Info'!A810,'Customer Info'!A810:I1309,5,FALSE)</f>
        <v>#N/A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224</v>
      </c>
      <c r="R818" s="2" t="s">
        <v>28</v>
      </c>
      <c r="S818" s="9">
        <f t="shared" si="64"/>
        <v>0.02</v>
      </c>
    </row>
    <row r="819" spans="1:19" x14ac:dyDescent="0.25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e">
        <f>VLOOKUP('Customer Info'!A811,'Customer Info'!A811:I1310,2,FALSE)</f>
        <v>#N/A</v>
      </c>
      <c r="H819" s="6" t="e">
        <f>VLOOKUP('Customer Info'!A811,'Customer Info'!A811:I1311,3,FALSE)</f>
        <v>#N/A</v>
      </c>
      <c r="I819" s="6" t="e">
        <f>VLOOKUP('Customer Info'!A811,'Customer Info'!A811:I1310,5,FALSE)</f>
        <v>#N/A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844</v>
      </c>
      <c r="R819" s="2" t="s">
        <v>26</v>
      </c>
      <c r="S819" s="9">
        <f t="shared" si="64"/>
        <v>0.05</v>
      </c>
    </row>
    <row r="820" spans="1:19" x14ac:dyDescent="0.25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e">
        <f>VLOOKUP('Customer Info'!A812,'Customer Info'!A812:I1311,2,FALSE)</f>
        <v>#N/A</v>
      </c>
      <c r="H820" s="6" t="e">
        <f>VLOOKUP('Customer Info'!A812,'Customer Info'!A812:I1312,3,FALSE)</f>
        <v>#N/A</v>
      </c>
      <c r="I820" s="6" t="e">
        <f>VLOOKUP('Customer Info'!A812,'Customer Info'!A812:I1311,5,FALSE)</f>
        <v>#N/A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178</v>
      </c>
      <c r="R820" s="2" t="s">
        <v>50</v>
      </c>
      <c r="S820" s="9">
        <f t="shared" si="64"/>
        <v>0.02</v>
      </c>
    </row>
    <row r="821" spans="1:19" x14ac:dyDescent="0.25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e">
        <f>VLOOKUP('Customer Info'!A813,'Customer Info'!A813:I1312,2,FALSE)</f>
        <v>#N/A</v>
      </c>
      <c r="H821" s="6" t="e">
        <f>VLOOKUP('Customer Info'!A813,'Customer Info'!A813:I1313,3,FALSE)</f>
        <v>#N/A</v>
      </c>
      <c r="I821" s="6" t="e">
        <f>VLOOKUP('Customer Info'!A813,'Customer Info'!A813:I1312,5,FALSE)</f>
        <v>#N/A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63</v>
      </c>
      <c r="R821" s="2" t="s">
        <v>26</v>
      </c>
      <c r="S821" s="9">
        <f t="shared" si="64"/>
        <v>0.02</v>
      </c>
    </row>
    <row r="822" spans="1:19" x14ac:dyDescent="0.25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e">
        <f>VLOOKUP('Customer Info'!A814,'Customer Info'!A814:I1313,2,FALSE)</f>
        <v>#N/A</v>
      </c>
      <c r="H822" s="6" t="e">
        <f>VLOOKUP('Customer Info'!A814,'Customer Info'!A814:I1314,3,FALSE)</f>
        <v>#N/A</v>
      </c>
      <c r="I822" s="6" t="e">
        <f>VLOOKUP('Customer Info'!A814,'Customer Info'!A814:I1313,5,FALSE)</f>
        <v>#N/A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836</v>
      </c>
      <c r="R822" s="2" t="s">
        <v>50</v>
      </c>
      <c r="S822" s="9">
        <f t="shared" si="64"/>
        <v>0.05</v>
      </c>
    </row>
    <row r="823" spans="1:19" x14ac:dyDescent="0.25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e">
        <f>VLOOKUP('Customer Info'!A815,'Customer Info'!A815:I1314,2,FALSE)</f>
        <v>#N/A</v>
      </c>
      <c r="H823" s="6" t="e">
        <f>VLOOKUP('Customer Info'!A815,'Customer Info'!A815:I1315,3,FALSE)</f>
        <v>#N/A</v>
      </c>
      <c r="I823" s="6" t="e">
        <f>VLOOKUP('Customer Info'!A815,'Customer Info'!A815:I1314,5,FALSE)</f>
        <v>#N/A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52</v>
      </c>
      <c r="R823" s="2" t="s">
        <v>50</v>
      </c>
      <c r="S823" s="9">
        <f t="shared" si="64"/>
        <v>0.02</v>
      </c>
    </row>
    <row r="824" spans="1:19" x14ac:dyDescent="0.25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e">
        <f>VLOOKUP('Customer Info'!A816,'Customer Info'!A816:I1315,2,FALSE)</f>
        <v>#N/A</v>
      </c>
      <c r="H824" s="6" t="e">
        <f>VLOOKUP('Customer Info'!A816,'Customer Info'!A816:I1316,3,FALSE)</f>
        <v>#N/A</v>
      </c>
      <c r="I824" s="6" t="e">
        <f>VLOOKUP('Customer Info'!A816,'Customer Info'!A816:I1315,5,FALSE)</f>
        <v>#N/A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199</v>
      </c>
      <c r="R824" s="2" t="s">
        <v>28</v>
      </c>
      <c r="S824" s="9">
        <f t="shared" si="64"/>
        <v>0.02</v>
      </c>
    </row>
    <row r="825" spans="1:19" x14ac:dyDescent="0.25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e">
        <f>VLOOKUP('Customer Info'!A817,'Customer Info'!A817:I1316,2,FALSE)</f>
        <v>#N/A</v>
      </c>
      <c r="H825" s="6" t="e">
        <f>VLOOKUP('Customer Info'!A817,'Customer Info'!A817:I1317,3,FALSE)</f>
        <v>#N/A</v>
      </c>
      <c r="I825" s="6" t="e">
        <f>VLOOKUP('Customer Info'!A817,'Customer Info'!A817:I1316,5,FALSE)</f>
        <v>#N/A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384</v>
      </c>
      <c r="R825" s="2" t="s">
        <v>28</v>
      </c>
      <c r="S825" s="9">
        <f t="shared" si="64"/>
        <v>0.02</v>
      </c>
    </row>
    <row r="826" spans="1:19" x14ac:dyDescent="0.25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e">
        <f>VLOOKUP('Customer Info'!A818,'Customer Info'!A818:I1317,2,FALSE)</f>
        <v>#N/A</v>
      </c>
      <c r="H826" s="6" t="e">
        <f>VLOOKUP('Customer Info'!A818,'Customer Info'!A818:I1318,3,FALSE)</f>
        <v>#N/A</v>
      </c>
      <c r="I826" s="6" t="e">
        <f>VLOOKUP('Customer Info'!A818,'Customer Info'!A818:I1317,5,FALSE)</f>
        <v>#N/A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992</v>
      </c>
      <c r="R826" s="2" t="s">
        <v>26</v>
      </c>
      <c r="S826" s="9">
        <f t="shared" si="64"/>
        <v>0.05</v>
      </c>
    </row>
    <row r="827" spans="1:19" x14ac:dyDescent="0.25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e">
        <f>VLOOKUP('Customer Info'!A819,'Customer Info'!A819:I1318,2,FALSE)</f>
        <v>#N/A</v>
      </c>
      <c r="H827" s="6" t="e">
        <f>VLOOKUP('Customer Info'!A819,'Customer Info'!A819:I1319,3,FALSE)</f>
        <v>#N/A</v>
      </c>
      <c r="I827" s="6" t="e">
        <f>VLOOKUP('Customer Info'!A819,'Customer Info'!A819:I1318,5,FALSE)</f>
        <v>#N/A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72</v>
      </c>
      <c r="R827" s="2" t="s">
        <v>28</v>
      </c>
      <c r="S827" s="9">
        <f t="shared" si="64"/>
        <v>0.02</v>
      </c>
    </row>
    <row r="828" spans="1:19" x14ac:dyDescent="0.25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e">
        <f>VLOOKUP('Customer Info'!A820,'Customer Info'!A820:I1319,2,FALSE)</f>
        <v>#N/A</v>
      </c>
      <c r="H828" s="6" t="e">
        <f>VLOOKUP('Customer Info'!A820,'Customer Info'!A820:I1320,3,FALSE)</f>
        <v>#N/A</v>
      </c>
      <c r="I828" s="6" t="e">
        <f>VLOOKUP('Customer Info'!A820,'Customer Info'!A820:I1319,5,FALSE)</f>
        <v>#N/A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298</v>
      </c>
      <c r="R828" s="2" t="s">
        <v>50</v>
      </c>
      <c r="S828" s="9">
        <f t="shared" si="64"/>
        <v>0.02</v>
      </c>
    </row>
    <row r="829" spans="1:19" x14ac:dyDescent="0.25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e">
        <f>VLOOKUP('Customer Info'!A821,'Customer Info'!A821:I1320,2,FALSE)</f>
        <v>#N/A</v>
      </c>
      <c r="H829" s="6" t="e">
        <f>VLOOKUP('Customer Info'!A821,'Customer Info'!A821:I1321,3,FALSE)</f>
        <v>#N/A</v>
      </c>
      <c r="I829" s="6" t="e">
        <f>VLOOKUP('Customer Info'!A821,'Customer Info'!A821:I1320,5,FALSE)</f>
        <v>#N/A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153</v>
      </c>
      <c r="R829" s="2" t="s">
        <v>26</v>
      </c>
      <c r="S829" s="9">
        <f t="shared" si="64"/>
        <v>0.05</v>
      </c>
    </row>
    <row r="830" spans="1:19" x14ac:dyDescent="0.25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e">
        <f>VLOOKUP('Customer Info'!A822,'Customer Info'!A822:I1321,2,FALSE)</f>
        <v>#N/A</v>
      </c>
      <c r="H830" s="6" t="e">
        <f>VLOOKUP('Customer Info'!A822,'Customer Info'!A822:I1322,3,FALSE)</f>
        <v>#N/A</v>
      </c>
      <c r="I830" s="6" t="e">
        <f>VLOOKUP('Customer Info'!A822,'Customer Info'!A822:I1321,5,FALSE)</f>
        <v>#N/A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292</v>
      </c>
      <c r="R830" s="2" t="s">
        <v>26</v>
      </c>
      <c r="S830" s="9">
        <f t="shared" si="64"/>
        <v>0.02</v>
      </c>
    </row>
    <row r="831" spans="1:19" x14ac:dyDescent="0.25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e">
        <f>VLOOKUP('Customer Info'!A823,'Customer Info'!A823:I1322,2,FALSE)</f>
        <v>#N/A</v>
      </c>
      <c r="H831" s="6" t="e">
        <f>VLOOKUP('Customer Info'!A823,'Customer Info'!A823:I1323,3,FALSE)</f>
        <v>#N/A</v>
      </c>
      <c r="I831" s="6" t="e">
        <f>VLOOKUP('Customer Info'!A823,'Customer Info'!A823:I1322,5,FALSE)</f>
        <v>#N/A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52</v>
      </c>
      <c r="R831" s="2" t="s">
        <v>56</v>
      </c>
      <c r="S831" s="9">
        <f t="shared" si="64"/>
        <v>0.02</v>
      </c>
    </row>
    <row r="832" spans="1:19" x14ac:dyDescent="0.25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e">
        <f>VLOOKUP('Customer Info'!A824,'Customer Info'!A824:I1323,2,FALSE)</f>
        <v>#N/A</v>
      </c>
      <c r="H832" s="6" t="e">
        <f>VLOOKUP('Customer Info'!A824,'Customer Info'!A824:I1324,3,FALSE)</f>
        <v>#N/A</v>
      </c>
      <c r="I832" s="6" t="e">
        <f>VLOOKUP('Customer Info'!A824,'Customer Info'!A824:I1323,5,FALSE)</f>
        <v>#N/A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1087</v>
      </c>
      <c r="R832" s="2" t="s">
        <v>28</v>
      </c>
      <c r="S832" s="9">
        <f t="shared" si="64"/>
        <v>0.05</v>
      </c>
    </row>
    <row r="833" spans="1:19" x14ac:dyDescent="0.25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e">
        <f>VLOOKUP('Customer Info'!A825,'Customer Info'!A825:I1324,2,FALSE)</f>
        <v>#N/A</v>
      </c>
      <c r="H833" s="6" t="e">
        <f>VLOOKUP('Customer Info'!A825,'Customer Info'!A825:I1325,3,FALSE)</f>
        <v>#N/A</v>
      </c>
      <c r="I833" s="6" t="e">
        <f>VLOOKUP('Customer Info'!A825,'Customer Info'!A825:I1324,5,FALSE)</f>
        <v>#N/A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4358</v>
      </c>
      <c r="R833" s="2" t="s">
        <v>56</v>
      </c>
      <c r="S833" s="9">
        <f t="shared" si="64"/>
        <v>7.0000000000000007E-2</v>
      </c>
    </row>
    <row r="834" spans="1:19" x14ac:dyDescent="0.25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e">
        <f>VLOOKUP('Customer Info'!A826,'Customer Info'!A826:I1325,2,FALSE)</f>
        <v>#N/A</v>
      </c>
      <c r="H834" s="6" t="e">
        <f>VLOOKUP('Customer Info'!A826,'Customer Info'!A826:I1326,3,FALSE)</f>
        <v>#N/A</v>
      </c>
      <c r="I834" s="6" t="e">
        <f>VLOOKUP('Customer Info'!A826,'Customer Info'!A826:I1325,5,FALSE)</f>
        <v>#N/A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1340</v>
      </c>
      <c r="R834" s="2" t="s">
        <v>28</v>
      </c>
      <c r="S834" s="9">
        <f t="shared" si="64"/>
        <v>0.05</v>
      </c>
    </row>
    <row r="835" spans="1:19" x14ac:dyDescent="0.25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e">
        <f>VLOOKUP('Customer Info'!A827,'Customer Info'!A827:I1326,2,FALSE)</f>
        <v>#N/A</v>
      </c>
      <c r="H835" s="6" t="e">
        <f>VLOOKUP('Customer Info'!A827,'Customer Info'!A827:I1327,3,FALSE)</f>
        <v>#N/A</v>
      </c>
      <c r="I835" s="6" t="e">
        <f>VLOOKUP('Customer Info'!A827,'Customer Info'!A827:I1326,5,FALSE)</f>
        <v>#N/A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186</v>
      </c>
      <c r="R835" s="2" t="s">
        <v>50</v>
      </c>
      <c r="S835" s="9">
        <f t="shared" si="64"/>
        <v>0.02</v>
      </c>
    </row>
    <row r="836" spans="1:19" x14ac:dyDescent="0.25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e">
        <f>VLOOKUP('Customer Info'!A828,'Customer Info'!A828:I1327,2,FALSE)</f>
        <v>#N/A</v>
      </c>
      <c r="H836" s="6" t="e">
        <f>VLOOKUP('Customer Info'!A828,'Customer Info'!A828:I1328,3,FALSE)</f>
        <v>#N/A</v>
      </c>
      <c r="I836" s="6" t="e">
        <f>VLOOKUP('Customer Info'!A828,'Customer Info'!A828:I1327,5,FALSE)</f>
        <v>#N/A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60</v>
      </c>
      <c r="R836" s="2" t="s">
        <v>28</v>
      </c>
      <c r="S836" s="9">
        <f t="shared" si="64"/>
        <v>0.02</v>
      </c>
    </row>
    <row r="837" spans="1:19" x14ac:dyDescent="0.25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e">
        <f>VLOOKUP('Customer Info'!A829,'Customer Info'!A829:I1328,2,FALSE)</f>
        <v>#N/A</v>
      </c>
      <c r="H837" s="6" t="e">
        <f>VLOOKUP('Customer Info'!A829,'Customer Info'!A829:I1329,3,FALSE)</f>
        <v>#N/A</v>
      </c>
      <c r="I837" s="6" t="e">
        <f>VLOOKUP('Customer Info'!A829,'Customer Info'!A829:I1328,5,FALSE)</f>
        <v>#N/A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507</v>
      </c>
      <c r="R837" s="2" t="s">
        <v>28</v>
      </c>
      <c r="S837" s="9">
        <f t="shared" si="64"/>
        <v>0.05</v>
      </c>
    </row>
    <row r="838" spans="1:19" x14ac:dyDescent="0.25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e">
        <f>VLOOKUP('Customer Info'!A830,'Customer Info'!A830:I1329,2,FALSE)</f>
        <v>#N/A</v>
      </c>
      <c r="H838" s="6" t="e">
        <f>VLOOKUP('Customer Info'!A830,'Customer Info'!A830:I1330,3,FALSE)</f>
        <v>#N/A</v>
      </c>
      <c r="I838" s="6" t="e">
        <f>VLOOKUP('Customer Info'!A830,'Customer Info'!A830:I1329,5,FALSE)</f>
        <v>#N/A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518</v>
      </c>
      <c r="R838" s="2" t="s">
        <v>28</v>
      </c>
      <c r="S838" s="9">
        <f t="shared" si="64"/>
        <v>0.05</v>
      </c>
    </row>
    <row r="839" spans="1:19" x14ac:dyDescent="0.25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e">
        <f>VLOOKUP('Customer Info'!A831,'Customer Info'!A831:I1330,2,FALSE)</f>
        <v>#N/A</v>
      </c>
      <c r="H839" s="6" t="e">
        <f>VLOOKUP('Customer Info'!A831,'Customer Info'!A831:I1331,3,FALSE)</f>
        <v>#N/A</v>
      </c>
      <c r="I839" s="6" t="e">
        <f>VLOOKUP('Customer Info'!A831,'Customer Info'!A831:I1330,5,FALSE)</f>
        <v>#N/A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503</v>
      </c>
      <c r="R839" s="2" t="s">
        <v>28</v>
      </c>
      <c r="S839" s="9">
        <f t="shared" si="64"/>
        <v>0.05</v>
      </c>
    </row>
    <row r="840" spans="1:19" x14ac:dyDescent="0.25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e">
        <f>VLOOKUP('Customer Info'!A832,'Customer Info'!A832:I1331,2,FALSE)</f>
        <v>#N/A</v>
      </c>
      <c r="H840" s="6" t="e">
        <f>VLOOKUP('Customer Info'!A832,'Customer Info'!A832:I1332,3,FALSE)</f>
        <v>#N/A</v>
      </c>
      <c r="I840" s="6" t="e">
        <f>VLOOKUP('Customer Info'!A832,'Customer Info'!A832:I1331,5,FALSE)</f>
        <v>#N/A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495</v>
      </c>
      <c r="R840" s="2" t="s">
        <v>28</v>
      </c>
      <c r="S840" s="9">
        <f t="shared" si="64"/>
        <v>0.05</v>
      </c>
    </row>
    <row r="841" spans="1:19" x14ac:dyDescent="0.25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e">
        <f>VLOOKUP('Customer Info'!A833,'Customer Info'!A833:I1332,2,FALSE)</f>
        <v>#N/A</v>
      </c>
      <c r="H841" s="6" t="e">
        <f>VLOOKUP('Customer Info'!A833,'Customer Info'!A833:I1333,3,FALSE)</f>
        <v>#N/A</v>
      </c>
      <c r="I841" s="6" t="e">
        <f>VLOOKUP('Customer Info'!A833,'Customer Info'!A833:I1332,5,FALSE)</f>
        <v>#N/A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1792</v>
      </c>
      <c r="R841" s="2" t="s">
        <v>56</v>
      </c>
      <c r="S841" s="9">
        <f t="shared" si="64"/>
        <v>7.0000000000000007E-2</v>
      </c>
    </row>
    <row r="842" spans="1:19" x14ac:dyDescent="0.25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e">
        <f>VLOOKUP('Customer Info'!A834,'Customer Info'!A834:I1333,2,FALSE)</f>
        <v>#N/A</v>
      </c>
      <c r="H842" s="6" t="e">
        <f>VLOOKUP('Customer Info'!A834,'Customer Info'!A834:I1334,3,FALSE)</f>
        <v>#N/A</v>
      </c>
      <c r="I842" s="6" t="e">
        <f>VLOOKUP('Customer Info'!A834,'Customer Info'!A834:I1333,5,FALSE)</f>
        <v>#N/A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253</v>
      </c>
      <c r="R842" s="2" t="s">
        <v>50</v>
      </c>
      <c r="S842" s="9">
        <f t="shared" si="64"/>
        <v>0.02</v>
      </c>
    </row>
    <row r="843" spans="1:19" x14ac:dyDescent="0.25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e">
        <f>VLOOKUP('Customer Info'!A835,'Customer Info'!A835:I1334,2,FALSE)</f>
        <v>#N/A</v>
      </c>
      <c r="H843" s="6" t="e">
        <f>VLOOKUP('Customer Info'!A835,'Customer Info'!A835:I1335,3,FALSE)</f>
        <v>#N/A</v>
      </c>
      <c r="I843" s="6" t="e">
        <f>VLOOKUP('Customer Info'!A835,'Customer Info'!A835:I1334,5,FALSE)</f>
        <v>#N/A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8">
        <f t="shared" ref="P843:P906" si="67">N843+O843</f>
        <v>929</v>
      </c>
      <c r="Q843" s="8">
        <f t="shared" ref="Q843:Q906" si="68">P843-M843</f>
        <v>137</v>
      </c>
      <c r="R843" s="2" t="s">
        <v>28</v>
      </c>
      <c r="S843" s="9">
        <f t="shared" ref="S843:S906" si="69">VLOOKUP(P843,$T$2:$U$7,2,TRUE)</f>
        <v>0.02</v>
      </c>
    </row>
    <row r="844" spans="1:19" x14ac:dyDescent="0.25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e">
        <f>VLOOKUP('Customer Info'!A836,'Customer Info'!A836:I1335,2,FALSE)</f>
        <v>#N/A</v>
      </c>
      <c r="H844" s="6" t="e">
        <f>VLOOKUP('Customer Info'!A836,'Customer Info'!A836:I1336,3,FALSE)</f>
        <v>#N/A</v>
      </c>
      <c r="I844" s="6" t="e">
        <f>VLOOKUP('Customer Info'!A836,'Customer Info'!A836:I1335,5,FALSE)</f>
        <v>#N/A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1018</v>
      </c>
      <c r="R844" s="2" t="s">
        <v>28</v>
      </c>
      <c r="S844" s="9">
        <f t="shared" si="69"/>
        <v>0.05</v>
      </c>
    </row>
    <row r="845" spans="1:19" x14ac:dyDescent="0.25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e">
        <f>VLOOKUP('Customer Info'!A837,'Customer Info'!A837:I1336,2,FALSE)</f>
        <v>#N/A</v>
      </c>
      <c r="H845" s="6" t="e">
        <f>VLOOKUP('Customer Info'!A837,'Customer Info'!A837:I1337,3,FALSE)</f>
        <v>#N/A</v>
      </c>
      <c r="I845" s="6" t="e">
        <f>VLOOKUP('Customer Info'!A837,'Customer Info'!A837:I1336,5,FALSE)</f>
        <v>#N/A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279</v>
      </c>
      <c r="R845" s="2" t="s">
        <v>28</v>
      </c>
      <c r="S845" s="9">
        <f t="shared" si="69"/>
        <v>0.02</v>
      </c>
    </row>
    <row r="846" spans="1:19" x14ac:dyDescent="0.25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e">
        <f>VLOOKUP('Customer Info'!A838,'Customer Info'!A838:I1337,2,FALSE)</f>
        <v>#N/A</v>
      </c>
      <c r="H846" s="6" t="e">
        <f>VLOOKUP('Customer Info'!A838,'Customer Info'!A838:I1338,3,FALSE)</f>
        <v>#N/A</v>
      </c>
      <c r="I846" s="6" t="e">
        <f>VLOOKUP('Customer Info'!A838,'Customer Info'!A838:I1337,5,FALSE)</f>
        <v>#N/A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573</v>
      </c>
      <c r="R846" s="2" t="s">
        <v>50</v>
      </c>
      <c r="S846" s="9">
        <f t="shared" si="69"/>
        <v>0.05</v>
      </c>
    </row>
    <row r="847" spans="1:19" x14ac:dyDescent="0.25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e">
        <f>VLOOKUP('Customer Info'!A839,'Customer Info'!A839:I1338,2,FALSE)</f>
        <v>#N/A</v>
      </c>
      <c r="H847" s="6" t="e">
        <f>VLOOKUP('Customer Info'!A839,'Customer Info'!A839:I1339,3,FALSE)</f>
        <v>#N/A</v>
      </c>
      <c r="I847" s="6" t="e">
        <f>VLOOKUP('Customer Info'!A839,'Customer Info'!A839:I1338,5,FALSE)</f>
        <v>#N/A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622</v>
      </c>
      <c r="R847" s="2" t="s">
        <v>28</v>
      </c>
      <c r="S847" s="9">
        <f t="shared" si="69"/>
        <v>0.09</v>
      </c>
    </row>
    <row r="848" spans="1:19" x14ac:dyDescent="0.25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e">
        <f>VLOOKUP('Customer Info'!A840,'Customer Info'!A840:I1339,2,FALSE)</f>
        <v>#N/A</v>
      </c>
      <c r="H848" s="6" t="e">
        <f>VLOOKUP('Customer Info'!A840,'Customer Info'!A840:I1340,3,FALSE)</f>
        <v>#N/A</v>
      </c>
      <c r="I848" s="6" t="e">
        <f>VLOOKUP('Customer Info'!A840,'Customer Info'!A840:I1339,5,FALSE)</f>
        <v>#N/A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159</v>
      </c>
      <c r="R848" s="2" t="s">
        <v>28</v>
      </c>
      <c r="S848" s="9">
        <f t="shared" si="69"/>
        <v>0.02</v>
      </c>
    </row>
    <row r="849" spans="1:19" x14ac:dyDescent="0.25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e">
        <f>VLOOKUP('Customer Info'!A841,'Customer Info'!A841:I1340,2,FALSE)</f>
        <v>#N/A</v>
      </c>
      <c r="H849" s="6" t="e">
        <f>VLOOKUP('Customer Info'!A841,'Customer Info'!A841:I1341,3,FALSE)</f>
        <v>#N/A</v>
      </c>
      <c r="I849" s="6" t="e">
        <f>VLOOKUP('Customer Info'!A841,'Customer Info'!A841:I1340,5,FALSE)</f>
        <v>#N/A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1435</v>
      </c>
      <c r="R849" s="2" t="s">
        <v>50</v>
      </c>
      <c r="S849" s="9">
        <f t="shared" si="69"/>
        <v>0.05</v>
      </c>
    </row>
    <row r="850" spans="1:19" x14ac:dyDescent="0.25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e">
        <f>VLOOKUP('Customer Info'!A842,'Customer Info'!A842:I1341,2,FALSE)</f>
        <v>#N/A</v>
      </c>
      <c r="H850" s="6" t="e">
        <f>VLOOKUP('Customer Info'!A842,'Customer Info'!A842:I1342,3,FALSE)</f>
        <v>#N/A</v>
      </c>
      <c r="I850" s="6" t="e">
        <f>VLOOKUP('Customer Info'!A842,'Customer Info'!A842:I1341,5,FALSE)</f>
        <v>#N/A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532</v>
      </c>
      <c r="R850" s="2" t="s">
        <v>28</v>
      </c>
      <c r="S850" s="9">
        <f t="shared" si="69"/>
        <v>0.02</v>
      </c>
    </row>
    <row r="851" spans="1:19" x14ac:dyDescent="0.25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e">
        <f>VLOOKUP('Customer Info'!A843,'Customer Info'!A843:I1342,2,FALSE)</f>
        <v>#N/A</v>
      </c>
      <c r="H851" s="6" t="e">
        <f>VLOOKUP('Customer Info'!A843,'Customer Info'!A843:I1343,3,FALSE)</f>
        <v>#N/A</v>
      </c>
      <c r="I851" s="6" t="e">
        <f>VLOOKUP('Customer Info'!A843,'Customer Info'!A843:I1342,5,FALSE)</f>
        <v>#N/A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380</v>
      </c>
      <c r="R851" s="2" t="s">
        <v>28</v>
      </c>
      <c r="S851" s="9">
        <f t="shared" si="69"/>
        <v>0.02</v>
      </c>
    </row>
    <row r="852" spans="1:19" x14ac:dyDescent="0.25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e">
        <f>VLOOKUP('Customer Info'!A844,'Customer Info'!A844:I1343,2,FALSE)</f>
        <v>#N/A</v>
      </c>
      <c r="H852" s="6" t="e">
        <f>VLOOKUP('Customer Info'!A844,'Customer Info'!A844:I1344,3,FALSE)</f>
        <v>#N/A</v>
      </c>
      <c r="I852" s="6" t="e">
        <f>VLOOKUP('Customer Info'!A844,'Customer Info'!A844:I1343,5,FALSE)</f>
        <v>#N/A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48</v>
      </c>
      <c r="R852" s="2" t="s">
        <v>28</v>
      </c>
      <c r="S852" s="9">
        <f t="shared" si="69"/>
        <v>0.02</v>
      </c>
    </row>
    <row r="853" spans="1:19" x14ac:dyDescent="0.25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e">
        <f>VLOOKUP('Customer Info'!A845,'Customer Info'!A845:I1344,2,FALSE)</f>
        <v>#N/A</v>
      </c>
      <c r="H853" s="6" t="e">
        <f>VLOOKUP('Customer Info'!A845,'Customer Info'!A845:I1345,3,FALSE)</f>
        <v>#N/A</v>
      </c>
      <c r="I853" s="6" t="e">
        <f>VLOOKUP('Customer Info'!A845,'Customer Info'!A845:I1344,5,FALSE)</f>
        <v>#N/A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81</v>
      </c>
      <c r="R853" s="2" t="s">
        <v>28</v>
      </c>
      <c r="S853" s="9">
        <f t="shared" si="69"/>
        <v>0.02</v>
      </c>
    </row>
    <row r="854" spans="1:19" x14ac:dyDescent="0.25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e">
        <f>VLOOKUP('Customer Info'!A846,'Customer Info'!A846:I1345,2,FALSE)</f>
        <v>#N/A</v>
      </c>
      <c r="H854" s="6" t="e">
        <f>VLOOKUP('Customer Info'!A846,'Customer Info'!A846:I1346,3,FALSE)</f>
        <v>#N/A</v>
      </c>
      <c r="I854" s="6" t="e">
        <f>VLOOKUP('Customer Info'!A846,'Customer Info'!A846:I1345,5,FALSE)</f>
        <v>#N/A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375</v>
      </c>
      <c r="R854" s="2" t="s">
        <v>28</v>
      </c>
      <c r="S854" s="9">
        <f t="shared" si="69"/>
        <v>0.02</v>
      </c>
    </row>
    <row r="855" spans="1:19" x14ac:dyDescent="0.25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e">
        <f>VLOOKUP('Customer Info'!A847,'Customer Info'!A847:I1346,2,FALSE)</f>
        <v>#N/A</v>
      </c>
      <c r="H855" s="6" t="e">
        <f>VLOOKUP('Customer Info'!A847,'Customer Info'!A847:I1347,3,FALSE)</f>
        <v>#N/A</v>
      </c>
      <c r="I855" s="6" t="e">
        <f>VLOOKUP('Customer Info'!A847,'Customer Info'!A847:I1346,5,FALSE)</f>
        <v>#N/A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1023</v>
      </c>
      <c r="R855" s="2" t="s">
        <v>50</v>
      </c>
      <c r="S855" s="9">
        <f t="shared" si="69"/>
        <v>0.05</v>
      </c>
    </row>
    <row r="856" spans="1:19" x14ac:dyDescent="0.25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e">
        <f>VLOOKUP('Customer Info'!A848,'Customer Info'!A848:I1347,2,FALSE)</f>
        <v>#N/A</v>
      </c>
      <c r="H856" s="6" t="e">
        <f>VLOOKUP('Customer Info'!A848,'Customer Info'!A848:I1348,3,FALSE)</f>
        <v>#N/A</v>
      </c>
      <c r="I856" s="6" t="e">
        <f>VLOOKUP('Customer Info'!A848,'Customer Info'!A848:I1347,5,FALSE)</f>
        <v>#N/A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40</v>
      </c>
      <c r="R856" s="2" t="s">
        <v>28</v>
      </c>
      <c r="S856" s="9">
        <f t="shared" si="69"/>
        <v>0.02</v>
      </c>
    </row>
    <row r="857" spans="1:19" x14ac:dyDescent="0.25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e">
        <f>VLOOKUP('Customer Info'!A849,'Customer Info'!A849:I1348,2,FALSE)</f>
        <v>#N/A</v>
      </c>
      <c r="H857" s="6" t="e">
        <f>VLOOKUP('Customer Info'!A849,'Customer Info'!A849:I1349,3,FALSE)</f>
        <v>#N/A</v>
      </c>
      <c r="I857" s="6" t="e">
        <f>VLOOKUP('Customer Info'!A849,'Customer Info'!A849:I1348,5,FALSE)</f>
        <v>#N/A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1297</v>
      </c>
      <c r="R857" s="2" t="s">
        <v>28</v>
      </c>
      <c r="S857" s="9">
        <f t="shared" si="69"/>
        <v>0.05</v>
      </c>
    </row>
    <row r="858" spans="1:19" x14ac:dyDescent="0.25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e">
        <f>VLOOKUP('Customer Info'!A850,'Customer Info'!A850:I1349,2,FALSE)</f>
        <v>#N/A</v>
      </c>
      <c r="H858" s="6" t="e">
        <f>VLOOKUP('Customer Info'!A850,'Customer Info'!A850:I1350,3,FALSE)</f>
        <v>#N/A</v>
      </c>
      <c r="I858" s="6" t="e">
        <f>VLOOKUP('Customer Info'!A850,'Customer Info'!A850:I1349,5,FALSE)</f>
        <v>#N/A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38</v>
      </c>
      <c r="R858" s="2" t="s">
        <v>28</v>
      </c>
      <c r="S858" s="9">
        <f t="shared" si="69"/>
        <v>0.02</v>
      </c>
    </row>
    <row r="859" spans="1:19" x14ac:dyDescent="0.25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e">
        <f>VLOOKUP('Customer Info'!A851,'Customer Info'!A851:I1350,2,FALSE)</f>
        <v>#N/A</v>
      </c>
      <c r="H859" s="6" t="e">
        <f>VLOOKUP('Customer Info'!A851,'Customer Info'!A851:I1351,3,FALSE)</f>
        <v>#N/A</v>
      </c>
      <c r="I859" s="6" t="e">
        <f>VLOOKUP('Customer Info'!A851,'Customer Info'!A851:I1350,5,FALSE)</f>
        <v>#N/A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22</v>
      </c>
      <c r="R859" s="2" t="s">
        <v>28</v>
      </c>
      <c r="S859" s="9">
        <f t="shared" si="69"/>
        <v>0.02</v>
      </c>
    </row>
    <row r="860" spans="1:19" x14ac:dyDescent="0.25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e">
        <f>VLOOKUP('Customer Info'!A852,'Customer Info'!A852:I1351,2,FALSE)</f>
        <v>#N/A</v>
      </c>
      <c r="H860" s="6" t="e">
        <f>VLOOKUP('Customer Info'!A852,'Customer Info'!A852:I1352,3,FALSE)</f>
        <v>#N/A</v>
      </c>
      <c r="I860" s="6" t="e">
        <f>VLOOKUP('Customer Info'!A852,'Customer Info'!A852:I1351,5,FALSE)</f>
        <v>#N/A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393</v>
      </c>
      <c r="R860" s="2" t="s">
        <v>28</v>
      </c>
      <c r="S860" s="9">
        <f t="shared" si="69"/>
        <v>0.05</v>
      </c>
    </row>
    <row r="861" spans="1:19" x14ac:dyDescent="0.25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e">
        <f>VLOOKUP('Customer Info'!A853,'Customer Info'!A853:I1352,2,FALSE)</f>
        <v>#N/A</v>
      </c>
      <c r="H861" s="6" t="e">
        <f>VLOOKUP('Customer Info'!A853,'Customer Info'!A853:I1353,3,FALSE)</f>
        <v>#N/A</v>
      </c>
      <c r="I861" s="6" t="e">
        <f>VLOOKUP('Customer Info'!A853,'Customer Info'!A853:I1352,5,FALSE)</f>
        <v>#N/A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135</v>
      </c>
      <c r="R861" s="2" t="s">
        <v>50</v>
      </c>
      <c r="S861" s="9">
        <f t="shared" si="69"/>
        <v>0.02</v>
      </c>
    </row>
    <row r="862" spans="1:19" x14ac:dyDescent="0.25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e">
        <f>VLOOKUP('Customer Info'!A854,'Customer Info'!A854:I1353,2,FALSE)</f>
        <v>#N/A</v>
      </c>
      <c r="H862" s="6" t="e">
        <f>VLOOKUP('Customer Info'!A854,'Customer Info'!A854:I1354,3,FALSE)</f>
        <v>#N/A</v>
      </c>
      <c r="I862" s="6" t="e">
        <f>VLOOKUP('Customer Info'!A854,'Customer Info'!A854:I1353,5,FALSE)</f>
        <v>#N/A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313</v>
      </c>
      <c r="R862" s="2" t="s">
        <v>28</v>
      </c>
      <c r="S862" s="9">
        <f t="shared" si="69"/>
        <v>0.05</v>
      </c>
    </row>
    <row r="863" spans="1:19" x14ac:dyDescent="0.25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e">
        <f>VLOOKUP('Customer Info'!A855,'Customer Info'!A855:I1354,2,FALSE)</f>
        <v>#N/A</v>
      </c>
      <c r="H863" s="6" t="e">
        <f>VLOOKUP('Customer Info'!A855,'Customer Info'!A855:I1355,3,FALSE)</f>
        <v>#N/A</v>
      </c>
      <c r="I863" s="6" t="e">
        <f>VLOOKUP('Customer Info'!A855,'Customer Info'!A855:I1354,5,FALSE)</f>
        <v>#N/A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18</v>
      </c>
      <c r="R863" s="2" t="s">
        <v>26</v>
      </c>
      <c r="S863" s="9">
        <f t="shared" si="69"/>
        <v>0.02</v>
      </c>
    </row>
    <row r="864" spans="1:19" x14ac:dyDescent="0.25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e">
        <f>VLOOKUP('Customer Info'!A856,'Customer Info'!A856:I1355,2,FALSE)</f>
        <v>#N/A</v>
      </c>
      <c r="H864" s="6" t="e">
        <f>VLOOKUP('Customer Info'!A856,'Customer Info'!A856:I1356,3,FALSE)</f>
        <v>#N/A</v>
      </c>
      <c r="I864" s="6" t="e">
        <f>VLOOKUP('Customer Info'!A856,'Customer Info'!A856:I1355,5,FALSE)</f>
        <v>#N/A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871</v>
      </c>
      <c r="R864" s="2" t="s">
        <v>50</v>
      </c>
      <c r="S864" s="9">
        <f t="shared" si="69"/>
        <v>0.05</v>
      </c>
    </row>
    <row r="865" spans="1:19" x14ac:dyDescent="0.25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e">
        <f>VLOOKUP('Customer Info'!A857,'Customer Info'!A857:I1356,2,FALSE)</f>
        <v>#N/A</v>
      </c>
      <c r="H865" s="6" t="e">
        <f>VLOOKUP('Customer Info'!A857,'Customer Info'!A857:I1357,3,FALSE)</f>
        <v>#N/A</v>
      </c>
      <c r="I865" s="6" t="e">
        <f>VLOOKUP('Customer Info'!A857,'Customer Info'!A857:I1356,5,FALSE)</f>
        <v>#N/A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59</v>
      </c>
      <c r="R865" s="2" t="s">
        <v>28</v>
      </c>
      <c r="S865" s="9">
        <f t="shared" si="69"/>
        <v>0.02</v>
      </c>
    </row>
    <row r="866" spans="1:19" x14ac:dyDescent="0.25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e">
        <f>VLOOKUP('Customer Info'!A858,'Customer Info'!A858:I1357,2,FALSE)</f>
        <v>#N/A</v>
      </c>
      <c r="H866" s="6" t="e">
        <f>VLOOKUP('Customer Info'!A858,'Customer Info'!A858:I1358,3,FALSE)</f>
        <v>#N/A</v>
      </c>
      <c r="I866" s="6" t="e">
        <f>VLOOKUP('Customer Info'!A858,'Customer Info'!A858:I1357,5,FALSE)</f>
        <v>#N/A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459</v>
      </c>
      <c r="R866" s="2" t="s">
        <v>50</v>
      </c>
      <c r="S866" s="9">
        <f t="shared" si="69"/>
        <v>0.02</v>
      </c>
    </row>
    <row r="867" spans="1:19" x14ac:dyDescent="0.25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e">
        <f>VLOOKUP('Customer Info'!A859,'Customer Info'!A859:I1358,2,FALSE)</f>
        <v>#N/A</v>
      </c>
      <c r="H867" s="6" t="e">
        <f>VLOOKUP('Customer Info'!A859,'Customer Info'!A859:I1359,3,FALSE)</f>
        <v>#N/A</v>
      </c>
      <c r="I867" s="6" t="e">
        <f>VLOOKUP('Customer Info'!A859,'Customer Info'!A859:I1358,5,FALSE)</f>
        <v>#N/A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251</v>
      </c>
      <c r="R867" s="2" t="s">
        <v>28</v>
      </c>
      <c r="S867" s="9">
        <f t="shared" si="69"/>
        <v>0.02</v>
      </c>
    </row>
    <row r="868" spans="1:19" x14ac:dyDescent="0.25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e">
        <f>VLOOKUP('Customer Info'!A860,'Customer Info'!A860:I1359,2,FALSE)</f>
        <v>#N/A</v>
      </c>
      <c r="H868" s="6" t="e">
        <f>VLOOKUP('Customer Info'!A860,'Customer Info'!A860:I1360,3,FALSE)</f>
        <v>#N/A</v>
      </c>
      <c r="I868" s="6" t="e">
        <f>VLOOKUP('Customer Info'!A860,'Customer Info'!A860:I1359,5,FALSE)</f>
        <v>#N/A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428</v>
      </c>
      <c r="R868" s="2" t="s">
        <v>28</v>
      </c>
      <c r="S868" s="9">
        <f t="shared" si="69"/>
        <v>0.05</v>
      </c>
    </row>
    <row r="869" spans="1:19" x14ac:dyDescent="0.25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e">
        <f>VLOOKUP('Customer Info'!A861,'Customer Info'!A861:I1360,2,FALSE)</f>
        <v>#N/A</v>
      </c>
      <c r="H869" s="6" t="e">
        <f>VLOOKUP('Customer Info'!A861,'Customer Info'!A861:I1361,3,FALSE)</f>
        <v>#N/A</v>
      </c>
      <c r="I869" s="6" t="e">
        <f>VLOOKUP('Customer Info'!A861,'Customer Info'!A861:I1360,5,FALSE)</f>
        <v>#N/A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167</v>
      </c>
      <c r="R869" s="2" t="s">
        <v>50</v>
      </c>
      <c r="S869" s="9">
        <f t="shared" si="69"/>
        <v>0.02</v>
      </c>
    </row>
    <row r="870" spans="1:19" x14ac:dyDescent="0.25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e">
        <f>VLOOKUP('Customer Info'!A862,'Customer Info'!A862:I1361,2,FALSE)</f>
        <v>#N/A</v>
      </c>
      <c r="H870" s="6" t="e">
        <f>VLOOKUP('Customer Info'!A862,'Customer Info'!A862:I1362,3,FALSE)</f>
        <v>#N/A</v>
      </c>
      <c r="I870" s="6" t="e">
        <f>VLOOKUP('Customer Info'!A862,'Customer Info'!A862:I1361,5,FALSE)</f>
        <v>#N/A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38</v>
      </c>
      <c r="R870" s="2" t="s">
        <v>50</v>
      </c>
      <c r="S870" s="9">
        <f t="shared" si="69"/>
        <v>0.02</v>
      </c>
    </row>
    <row r="871" spans="1:19" x14ac:dyDescent="0.25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e">
        <f>VLOOKUP('Customer Info'!A863,'Customer Info'!A863:I1362,2,FALSE)</f>
        <v>#N/A</v>
      </c>
      <c r="H871" s="6" t="e">
        <f>VLOOKUP('Customer Info'!A863,'Customer Info'!A863:I1363,3,FALSE)</f>
        <v>#N/A</v>
      </c>
      <c r="I871" s="6" t="e">
        <f>VLOOKUP('Customer Info'!A863,'Customer Info'!A863:I1362,5,FALSE)</f>
        <v>#N/A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6026</v>
      </c>
      <c r="R871" s="2" t="s">
        <v>28</v>
      </c>
      <c r="S871" s="9">
        <f t="shared" si="69"/>
        <v>0.12</v>
      </c>
    </row>
    <row r="872" spans="1:19" x14ac:dyDescent="0.25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e">
        <f>VLOOKUP('Customer Info'!A864,'Customer Info'!A864:I1363,2,FALSE)</f>
        <v>#N/A</v>
      </c>
      <c r="H872" s="6" t="e">
        <f>VLOOKUP('Customer Info'!A864,'Customer Info'!A864:I1364,3,FALSE)</f>
        <v>#N/A</v>
      </c>
      <c r="I872" s="6" t="e">
        <f>VLOOKUP('Customer Info'!A864,'Customer Info'!A864:I1363,5,FALSE)</f>
        <v>#N/A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320</v>
      </c>
      <c r="R872" s="2" t="s">
        <v>26</v>
      </c>
      <c r="S872" s="9">
        <f t="shared" si="69"/>
        <v>0.02</v>
      </c>
    </row>
    <row r="873" spans="1:19" x14ac:dyDescent="0.25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e">
        <f>VLOOKUP('Customer Info'!A865,'Customer Info'!A865:I1364,2,FALSE)</f>
        <v>#N/A</v>
      </c>
      <c r="H873" s="6" t="e">
        <f>VLOOKUP('Customer Info'!A865,'Customer Info'!A865:I1365,3,FALSE)</f>
        <v>#N/A</v>
      </c>
      <c r="I873" s="6" t="e">
        <f>VLOOKUP('Customer Info'!A865,'Customer Info'!A865:I1364,5,FALSE)</f>
        <v>#N/A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778</v>
      </c>
      <c r="R873" s="2" t="s">
        <v>26</v>
      </c>
      <c r="S873" s="9">
        <f t="shared" si="69"/>
        <v>0.05</v>
      </c>
    </row>
    <row r="874" spans="1:19" x14ac:dyDescent="0.25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e">
        <f>VLOOKUP('Customer Info'!A866,'Customer Info'!A866:I1365,2,FALSE)</f>
        <v>#N/A</v>
      </c>
      <c r="H874" s="6" t="e">
        <f>VLOOKUP('Customer Info'!A866,'Customer Info'!A866:I1366,3,FALSE)</f>
        <v>#N/A</v>
      </c>
      <c r="I874" s="6" t="e">
        <f>VLOOKUP('Customer Info'!A866,'Customer Info'!A866:I1365,5,FALSE)</f>
        <v>#N/A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350</v>
      </c>
      <c r="R874" s="2" t="s">
        <v>28</v>
      </c>
      <c r="S874" s="9">
        <f t="shared" si="69"/>
        <v>0.02</v>
      </c>
    </row>
    <row r="875" spans="1:19" x14ac:dyDescent="0.25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e">
        <f>VLOOKUP('Customer Info'!A867,'Customer Info'!A867:I1366,2,FALSE)</f>
        <v>#N/A</v>
      </c>
      <c r="H875" s="6" t="e">
        <f>VLOOKUP('Customer Info'!A867,'Customer Info'!A867:I1367,3,FALSE)</f>
        <v>#N/A</v>
      </c>
      <c r="I875" s="6" t="e">
        <f>VLOOKUP('Customer Info'!A867,'Customer Info'!A867:I1366,5,FALSE)</f>
        <v>#N/A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52</v>
      </c>
      <c r="R875" s="2" t="s">
        <v>28</v>
      </c>
      <c r="S875" s="9">
        <f t="shared" si="69"/>
        <v>0.02</v>
      </c>
    </row>
    <row r="876" spans="1:19" x14ac:dyDescent="0.25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e">
        <f>VLOOKUP('Customer Info'!A868,'Customer Info'!A868:I1367,2,FALSE)</f>
        <v>#N/A</v>
      </c>
      <c r="H876" s="6" t="e">
        <f>VLOOKUP('Customer Info'!A868,'Customer Info'!A868:I1368,3,FALSE)</f>
        <v>#N/A</v>
      </c>
      <c r="I876" s="6" t="e">
        <f>VLOOKUP('Customer Info'!A868,'Customer Info'!A868:I1367,5,FALSE)</f>
        <v>#N/A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6400</v>
      </c>
      <c r="R876" s="2" t="s">
        <v>28</v>
      </c>
      <c r="S876" s="9">
        <f t="shared" si="69"/>
        <v>0.09</v>
      </c>
    </row>
    <row r="877" spans="1:19" x14ac:dyDescent="0.25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e">
        <f>VLOOKUP('Customer Info'!A869,'Customer Info'!A869:I1368,2,FALSE)</f>
        <v>#N/A</v>
      </c>
      <c r="H877" s="6" t="e">
        <f>VLOOKUP('Customer Info'!A869,'Customer Info'!A869:I1369,3,FALSE)</f>
        <v>#N/A</v>
      </c>
      <c r="I877" s="6" t="e">
        <f>VLOOKUP('Customer Info'!A869,'Customer Info'!A869:I1368,5,FALSE)</f>
        <v>#N/A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60</v>
      </c>
      <c r="R877" s="2" t="s">
        <v>50</v>
      </c>
      <c r="S877" s="9">
        <f t="shared" si="69"/>
        <v>0.02</v>
      </c>
    </row>
    <row r="878" spans="1:19" x14ac:dyDescent="0.25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e">
        <f>VLOOKUP('Customer Info'!A870,'Customer Info'!A870:I1369,2,FALSE)</f>
        <v>#N/A</v>
      </c>
      <c r="H878" s="6" t="e">
        <f>VLOOKUP('Customer Info'!A870,'Customer Info'!A870:I1370,3,FALSE)</f>
        <v>#N/A</v>
      </c>
      <c r="I878" s="6" t="e">
        <f>VLOOKUP('Customer Info'!A870,'Customer Info'!A870:I1369,5,FALSE)</f>
        <v>#N/A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129</v>
      </c>
      <c r="R878" s="2" t="s">
        <v>50</v>
      </c>
      <c r="S878" s="9">
        <f t="shared" si="69"/>
        <v>0.02</v>
      </c>
    </row>
    <row r="879" spans="1:19" x14ac:dyDescent="0.25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e">
        <f>VLOOKUP('Customer Info'!A871,'Customer Info'!A871:I1370,2,FALSE)</f>
        <v>#N/A</v>
      </c>
      <c r="H879" s="6" t="e">
        <f>VLOOKUP('Customer Info'!A871,'Customer Info'!A871:I1371,3,FALSE)</f>
        <v>#N/A</v>
      </c>
      <c r="I879" s="6" t="e">
        <f>VLOOKUP('Customer Info'!A871,'Customer Info'!A871:I1370,5,FALSE)</f>
        <v>#N/A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226</v>
      </c>
      <c r="R879" s="2" t="s">
        <v>26</v>
      </c>
      <c r="S879" s="9">
        <f t="shared" si="69"/>
        <v>0.02</v>
      </c>
    </row>
    <row r="880" spans="1:19" x14ac:dyDescent="0.25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e">
        <f>VLOOKUP('Customer Info'!A872,'Customer Info'!A872:I1371,2,FALSE)</f>
        <v>#N/A</v>
      </c>
      <c r="H880" s="6" t="e">
        <f>VLOOKUP('Customer Info'!A872,'Customer Info'!A872:I1372,3,FALSE)</f>
        <v>#N/A</v>
      </c>
      <c r="I880" s="6" t="e">
        <f>VLOOKUP('Customer Info'!A872,'Customer Info'!A872:I1371,5,FALSE)</f>
        <v>#N/A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30</v>
      </c>
      <c r="R880" s="2" t="s">
        <v>28</v>
      </c>
      <c r="S880" s="9">
        <f t="shared" si="69"/>
        <v>0.02</v>
      </c>
    </row>
    <row r="881" spans="1:19" x14ac:dyDescent="0.25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e">
        <f>VLOOKUP('Customer Info'!A873,'Customer Info'!A873:I1372,2,FALSE)</f>
        <v>#N/A</v>
      </c>
      <c r="H881" s="6" t="e">
        <f>VLOOKUP('Customer Info'!A873,'Customer Info'!A873:I1373,3,FALSE)</f>
        <v>#N/A</v>
      </c>
      <c r="I881" s="6" t="e">
        <f>VLOOKUP('Customer Info'!A873,'Customer Info'!A873:I1372,5,FALSE)</f>
        <v>#N/A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1455</v>
      </c>
      <c r="R881" s="2" t="s">
        <v>28</v>
      </c>
      <c r="S881" s="9">
        <f t="shared" si="69"/>
        <v>0.05</v>
      </c>
    </row>
    <row r="882" spans="1:19" x14ac:dyDescent="0.25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e">
        <f>VLOOKUP('Customer Info'!A874,'Customer Info'!A874:I1373,2,FALSE)</f>
        <v>#N/A</v>
      </c>
      <c r="H882" s="6" t="e">
        <f>VLOOKUP('Customer Info'!A874,'Customer Info'!A874:I1374,3,FALSE)</f>
        <v>#N/A</v>
      </c>
      <c r="I882" s="6" t="e">
        <f>VLOOKUP('Customer Info'!A874,'Customer Info'!A874:I1373,5,FALSE)</f>
        <v>#N/A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41</v>
      </c>
      <c r="R882" s="2" t="s">
        <v>50</v>
      </c>
      <c r="S882" s="9">
        <f t="shared" si="69"/>
        <v>0.02</v>
      </c>
    </row>
    <row r="883" spans="1:19" x14ac:dyDescent="0.25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e">
        <f>VLOOKUP('Customer Info'!A875,'Customer Info'!A875:I1374,2,FALSE)</f>
        <v>#N/A</v>
      </c>
      <c r="H883" s="6" t="e">
        <f>VLOOKUP('Customer Info'!A875,'Customer Info'!A875:I1375,3,FALSE)</f>
        <v>#N/A</v>
      </c>
      <c r="I883" s="6" t="e">
        <f>VLOOKUP('Customer Info'!A875,'Customer Info'!A875:I1374,5,FALSE)</f>
        <v>#N/A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132</v>
      </c>
      <c r="R883" s="2" t="s">
        <v>26</v>
      </c>
      <c r="S883" s="9">
        <f t="shared" si="69"/>
        <v>0.02</v>
      </c>
    </row>
    <row r="884" spans="1:19" x14ac:dyDescent="0.25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e">
        <f>VLOOKUP('Customer Info'!A876,'Customer Info'!A876:I1375,2,FALSE)</f>
        <v>#N/A</v>
      </c>
      <c r="H884" s="6" t="e">
        <f>VLOOKUP('Customer Info'!A876,'Customer Info'!A876:I1376,3,FALSE)</f>
        <v>#N/A</v>
      </c>
      <c r="I884" s="6" t="e">
        <f>VLOOKUP('Customer Info'!A876,'Customer Info'!A876:I1375,5,FALSE)</f>
        <v>#N/A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20</v>
      </c>
      <c r="R884" s="2" t="s">
        <v>28</v>
      </c>
      <c r="S884" s="9">
        <f t="shared" si="69"/>
        <v>0.02</v>
      </c>
    </row>
    <row r="885" spans="1:19" x14ac:dyDescent="0.25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e">
        <f>VLOOKUP('Customer Info'!A877,'Customer Info'!A877:I1376,2,FALSE)</f>
        <v>#N/A</v>
      </c>
      <c r="H885" s="6" t="e">
        <f>VLOOKUP('Customer Info'!A877,'Customer Info'!A877:I1377,3,FALSE)</f>
        <v>#N/A</v>
      </c>
      <c r="I885" s="6" t="e">
        <f>VLOOKUP('Customer Info'!A877,'Customer Info'!A877:I1376,5,FALSE)</f>
        <v>#N/A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389</v>
      </c>
      <c r="R885" s="2" t="s">
        <v>28</v>
      </c>
      <c r="S885" s="9">
        <f t="shared" si="69"/>
        <v>0.02</v>
      </c>
    </row>
    <row r="886" spans="1:19" x14ac:dyDescent="0.25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e">
        <f>VLOOKUP('Customer Info'!A878,'Customer Info'!A878:I1377,2,FALSE)</f>
        <v>#N/A</v>
      </c>
      <c r="H886" s="6" t="e">
        <f>VLOOKUP('Customer Info'!A878,'Customer Info'!A878:I1378,3,FALSE)</f>
        <v>#N/A</v>
      </c>
      <c r="I886" s="6" t="e">
        <f>VLOOKUP('Customer Info'!A878,'Customer Info'!A878:I1377,5,FALSE)</f>
        <v>#N/A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433</v>
      </c>
      <c r="R886" s="2" t="s">
        <v>28</v>
      </c>
      <c r="S886" s="9">
        <f t="shared" si="69"/>
        <v>0.05</v>
      </c>
    </row>
    <row r="887" spans="1:19" x14ac:dyDescent="0.25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e">
        <f>VLOOKUP('Customer Info'!A879,'Customer Info'!A879:I1378,2,FALSE)</f>
        <v>#N/A</v>
      </c>
      <c r="H887" s="6" t="e">
        <f>VLOOKUP('Customer Info'!A879,'Customer Info'!A879:I1379,3,FALSE)</f>
        <v>#N/A</v>
      </c>
      <c r="I887" s="6" t="e">
        <f>VLOOKUP('Customer Info'!A879,'Customer Info'!A879:I1378,5,FALSE)</f>
        <v>#N/A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262</v>
      </c>
      <c r="R887" s="2" t="s">
        <v>28</v>
      </c>
      <c r="S887" s="9">
        <f t="shared" si="69"/>
        <v>0.02</v>
      </c>
    </row>
    <row r="888" spans="1:19" x14ac:dyDescent="0.25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e">
        <f>VLOOKUP('Customer Info'!A880,'Customer Info'!A880:I1379,2,FALSE)</f>
        <v>#N/A</v>
      </c>
      <c r="H888" s="6" t="e">
        <f>VLOOKUP('Customer Info'!A880,'Customer Info'!A880:I1380,3,FALSE)</f>
        <v>#N/A</v>
      </c>
      <c r="I888" s="6" t="e">
        <f>VLOOKUP('Customer Info'!A880,'Customer Info'!A880:I1379,5,FALSE)</f>
        <v>#N/A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884</v>
      </c>
      <c r="R888" s="2" t="s">
        <v>28</v>
      </c>
      <c r="S888" s="9">
        <f t="shared" si="69"/>
        <v>0.05</v>
      </c>
    </row>
    <row r="889" spans="1:19" x14ac:dyDescent="0.25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e">
        <f>VLOOKUP('Customer Info'!A881,'Customer Info'!A881:I1380,2,FALSE)</f>
        <v>#N/A</v>
      </c>
      <c r="H889" s="6" t="e">
        <f>VLOOKUP('Customer Info'!A881,'Customer Info'!A881:I1381,3,FALSE)</f>
        <v>#N/A</v>
      </c>
      <c r="I889" s="6" t="e">
        <f>VLOOKUP('Customer Info'!A881,'Customer Info'!A881:I1380,5,FALSE)</f>
        <v>#N/A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1230</v>
      </c>
      <c r="R889" s="2" t="s">
        <v>28</v>
      </c>
      <c r="S889" s="9">
        <f t="shared" si="69"/>
        <v>0.05</v>
      </c>
    </row>
    <row r="890" spans="1:19" x14ac:dyDescent="0.25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e">
        <f>VLOOKUP('Customer Info'!A882,'Customer Info'!A882:I1381,2,FALSE)</f>
        <v>#N/A</v>
      </c>
      <c r="H890" s="6" t="e">
        <f>VLOOKUP('Customer Info'!A882,'Customer Info'!A882:I1382,3,FALSE)</f>
        <v>#N/A</v>
      </c>
      <c r="I890" s="6" t="e">
        <f>VLOOKUP('Customer Info'!A882,'Customer Info'!A882:I1381,5,FALSE)</f>
        <v>#N/A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175</v>
      </c>
      <c r="R890" s="2" t="s">
        <v>50</v>
      </c>
      <c r="S890" s="9">
        <f t="shared" si="69"/>
        <v>0.02</v>
      </c>
    </row>
    <row r="891" spans="1:19" x14ac:dyDescent="0.25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e">
        <f>VLOOKUP('Customer Info'!A883,'Customer Info'!A883:I1382,2,FALSE)</f>
        <v>#N/A</v>
      </c>
      <c r="H891" s="6" t="e">
        <f>VLOOKUP('Customer Info'!A883,'Customer Info'!A883:I1383,3,FALSE)</f>
        <v>#N/A</v>
      </c>
      <c r="I891" s="6" t="e">
        <f>VLOOKUP('Customer Info'!A883,'Customer Info'!A883:I1382,5,FALSE)</f>
        <v>#N/A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65</v>
      </c>
      <c r="R891" s="2" t="s">
        <v>50</v>
      </c>
      <c r="S891" s="9">
        <f t="shared" si="69"/>
        <v>0.02</v>
      </c>
    </row>
    <row r="892" spans="1:19" x14ac:dyDescent="0.25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e">
        <f>VLOOKUP('Customer Info'!A884,'Customer Info'!A884:I1383,2,FALSE)</f>
        <v>#N/A</v>
      </c>
      <c r="H892" s="6" t="e">
        <f>VLOOKUP('Customer Info'!A884,'Customer Info'!A884:I1384,3,FALSE)</f>
        <v>#N/A</v>
      </c>
      <c r="I892" s="6" t="e">
        <f>VLOOKUP('Customer Info'!A884,'Customer Info'!A884:I1383,5,FALSE)</f>
        <v>#N/A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1876</v>
      </c>
      <c r="R892" s="2" t="s">
        <v>28</v>
      </c>
      <c r="S892" s="9">
        <f t="shared" si="69"/>
        <v>0.05</v>
      </c>
    </row>
    <row r="893" spans="1:19" x14ac:dyDescent="0.25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e">
        <f>VLOOKUP('Customer Info'!A885,'Customer Info'!A885:I1384,2,FALSE)</f>
        <v>#N/A</v>
      </c>
      <c r="H893" s="6" t="e">
        <f>VLOOKUP('Customer Info'!A885,'Customer Info'!A885:I1385,3,FALSE)</f>
        <v>#N/A</v>
      </c>
      <c r="I893" s="6" t="e">
        <f>VLOOKUP('Customer Info'!A885,'Customer Info'!A885:I1384,5,FALSE)</f>
        <v>#N/A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70</v>
      </c>
      <c r="R893" s="2" t="s">
        <v>50</v>
      </c>
      <c r="S893" s="9">
        <f t="shared" si="69"/>
        <v>0.02</v>
      </c>
    </row>
    <row r="894" spans="1:19" x14ac:dyDescent="0.25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e">
        <f>VLOOKUP('Customer Info'!A886,'Customer Info'!A886:I1385,2,FALSE)</f>
        <v>#N/A</v>
      </c>
      <c r="H894" s="6" t="e">
        <f>VLOOKUP('Customer Info'!A886,'Customer Info'!A886:I1386,3,FALSE)</f>
        <v>#N/A</v>
      </c>
      <c r="I894" s="6" t="e">
        <f>VLOOKUP('Customer Info'!A886,'Customer Info'!A886:I1385,5,FALSE)</f>
        <v>#N/A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638</v>
      </c>
      <c r="R894" s="2" t="s">
        <v>28</v>
      </c>
      <c r="S894" s="9">
        <f t="shared" si="69"/>
        <v>0.05</v>
      </c>
    </row>
    <row r="895" spans="1:19" x14ac:dyDescent="0.25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e">
        <f>VLOOKUP('Customer Info'!A887,'Customer Info'!A887:I1386,2,FALSE)</f>
        <v>#N/A</v>
      </c>
      <c r="H895" s="6" t="e">
        <f>VLOOKUP('Customer Info'!A887,'Customer Info'!A887:I1387,3,FALSE)</f>
        <v>#N/A</v>
      </c>
      <c r="I895" s="6" t="e">
        <f>VLOOKUP('Customer Info'!A887,'Customer Info'!A887:I1386,5,FALSE)</f>
        <v>#N/A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245</v>
      </c>
      <c r="R895" s="2" t="s">
        <v>50</v>
      </c>
      <c r="S895" s="9">
        <f t="shared" si="69"/>
        <v>0.02</v>
      </c>
    </row>
    <row r="896" spans="1:19" x14ac:dyDescent="0.25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e">
        <f>VLOOKUP('Customer Info'!A888,'Customer Info'!A888:I1387,2,FALSE)</f>
        <v>#N/A</v>
      </c>
      <c r="H896" s="6" t="e">
        <f>VLOOKUP('Customer Info'!A888,'Customer Info'!A888:I1388,3,FALSE)</f>
        <v>#N/A</v>
      </c>
      <c r="I896" s="6" t="e">
        <f>VLOOKUP('Customer Info'!A888,'Customer Info'!A888:I1387,5,FALSE)</f>
        <v>#N/A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16</v>
      </c>
      <c r="R896" s="2" t="s">
        <v>28</v>
      </c>
      <c r="S896" s="9">
        <f t="shared" si="69"/>
        <v>0.02</v>
      </c>
    </row>
    <row r="897" spans="1:19" x14ac:dyDescent="0.25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e">
        <f>VLOOKUP('Customer Info'!A889,'Customer Info'!A889:I1388,2,FALSE)</f>
        <v>#N/A</v>
      </c>
      <c r="H897" s="6" t="e">
        <f>VLOOKUP('Customer Info'!A889,'Customer Info'!A889:I1389,3,FALSE)</f>
        <v>#N/A</v>
      </c>
      <c r="I897" s="6" t="e">
        <f>VLOOKUP('Customer Info'!A889,'Customer Info'!A889:I1388,5,FALSE)</f>
        <v>#N/A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80</v>
      </c>
      <c r="R897" s="2" t="s">
        <v>28</v>
      </c>
      <c r="S897" s="9">
        <f t="shared" si="69"/>
        <v>0.02</v>
      </c>
    </row>
    <row r="898" spans="1:19" x14ac:dyDescent="0.25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e">
        <f>VLOOKUP('Customer Info'!A890,'Customer Info'!A890:I1389,2,FALSE)</f>
        <v>#N/A</v>
      </c>
      <c r="H898" s="6" t="e">
        <f>VLOOKUP('Customer Info'!A890,'Customer Info'!A890:I1390,3,FALSE)</f>
        <v>#N/A</v>
      </c>
      <c r="I898" s="6" t="e">
        <f>VLOOKUP('Customer Info'!A890,'Customer Info'!A890:I1389,5,FALSE)</f>
        <v>#N/A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367</v>
      </c>
      <c r="R898" s="2" t="s">
        <v>28</v>
      </c>
      <c r="S898" s="9">
        <f t="shared" si="69"/>
        <v>0.05</v>
      </c>
    </row>
    <row r="899" spans="1:19" x14ac:dyDescent="0.25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e">
        <f>VLOOKUP('Customer Info'!A891,'Customer Info'!A891:I1390,2,FALSE)</f>
        <v>#N/A</v>
      </c>
      <c r="H899" s="6" t="e">
        <f>VLOOKUP('Customer Info'!A891,'Customer Info'!A891:I1391,3,FALSE)</f>
        <v>#N/A</v>
      </c>
      <c r="I899" s="6" t="e">
        <f>VLOOKUP('Customer Info'!A891,'Customer Info'!A891:I1390,5,FALSE)</f>
        <v>#N/A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2302</v>
      </c>
      <c r="R899" s="2" t="s">
        <v>28</v>
      </c>
      <c r="S899" s="9">
        <f t="shared" si="69"/>
        <v>7.0000000000000007E-2</v>
      </c>
    </row>
    <row r="900" spans="1:19" x14ac:dyDescent="0.25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e">
        <f>VLOOKUP('Customer Info'!A892,'Customer Info'!A892:I1391,2,FALSE)</f>
        <v>#N/A</v>
      </c>
      <c r="H900" s="6" t="e">
        <f>VLOOKUP('Customer Info'!A892,'Customer Info'!A892:I1392,3,FALSE)</f>
        <v>#N/A</v>
      </c>
      <c r="I900" s="6" t="e">
        <f>VLOOKUP('Customer Info'!A892,'Customer Info'!A892:I1391,5,FALSE)</f>
        <v>#N/A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613</v>
      </c>
      <c r="R900" s="2" t="s">
        <v>28</v>
      </c>
      <c r="S900" s="9">
        <f t="shared" si="69"/>
        <v>0.05</v>
      </c>
    </row>
    <row r="901" spans="1:19" x14ac:dyDescent="0.25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e">
        <f>VLOOKUP('Customer Info'!A893,'Customer Info'!A893:I1392,2,FALSE)</f>
        <v>#N/A</v>
      </c>
      <c r="H901" s="6" t="e">
        <f>VLOOKUP('Customer Info'!A893,'Customer Info'!A893:I1393,3,FALSE)</f>
        <v>#N/A</v>
      </c>
      <c r="I901" s="6" t="e">
        <f>VLOOKUP('Customer Info'!A893,'Customer Info'!A893:I1392,5,FALSE)</f>
        <v>#N/A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34</v>
      </c>
      <c r="R901" s="2" t="s">
        <v>50</v>
      </c>
      <c r="S901" s="9">
        <f t="shared" si="69"/>
        <v>0.02</v>
      </c>
    </row>
    <row r="902" spans="1:19" x14ac:dyDescent="0.25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e">
        <f>VLOOKUP('Customer Info'!A894,'Customer Info'!A894:I1393,2,FALSE)</f>
        <v>#N/A</v>
      </c>
      <c r="H902" s="6" t="e">
        <f>VLOOKUP('Customer Info'!A894,'Customer Info'!A894:I1394,3,FALSE)</f>
        <v>#N/A</v>
      </c>
      <c r="I902" s="6" t="e">
        <f>VLOOKUP('Customer Info'!A894,'Customer Info'!A894:I1393,5,FALSE)</f>
        <v>#N/A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608</v>
      </c>
      <c r="R902" s="2" t="s">
        <v>28</v>
      </c>
      <c r="S902" s="9">
        <f t="shared" si="69"/>
        <v>0.05</v>
      </c>
    </row>
    <row r="903" spans="1:19" x14ac:dyDescent="0.25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e">
        <f>VLOOKUP('Customer Info'!A895,'Customer Info'!A895:I1394,2,FALSE)</f>
        <v>#N/A</v>
      </c>
      <c r="H903" s="6" t="e">
        <f>VLOOKUP('Customer Info'!A895,'Customer Info'!A895:I1395,3,FALSE)</f>
        <v>#N/A</v>
      </c>
      <c r="I903" s="6" t="e">
        <f>VLOOKUP('Customer Info'!A895,'Customer Info'!A895:I1394,5,FALSE)</f>
        <v>#N/A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84</v>
      </c>
      <c r="R903" s="2" t="s">
        <v>28</v>
      </c>
      <c r="S903" s="9">
        <f t="shared" si="69"/>
        <v>0.02</v>
      </c>
    </row>
    <row r="904" spans="1:19" x14ac:dyDescent="0.25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e">
        <f>VLOOKUP('Customer Info'!A896,'Customer Info'!A896:I1395,2,FALSE)</f>
        <v>#N/A</v>
      </c>
      <c r="H904" s="6" t="e">
        <f>VLOOKUP('Customer Info'!A896,'Customer Info'!A896:I1396,3,FALSE)</f>
        <v>#N/A</v>
      </c>
      <c r="I904" s="6" t="e">
        <f>VLOOKUP('Customer Info'!A896,'Customer Info'!A896:I1395,5,FALSE)</f>
        <v>#N/A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64</v>
      </c>
      <c r="R904" s="2" t="s">
        <v>50</v>
      </c>
      <c r="S904" s="9">
        <f t="shared" si="69"/>
        <v>0.02</v>
      </c>
    </row>
    <row r="905" spans="1:19" x14ac:dyDescent="0.25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e">
        <f>VLOOKUP('Customer Info'!A897,'Customer Info'!A897:I1396,2,FALSE)</f>
        <v>#N/A</v>
      </c>
      <c r="H905" s="6" t="e">
        <f>VLOOKUP('Customer Info'!A897,'Customer Info'!A897:I1397,3,FALSE)</f>
        <v>#N/A</v>
      </c>
      <c r="I905" s="6" t="e">
        <f>VLOOKUP('Customer Info'!A897,'Customer Info'!A897:I1396,5,FALSE)</f>
        <v>#N/A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192</v>
      </c>
      <c r="R905" s="2" t="s">
        <v>28</v>
      </c>
      <c r="S905" s="9">
        <f t="shared" si="69"/>
        <v>0.02</v>
      </c>
    </row>
    <row r="906" spans="1:19" x14ac:dyDescent="0.25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e">
        <f>VLOOKUP('Customer Info'!A898,'Customer Info'!A898:I1397,2,FALSE)</f>
        <v>#N/A</v>
      </c>
      <c r="H906" s="6" t="e">
        <f>VLOOKUP('Customer Info'!A898,'Customer Info'!A898:I1398,3,FALSE)</f>
        <v>#N/A</v>
      </c>
      <c r="I906" s="6" t="e">
        <f>VLOOKUP('Customer Info'!A898,'Customer Info'!A898:I1397,5,FALSE)</f>
        <v>#N/A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582</v>
      </c>
      <c r="R906" s="2" t="s">
        <v>28</v>
      </c>
      <c r="S906" s="9">
        <f t="shared" si="69"/>
        <v>0.05</v>
      </c>
    </row>
    <row r="907" spans="1:19" x14ac:dyDescent="0.25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e">
        <f>VLOOKUP('Customer Info'!A899,'Customer Info'!A899:I1398,2,FALSE)</f>
        <v>#N/A</v>
      </c>
      <c r="H907" s="6" t="e">
        <f>VLOOKUP('Customer Info'!A899,'Customer Info'!A899:I1399,3,FALSE)</f>
        <v>#N/A</v>
      </c>
      <c r="I907" s="6" t="e">
        <f>VLOOKUP('Customer Info'!A899,'Customer Info'!A899:I1398,5,FALSE)</f>
        <v>#N/A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8">
        <f t="shared" ref="P907:P970" si="72">N907+O907</f>
        <v>23157</v>
      </c>
      <c r="Q907" s="8">
        <f t="shared" ref="Q907:Q970" si="73">P907-M907</f>
        <v>1392</v>
      </c>
      <c r="R907" s="2" t="s">
        <v>56</v>
      </c>
      <c r="S907" s="9">
        <f t="shared" ref="S907:S970" si="74">VLOOKUP(P907,$T$2:$U$7,2,TRUE)</f>
        <v>0.05</v>
      </c>
    </row>
    <row r="908" spans="1:19" x14ac:dyDescent="0.25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e">
        <f>VLOOKUP('Customer Info'!A900,'Customer Info'!A900:I1399,2,FALSE)</f>
        <v>#N/A</v>
      </c>
      <c r="H908" s="6" t="e">
        <f>VLOOKUP('Customer Info'!A900,'Customer Info'!A900:I1400,3,FALSE)</f>
        <v>#N/A</v>
      </c>
      <c r="I908" s="6" t="e">
        <f>VLOOKUP('Customer Info'!A900,'Customer Info'!A900:I1399,5,FALSE)</f>
        <v>#N/A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3099</v>
      </c>
      <c r="R908" s="2" t="s">
        <v>50</v>
      </c>
      <c r="S908" s="9">
        <f t="shared" si="74"/>
        <v>7.0000000000000007E-2</v>
      </c>
    </row>
    <row r="909" spans="1:19" x14ac:dyDescent="0.25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e">
        <f>VLOOKUP('Customer Info'!A901,'Customer Info'!A901:I1400,2,FALSE)</f>
        <v>#N/A</v>
      </c>
      <c r="H909" s="6" t="e">
        <f>VLOOKUP('Customer Info'!A901,'Customer Info'!A901:I1401,3,FALSE)</f>
        <v>#N/A</v>
      </c>
      <c r="I909" s="6" t="e">
        <f>VLOOKUP('Customer Info'!A901,'Customer Info'!A901:I1400,5,FALSE)</f>
        <v>#N/A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147</v>
      </c>
      <c r="R909" s="2" t="s">
        <v>26</v>
      </c>
      <c r="S909" s="9">
        <f t="shared" si="74"/>
        <v>0.02</v>
      </c>
    </row>
    <row r="910" spans="1:19" x14ac:dyDescent="0.25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e">
        <f>VLOOKUP('Customer Info'!A902,'Customer Info'!A902:I1401,2,FALSE)</f>
        <v>#N/A</v>
      </c>
      <c r="H910" s="6" t="e">
        <f>VLOOKUP('Customer Info'!A902,'Customer Info'!A902:I1402,3,FALSE)</f>
        <v>#N/A</v>
      </c>
      <c r="I910" s="6" t="e">
        <f>VLOOKUP('Customer Info'!A902,'Customer Info'!A902:I1401,5,FALSE)</f>
        <v>#N/A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15</v>
      </c>
      <c r="R910" s="2" t="s">
        <v>28</v>
      </c>
      <c r="S910" s="9">
        <f t="shared" si="74"/>
        <v>0.02</v>
      </c>
    </row>
    <row r="911" spans="1:19" x14ac:dyDescent="0.25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e">
        <f>VLOOKUP('Customer Info'!A903,'Customer Info'!A903:I1402,2,FALSE)</f>
        <v>#N/A</v>
      </c>
      <c r="H911" s="6" t="e">
        <f>VLOOKUP('Customer Info'!A903,'Customer Info'!A903:I1403,3,FALSE)</f>
        <v>#N/A</v>
      </c>
      <c r="I911" s="6" t="e">
        <f>VLOOKUP('Customer Info'!A903,'Customer Info'!A903:I1402,5,FALSE)</f>
        <v>#N/A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46</v>
      </c>
      <c r="R911" s="2" t="s">
        <v>50</v>
      </c>
      <c r="S911" s="9">
        <f t="shared" si="74"/>
        <v>0.02</v>
      </c>
    </row>
    <row r="912" spans="1:19" x14ac:dyDescent="0.25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e">
        <f>VLOOKUP('Customer Info'!A904,'Customer Info'!A904:I1403,2,FALSE)</f>
        <v>#N/A</v>
      </c>
      <c r="H912" s="6" t="e">
        <f>VLOOKUP('Customer Info'!A904,'Customer Info'!A904:I1404,3,FALSE)</f>
        <v>#N/A</v>
      </c>
      <c r="I912" s="6" t="e">
        <f>VLOOKUP('Customer Info'!A904,'Customer Info'!A904:I1403,5,FALSE)</f>
        <v>#N/A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6365</v>
      </c>
      <c r="R912" s="2" t="s">
        <v>28</v>
      </c>
      <c r="S912" s="9">
        <f t="shared" si="74"/>
        <v>0.09</v>
      </c>
    </row>
    <row r="913" spans="1:19" x14ac:dyDescent="0.25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e">
        <f>VLOOKUP('Customer Info'!A905,'Customer Info'!A905:I1404,2,FALSE)</f>
        <v>#N/A</v>
      </c>
      <c r="H913" s="6" t="e">
        <f>VLOOKUP('Customer Info'!A905,'Customer Info'!A905:I1405,3,FALSE)</f>
        <v>#N/A</v>
      </c>
      <c r="I913" s="6" t="e">
        <f>VLOOKUP('Customer Info'!A905,'Customer Info'!A905:I1404,5,FALSE)</f>
        <v>#N/A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36</v>
      </c>
      <c r="R913" s="2" t="s">
        <v>50</v>
      </c>
      <c r="S913" s="9">
        <f t="shared" si="74"/>
        <v>0.02</v>
      </c>
    </row>
    <row r="914" spans="1:19" x14ac:dyDescent="0.25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e">
        <f>VLOOKUP('Customer Info'!A906,'Customer Info'!A906:I1405,2,FALSE)</f>
        <v>#N/A</v>
      </c>
      <c r="H914" s="6" t="e">
        <f>VLOOKUP('Customer Info'!A906,'Customer Info'!A906:I1406,3,FALSE)</f>
        <v>#N/A</v>
      </c>
      <c r="I914" s="6" t="e">
        <f>VLOOKUP('Customer Info'!A906,'Customer Info'!A906:I1405,5,FALSE)</f>
        <v>#N/A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21967</v>
      </c>
      <c r="R914" s="2" t="s">
        <v>50</v>
      </c>
      <c r="S914" s="9">
        <f t="shared" si="74"/>
        <v>0.15</v>
      </c>
    </row>
    <row r="915" spans="1:19" x14ac:dyDescent="0.25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e">
        <f>VLOOKUP('Customer Info'!A907,'Customer Info'!A907:I1406,2,FALSE)</f>
        <v>#N/A</v>
      </c>
      <c r="H915" s="6" t="e">
        <f>VLOOKUP('Customer Info'!A907,'Customer Info'!A907:I1407,3,FALSE)</f>
        <v>#N/A</v>
      </c>
      <c r="I915" s="6" t="e">
        <f>VLOOKUP('Customer Info'!A907,'Customer Info'!A907:I1406,5,FALSE)</f>
        <v>#N/A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14</v>
      </c>
      <c r="R915" s="2" t="s">
        <v>56</v>
      </c>
      <c r="S915" s="9">
        <f t="shared" si="74"/>
        <v>0.02</v>
      </c>
    </row>
    <row r="916" spans="1:19" x14ac:dyDescent="0.25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e">
        <f>VLOOKUP('Customer Info'!A908,'Customer Info'!A908:I1407,2,FALSE)</f>
        <v>#N/A</v>
      </c>
      <c r="H916" s="6" t="e">
        <f>VLOOKUP('Customer Info'!A908,'Customer Info'!A908:I1408,3,FALSE)</f>
        <v>#N/A</v>
      </c>
      <c r="I916" s="6" t="e">
        <f>VLOOKUP('Customer Info'!A908,'Customer Info'!A908:I1407,5,FALSE)</f>
        <v>#N/A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208</v>
      </c>
      <c r="R916" s="2" t="s">
        <v>28</v>
      </c>
      <c r="S916" s="9">
        <f t="shared" si="74"/>
        <v>0.02</v>
      </c>
    </row>
    <row r="917" spans="1:19" x14ac:dyDescent="0.25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e">
        <f>VLOOKUP('Customer Info'!A909,'Customer Info'!A909:I1408,2,FALSE)</f>
        <v>#N/A</v>
      </c>
      <c r="H917" s="6" t="e">
        <f>VLOOKUP('Customer Info'!A909,'Customer Info'!A909:I1409,3,FALSE)</f>
        <v>#N/A</v>
      </c>
      <c r="I917" s="6" t="e">
        <f>VLOOKUP('Customer Info'!A909,'Customer Info'!A909:I1408,5,FALSE)</f>
        <v>#N/A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1705</v>
      </c>
      <c r="R917" s="2" t="s">
        <v>28</v>
      </c>
      <c r="S917" s="9">
        <f t="shared" si="74"/>
        <v>0.05</v>
      </c>
    </row>
    <row r="918" spans="1:19" x14ac:dyDescent="0.25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e">
        <f>VLOOKUP('Customer Info'!A910,'Customer Info'!A910:I1409,2,FALSE)</f>
        <v>#N/A</v>
      </c>
      <c r="H918" s="6" t="e">
        <f>VLOOKUP('Customer Info'!A910,'Customer Info'!A910:I1410,3,FALSE)</f>
        <v>#N/A</v>
      </c>
      <c r="I918" s="6" t="e">
        <f>VLOOKUP('Customer Info'!A910,'Customer Info'!A910:I1409,5,FALSE)</f>
        <v>#N/A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543</v>
      </c>
      <c r="R918" s="2" t="s">
        <v>50</v>
      </c>
      <c r="S918" s="9">
        <f t="shared" si="74"/>
        <v>0.05</v>
      </c>
    </row>
    <row r="919" spans="1:19" x14ac:dyDescent="0.25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e">
        <f>VLOOKUP('Customer Info'!A911,'Customer Info'!A911:I1410,2,FALSE)</f>
        <v>#N/A</v>
      </c>
      <c r="H919" s="6" t="e">
        <f>VLOOKUP('Customer Info'!A911,'Customer Info'!A911:I1411,3,FALSE)</f>
        <v>#N/A</v>
      </c>
      <c r="I919" s="6" t="e">
        <f>VLOOKUP('Customer Info'!A911,'Customer Info'!A911:I1410,5,FALSE)</f>
        <v>#N/A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306</v>
      </c>
      <c r="R919" s="2" t="s">
        <v>28</v>
      </c>
      <c r="S919" s="9">
        <f t="shared" si="74"/>
        <v>0.05</v>
      </c>
    </row>
    <row r="920" spans="1:19" x14ac:dyDescent="0.25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e">
        <f>VLOOKUP('Customer Info'!A912,'Customer Info'!A912:I1411,2,FALSE)</f>
        <v>#N/A</v>
      </c>
      <c r="H920" s="6" t="e">
        <f>VLOOKUP('Customer Info'!A912,'Customer Info'!A912:I1412,3,FALSE)</f>
        <v>#N/A</v>
      </c>
      <c r="I920" s="6" t="e">
        <f>VLOOKUP('Customer Info'!A912,'Customer Info'!A912:I1411,5,FALSE)</f>
        <v>#N/A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344</v>
      </c>
      <c r="R920" s="2" t="s">
        <v>28</v>
      </c>
      <c r="S920" s="9">
        <f t="shared" si="74"/>
        <v>0.02</v>
      </c>
    </row>
    <row r="921" spans="1:19" x14ac:dyDescent="0.25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e">
        <f>VLOOKUP('Customer Info'!A913,'Customer Info'!A913:I1412,2,FALSE)</f>
        <v>#N/A</v>
      </c>
      <c r="H921" s="6" t="e">
        <f>VLOOKUP('Customer Info'!A913,'Customer Info'!A913:I1413,3,FALSE)</f>
        <v>#N/A</v>
      </c>
      <c r="I921" s="6" t="e">
        <f>VLOOKUP('Customer Info'!A913,'Customer Info'!A913:I1412,5,FALSE)</f>
        <v>#N/A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152</v>
      </c>
      <c r="R921" s="2" t="s">
        <v>26</v>
      </c>
      <c r="S921" s="9">
        <f t="shared" si="74"/>
        <v>0.02</v>
      </c>
    </row>
    <row r="922" spans="1:19" x14ac:dyDescent="0.25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e">
        <f>VLOOKUP('Customer Info'!A914,'Customer Info'!A914:I1413,2,FALSE)</f>
        <v>#N/A</v>
      </c>
      <c r="H922" s="6" t="e">
        <f>VLOOKUP('Customer Info'!A914,'Customer Info'!A914:I1414,3,FALSE)</f>
        <v>#N/A</v>
      </c>
      <c r="I922" s="6" t="e">
        <f>VLOOKUP('Customer Info'!A914,'Customer Info'!A914:I1413,5,FALSE)</f>
        <v>#N/A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781</v>
      </c>
      <c r="R922" s="2" t="s">
        <v>50</v>
      </c>
      <c r="S922" s="9">
        <f t="shared" si="74"/>
        <v>0.05</v>
      </c>
    </row>
    <row r="923" spans="1:19" x14ac:dyDescent="0.25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e">
        <f>VLOOKUP('Customer Info'!A915,'Customer Info'!A915:I1414,2,FALSE)</f>
        <v>#N/A</v>
      </c>
      <c r="H923" s="6" t="e">
        <f>VLOOKUP('Customer Info'!A915,'Customer Info'!A915:I1415,3,FALSE)</f>
        <v>#N/A</v>
      </c>
      <c r="I923" s="6" t="e">
        <f>VLOOKUP('Customer Info'!A915,'Customer Info'!A915:I1414,5,FALSE)</f>
        <v>#N/A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197</v>
      </c>
      <c r="R923" s="2" t="s">
        <v>28</v>
      </c>
      <c r="S923" s="9">
        <f t="shared" si="74"/>
        <v>0.02</v>
      </c>
    </row>
    <row r="924" spans="1:19" x14ac:dyDescent="0.25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e">
        <f>VLOOKUP('Customer Info'!A916,'Customer Info'!A916:I1415,2,FALSE)</f>
        <v>#N/A</v>
      </c>
      <c r="H924" s="6" t="e">
        <f>VLOOKUP('Customer Info'!A916,'Customer Info'!A916:I1416,3,FALSE)</f>
        <v>#N/A</v>
      </c>
      <c r="I924" s="6" t="e">
        <f>VLOOKUP('Customer Info'!A916,'Customer Info'!A916:I1415,5,FALSE)</f>
        <v>#N/A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18</v>
      </c>
      <c r="R924" s="2" t="s">
        <v>50</v>
      </c>
      <c r="S924" s="9">
        <f t="shared" si="74"/>
        <v>0.02</v>
      </c>
    </row>
    <row r="925" spans="1:19" x14ac:dyDescent="0.25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e">
        <f>VLOOKUP('Customer Info'!A917,'Customer Info'!A917:I1416,2,FALSE)</f>
        <v>#N/A</v>
      </c>
      <c r="H925" s="6" t="e">
        <f>VLOOKUP('Customer Info'!A917,'Customer Info'!A917:I1417,3,FALSE)</f>
        <v>#N/A</v>
      </c>
      <c r="I925" s="6" t="e">
        <f>VLOOKUP('Customer Info'!A917,'Customer Info'!A917:I1416,5,FALSE)</f>
        <v>#N/A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94</v>
      </c>
      <c r="R925" s="2" t="s">
        <v>28</v>
      </c>
      <c r="S925" s="9">
        <f t="shared" si="74"/>
        <v>0.02</v>
      </c>
    </row>
    <row r="926" spans="1:19" x14ac:dyDescent="0.25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e">
        <f>VLOOKUP('Customer Info'!A918,'Customer Info'!A918:I1417,2,FALSE)</f>
        <v>#N/A</v>
      </c>
      <c r="H926" s="6" t="e">
        <f>VLOOKUP('Customer Info'!A918,'Customer Info'!A918:I1418,3,FALSE)</f>
        <v>#N/A</v>
      </c>
      <c r="I926" s="6" t="e">
        <f>VLOOKUP('Customer Info'!A918,'Customer Info'!A918:I1417,5,FALSE)</f>
        <v>#N/A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472</v>
      </c>
      <c r="R926" s="2" t="s">
        <v>28</v>
      </c>
      <c r="S926" s="9">
        <f t="shared" si="74"/>
        <v>0.05</v>
      </c>
    </row>
    <row r="927" spans="1:19" x14ac:dyDescent="0.25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e">
        <f>VLOOKUP('Customer Info'!A919,'Customer Info'!A919:I1418,2,FALSE)</f>
        <v>#N/A</v>
      </c>
      <c r="H927" s="6" t="e">
        <f>VLOOKUP('Customer Info'!A919,'Customer Info'!A919:I1419,3,FALSE)</f>
        <v>#N/A</v>
      </c>
      <c r="I927" s="6" t="e">
        <f>VLOOKUP('Customer Info'!A919,'Customer Info'!A919:I1418,5,FALSE)</f>
        <v>#N/A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62</v>
      </c>
      <c r="R927" s="2" t="s">
        <v>50</v>
      </c>
      <c r="S927" s="9">
        <f t="shared" si="74"/>
        <v>0.02</v>
      </c>
    </row>
    <row r="928" spans="1:19" x14ac:dyDescent="0.25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e">
        <f>VLOOKUP('Customer Info'!A920,'Customer Info'!A920:I1419,2,FALSE)</f>
        <v>#N/A</v>
      </c>
      <c r="H928" s="6" t="e">
        <f>VLOOKUP('Customer Info'!A920,'Customer Info'!A920:I1420,3,FALSE)</f>
        <v>#N/A</v>
      </c>
      <c r="I928" s="6" t="e">
        <f>VLOOKUP('Customer Info'!A920,'Customer Info'!A920:I1419,5,FALSE)</f>
        <v>#N/A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74</v>
      </c>
      <c r="R928" s="2" t="s">
        <v>28</v>
      </c>
      <c r="S928" s="9">
        <f t="shared" si="74"/>
        <v>0.02</v>
      </c>
    </row>
    <row r="929" spans="1:19" x14ac:dyDescent="0.25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e">
        <f>VLOOKUP('Customer Info'!A921,'Customer Info'!A921:I1420,2,FALSE)</f>
        <v>#N/A</v>
      </c>
      <c r="H929" s="6" t="e">
        <f>VLOOKUP('Customer Info'!A921,'Customer Info'!A921:I1421,3,FALSE)</f>
        <v>#N/A</v>
      </c>
      <c r="I929" s="6" t="e">
        <f>VLOOKUP('Customer Info'!A921,'Customer Info'!A921:I1420,5,FALSE)</f>
        <v>#N/A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350</v>
      </c>
      <c r="R929" s="2" t="s">
        <v>28</v>
      </c>
      <c r="S929" s="9">
        <f t="shared" si="74"/>
        <v>0.05</v>
      </c>
    </row>
    <row r="930" spans="1:19" x14ac:dyDescent="0.25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e">
        <f>VLOOKUP('Customer Info'!A922,'Customer Info'!A922:I1421,2,FALSE)</f>
        <v>#N/A</v>
      </c>
      <c r="H930" s="6" t="e">
        <f>VLOOKUP('Customer Info'!A922,'Customer Info'!A922:I1422,3,FALSE)</f>
        <v>#N/A</v>
      </c>
      <c r="I930" s="6" t="e">
        <f>VLOOKUP('Customer Info'!A922,'Customer Info'!A922:I1421,5,FALSE)</f>
        <v>#N/A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26</v>
      </c>
      <c r="R930" s="2" t="s">
        <v>50</v>
      </c>
      <c r="S930" s="9">
        <f t="shared" si="74"/>
        <v>0.02</v>
      </c>
    </row>
    <row r="931" spans="1:19" x14ac:dyDescent="0.25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e">
        <f>VLOOKUP('Customer Info'!A923,'Customer Info'!A923:I1422,2,FALSE)</f>
        <v>#N/A</v>
      </c>
      <c r="H931" s="6" t="e">
        <f>VLOOKUP('Customer Info'!A923,'Customer Info'!A923:I1423,3,FALSE)</f>
        <v>#N/A</v>
      </c>
      <c r="I931" s="6" t="e">
        <f>VLOOKUP('Customer Info'!A923,'Customer Info'!A923:I1422,5,FALSE)</f>
        <v>#N/A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356</v>
      </c>
      <c r="R931" s="2" t="s">
        <v>28</v>
      </c>
      <c r="S931" s="9">
        <f t="shared" si="74"/>
        <v>0.02</v>
      </c>
    </row>
    <row r="932" spans="1:19" x14ac:dyDescent="0.25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e">
        <f>VLOOKUP('Customer Info'!A924,'Customer Info'!A924:I1423,2,FALSE)</f>
        <v>#N/A</v>
      </c>
      <c r="H932" s="6" t="e">
        <f>VLOOKUP('Customer Info'!A924,'Customer Info'!A924:I1424,3,FALSE)</f>
        <v>#N/A</v>
      </c>
      <c r="I932" s="6" t="e">
        <f>VLOOKUP('Customer Info'!A924,'Customer Info'!A924:I1423,5,FALSE)</f>
        <v>#N/A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331</v>
      </c>
      <c r="R932" s="2" t="s">
        <v>26</v>
      </c>
      <c r="S932" s="9">
        <f t="shared" si="74"/>
        <v>0.02</v>
      </c>
    </row>
    <row r="933" spans="1:19" x14ac:dyDescent="0.25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e">
        <f>VLOOKUP('Customer Info'!A925,'Customer Info'!A925:I1424,2,FALSE)</f>
        <v>#N/A</v>
      </c>
      <c r="H933" s="6" t="e">
        <f>VLOOKUP('Customer Info'!A925,'Customer Info'!A925:I1425,3,FALSE)</f>
        <v>#N/A</v>
      </c>
      <c r="I933" s="6" t="e">
        <f>VLOOKUP('Customer Info'!A925,'Customer Info'!A925:I1424,5,FALSE)</f>
        <v>#N/A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881</v>
      </c>
      <c r="R933" s="2" t="s">
        <v>56</v>
      </c>
      <c r="S933" s="9">
        <f t="shared" si="74"/>
        <v>0.05</v>
      </c>
    </row>
    <row r="934" spans="1:19" x14ac:dyDescent="0.25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e">
        <f>VLOOKUP('Customer Info'!A926,'Customer Info'!A926:I1425,2,FALSE)</f>
        <v>#N/A</v>
      </c>
      <c r="H934" s="6" t="e">
        <f>VLOOKUP('Customer Info'!A926,'Customer Info'!A926:I1426,3,FALSE)</f>
        <v>#N/A</v>
      </c>
      <c r="I934" s="6" t="e">
        <f>VLOOKUP('Customer Info'!A926,'Customer Info'!A926:I1425,5,FALSE)</f>
        <v>#N/A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287</v>
      </c>
      <c r="R934" s="2" t="s">
        <v>28</v>
      </c>
      <c r="S934" s="9">
        <f t="shared" si="74"/>
        <v>0.02</v>
      </c>
    </row>
    <row r="935" spans="1:19" x14ac:dyDescent="0.25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e">
        <f>VLOOKUP('Customer Info'!A927,'Customer Info'!A927:I1426,2,FALSE)</f>
        <v>#N/A</v>
      </c>
      <c r="H935" s="6" t="e">
        <f>VLOOKUP('Customer Info'!A927,'Customer Info'!A927:I1427,3,FALSE)</f>
        <v>#N/A</v>
      </c>
      <c r="I935" s="6" t="e">
        <f>VLOOKUP('Customer Info'!A927,'Customer Info'!A927:I1426,5,FALSE)</f>
        <v>#N/A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62</v>
      </c>
      <c r="R935" s="2" t="s">
        <v>50</v>
      </c>
      <c r="S935" s="9">
        <f t="shared" si="74"/>
        <v>0.02</v>
      </c>
    </row>
    <row r="936" spans="1:19" x14ac:dyDescent="0.25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e">
        <f>VLOOKUP('Customer Info'!A928,'Customer Info'!A928:I1427,2,FALSE)</f>
        <v>#N/A</v>
      </c>
      <c r="H936" s="6" t="e">
        <f>VLOOKUP('Customer Info'!A928,'Customer Info'!A928:I1428,3,FALSE)</f>
        <v>#N/A</v>
      </c>
      <c r="I936" s="6" t="e">
        <f>VLOOKUP('Customer Info'!A928,'Customer Info'!A928:I1427,5,FALSE)</f>
        <v>#N/A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190</v>
      </c>
      <c r="R936" s="2" t="s">
        <v>28</v>
      </c>
      <c r="S936" s="9">
        <f t="shared" si="74"/>
        <v>0.02</v>
      </c>
    </row>
    <row r="937" spans="1:19" x14ac:dyDescent="0.25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e">
        <f>VLOOKUP('Customer Info'!A929,'Customer Info'!A929:I1428,2,FALSE)</f>
        <v>#N/A</v>
      </c>
      <c r="H937" s="6" t="e">
        <f>VLOOKUP('Customer Info'!A929,'Customer Info'!A929:I1429,3,FALSE)</f>
        <v>#N/A</v>
      </c>
      <c r="I937" s="6" t="e">
        <f>VLOOKUP('Customer Info'!A929,'Customer Info'!A929:I1428,5,FALSE)</f>
        <v>#N/A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86</v>
      </c>
      <c r="R937" s="2" t="s">
        <v>28</v>
      </c>
      <c r="S937" s="9">
        <f t="shared" si="74"/>
        <v>0.02</v>
      </c>
    </row>
    <row r="938" spans="1:19" x14ac:dyDescent="0.25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e">
        <f>VLOOKUP('Customer Info'!A930,'Customer Info'!A930:I1429,2,FALSE)</f>
        <v>#N/A</v>
      </c>
      <c r="H938" s="6" t="e">
        <f>VLOOKUP('Customer Info'!A930,'Customer Info'!A930:I1430,3,FALSE)</f>
        <v>#N/A</v>
      </c>
      <c r="I938" s="6" t="e">
        <f>VLOOKUP('Customer Info'!A930,'Customer Info'!A930:I1429,5,FALSE)</f>
        <v>#N/A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169</v>
      </c>
      <c r="R938" s="2" t="s">
        <v>28</v>
      </c>
      <c r="S938" s="9">
        <f t="shared" si="74"/>
        <v>0.02</v>
      </c>
    </row>
    <row r="939" spans="1:19" x14ac:dyDescent="0.25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e">
        <f>VLOOKUP('Customer Info'!A931,'Customer Info'!A931:I1430,2,FALSE)</f>
        <v>#N/A</v>
      </c>
      <c r="H939" s="6" t="e">
        <f>VLOOKUP('Customer Info'!A931,'Customer Info'!A931:I1431,3,FALSE)</f>
        <v>#N/A</v>
      </c>
      <c r="I939" s="6" t="e">
        <f>VLOOKUP('Customer Info'!A931,'Customer Info'!A931:I1430,5,FALSE)</f>
        <v>#N/A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325</v>
      </c>
      <c r="R939" s="2" t="s">
        <v>28</v>
      </c>
      <c r="S939" s="9">
        <f t="shared" si="74"/>
        <v>0.02</v>
      </c>
    </row>
    <row r="940" spans="1:19" x14ac:dyDescent="0.25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e">
        <f>VLOOKUP('Customer Info'!A932,'Customer Info'!A932:I1431,2,FALSE)</f>
        <v>#N/A</v>
      </c>
      <c r="H940" s="6" t="e">
        <f>VLOOKUP('Customer Info'!A932,'Customer Info'!A932:I1432,3,FALSE)</f>
        <v>#N/A</v>
      </c>
      <c r="I940" s="6" t="e">
        <f>VLOOKUP('Customer Info'!A932,'Customer Info'!A932:I1431,5,FALSE)</f>
        <v>#N/A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386</v>
      </c>
      <c r="R940" s="2" t="s">
        <v>28</v>
      </c>
      <c r="S940" s="9">
        <f t="shared" si="74"/>
        <v>0.02</v>
      </c>
    </row>
    <row r="941" spans="1:19" x14ac:dyDescent="0.25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e">
        <f>VLOOKUP('Customer Info'!A933,'Customer Info'!A933:I1432,2,FALSE)</f>
        <v>#N/A</v>
      </c>
      <c r="H941" s="6" t="e">
        <f>VLOOKUP('Customer Info'!A933,'Customer Info'!A933:I1433,3,FALSE)</f>
        <v>#N/A</v>
      </c>
      <c r="I941" s="6" t="e">
        <f>VLOOKUP('Customer Info'!A933,'Customer Info'!A933:I1432,5,FALSE)</f>
        <v>#N/A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410</v>
      </c>
      <c r="R941" s="2" t="s">
        <v>50</v>
      </c>
      <c r="S941" s="9">
        <f t="shared" si="74"/>
        <v>0.02</v>
      </c>
    </row>
    <row r="942" spans="1:19" x14ac:dyDescent="0.25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e">
        <f>VLOOKUP('Customer Info'!A934,'Customer Info'!A934:I1433,2,FALSE)</f>
        <v>#N/A</v>
      </c>
      <c r="H942" s="6" t="e">
        <f>VLOOKUP('Customer Info'!A934,'Customer Info'!A934:I1434,3,FALSE)</f>
        <v>#N/A</v>
      </c>
      <c r="I942" s="6" t="e">
        <f>VLOOKUP('Customer Info'!A934,'Customer Info'!A934:I1433,5,FALSE)</f>
        <v>#N/A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828</v>
      </c>
      <c r="R942" s="2" t="s">
        <v>28</v>
      </c>
      <c r="S942" s="9">
        <f t="shared" si="74"/>
        <v>0.05</v>
      </c>
    </row>
    <row r="943" spans="1:19" x14ac:dyDescent="0.25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e">
        <f>VLOOKUP('Customer Info'!A935,'Customer Info'!A935:I1434,2,FALSE)</f>
        <v>#N/A</v>
      </c>
      <c r="H943" s="6" t="e">
        <f>VLOOKUP('Customer Info'!A935,'Customer Info'!A935:I1435,3,FALSE)</f>
        <v>#N/A</v>
      </c>
      <c r="I943" s="6" t="e">
        <f>VLOOKUP('Customer Info'!A935,'Customer Info'!A935:I1434,5,FALSE)</f>
        <v>#N/A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740</v>
      </c>
      <c r="R943" s="2" t="s">
        <v>28</v>
      </c>
      <c r="S943" s="9">
        <f t="shared" si="74"/>
        <v>0.05</v>
      </c>
    </row>
    <row r="944" spans="1:19" x14ac:dyDescent="0.25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e">
        <f>VLOOKUP('Customer Info'!A936,'Customer Info'!A936:I1435,2,FALSE)</f>
        <v>#N/A</v>
      </c>
      <c r="H944" s="6" t="e">
        <f>VLOOKUP('Customer Info'!A936,'Customer Info'!A936:I1436,3,FALSE)</f>
        <v>#N/A</v>
      </c>
      <c r="I944" s="6" t="e">
        <f>VLOOKUP('Customer Info'!A936,'Customer Info'!A936:I1435,5,FALSE)</f>
        <v>#N/A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230</v>
      </c>
      <c r="R944" s="2" t="s">
        <v>50</v>
      </c>
      <c r="S944" s="9">
        <f t="shared" si="74"/>
        <v>0.02</v>
      </c>
    </row>
    <row r="945" spans="1:19" x14ac:dyDescent="0.25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e">
        <f>VLOOKUP('Customer Info'!A937,'Customer Info'!A937:I1436,2,FALSE)</f>
        <v>#N/A</v>
      </c>
      <c r="H945" s="6" t="e">
        <f>VLOOKUP('Customer Info'!A937,'Customer Info'!A937:I1437,3,FALSE)</f>
        <v>#N/A</v>
      </c>
      <c r="I945" s="6" t="e">
        <f>VLOOKUP('Customer Info'!A937,'Customer Info'!A937:I1436,5,FALSE)</f>
        <v>#N/A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853</v>
      </c>
      <c r="R945" s="2" t="s">
        <v>56</v>
      </c>
      <c r="S945" s="9">
        <f t="shared" si="74"/>
        <v>0.05</v>
      </c>
    </row>
    <row r="946" spans="1:19" x14ac:dyDescent="0.25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e">
        <f>VLOOKUP('Customer Info'!A938,'Customer Info'!A938:I1437,2,FALSE)</f>
        <v>#N/A</v>
      </c>
      <c r="H946" s="6" t="e">
        <f>VLOOKUP('Customer Info'!A938,'Customer Info'!A938:I1438,3,FALSE)</f>
        <v>#N/A</v>
      </c>
      <c r="I946" s="6" t="e">
        <f>VLOOKUP('Customer Info'!A938,'Customer Info'!A938:I1437,5,FALSE)</f>
        <v>#N/A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1936</v>
      </c>
      <c r="R946" s="2" t="s">
        <v>28</v>
      </c>
      <c r="S946" s="9">
        <f t="shared" si="74"/>
        <v>7.0000000000000007E-2</v>
      </c>
    </row>
    <row r="947" spans="1:19" x14ac:dyDescent="0.25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e">
        <f>VLOOKUP('Customer Info'!A939,'Customer Info'!A939:I1438,2,FALSE)</f>
        <v>#N/A</v>
      </c>
      <c r="H947" s="6" t="e">
        <f>VLOOKUP('Customer Info'!A939,'Customer Info'!A939:I1439,3,FALSE)</f>
        <v>#N/A</v>
      </c>
      <c r="I947" s="6" t="e">
        <f>VLOOKUP('Customer Info'!A939,'Customer Info'!A939:I1438,5,FALSE)</f>
        <v>#N/A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98</v>
      </c>
      <c r="R947" s="2" t="s">
        <v>28</v>
      </c>
      <c r="S947" s="9">
        <f t="shared" si="74"/>
        <v>0.02</v>
      </c>
    </row>
    <row r="948" spans="1:19" x14ac:dyDescent="0.25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e">
        <f>VLOOKUP('Customer Info'!A940,'Customer Info'!A940:I1439,2,FALSE)</f>
        <v>#N/A</v>
      </c>
      <c r="H948" s="6" t="e">
        <f>VLOOKUP('Customer Info'!A940,'Customer Info'!A940:I1440,3,FALSE)</f>
        <v>#N/A</v>
      </c>
      <c r="I948" s="6" t="e">
        <f>VLOOKUP('Customer Info'!A940,'Customer Info'!A940:I1439,5,FALSE)</f>
        <v>#N/A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267</v>
      </c>
      <c r="R948" s="2" t="s">
        <v>28</v>
      </c>
      <c r="S948" s="9">
        <f t="shared" si="74"/>
        <v>0.02</v>
      </c>
    </row>
    <row r="949" spans="1:19" x14ac:dyDescent="0.25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e">
        <f>VLOOKUP('Customer Info'!A941,'Customer Info'!A941:I1440,2,FALSE)</f>
        <v>#N/A</v>
      </c>
      <c r="H949" s="6" t="e">
        <f>VLOOKUP('Customer Info'!A941,'Customer Info'!A941:I1441,3,FALSE)</f>
        <v>#N/A</v>
      </c>
      <c r="I949" s="6" t="e">
        <f>VLOOKUP('Customer Info'!A941,'Customer Info'!A941:I1440,5,FALSE)</f>
        <v>#N/A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48</v>
      </c>
      <c r="R949" s="2" t="s">
        <v>56</v>
      </c>
      <c r="S949" s="9">
        <f t="shared" si="74"/>
        <v>0.02</v>
      </c>
    </row>
    <row r="950" spans="1:19" x14ac:dyDescent="0.25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e">
        <f>VLOOKUP('Customer Info'!A942,'Customer Info'!A942:I1441,2,FALSE)</f>
        <v>#N/A</v>
      </c>
      <c r="H950" s="6" t="e">
        <f>VLOOKUP('Customer Info'!A942,'Customer Info'!A942:I1442,3,FALSE)</f>
        <v>#N/A</v>
      </c>
      <c r="I950" s="6" t="e">
        <f>VLOOKUP('Customer Info'!A942,'Customer Info'!A942:I1441,5,FALSE)</f>
        <v>#N/A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365</v>
      </c>
      <c r="R950" s="2" t="s">
        <v>28</v>
      </c>
      <c r="S950" s="9">
        <f t="shared" si="74"/>
        <v>0.05</v>
      </c>
    </row>
    <row r="951" spans="1:19" x14ac:dyDescent="0.25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e">
        <f>VLOOKUP('Customer Info'!A943,'Customer Info'!A943:I1442,2,FALSE)</f>
        <v>#N/A</v>
      </c>
      <c r="H951" s="6" t="e">
        <f>VLOOKUP('Customer Info'!A943,'Customer Info'!A943:I1443,3,FALSE)</f>
        <v>#N/A</v>
      </c>
      <c r="I951" s="6" t="e">
        <f>VLOOKUP('Customer Info'!A943,'Customer Info'!A943:I1442,5,FALSE)</f>
        <v>#N/A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1468</v>
      </c>
      <c r="R951" s="2" t="s">
        <v>50</v>
      </c>
      <c r="S951" s="9">
        <f t="shared" si="74"/>
        <v>7.0000000000000007E-2</v>
      </c>
    </row>
    <row r="952" spans="1:19" x14ac:dyDescent="0.25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e">
        <f>VLOOKUP('Customer Info'!A944,'Customer Info'!A944:I1443,2,FALSE)</f>
        <v>#N/A</v>
      </c>
      <c r="H952" s="6" t="e">
        <f>VLOOKUP('Customer Info'!A944,'Customer Info'!A944:I1444,3,FALSE)</f>
        <v>#N/A</v>
      </c>
      <c r="I952" s="6" t="e">
        <f>VLOOKUP('Customer Info'!A944,'Customer Info'!A944:I1443,5,FALSE)</f>
        <v>#N/A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7432</v>
      </c>
      <c r="R952" s="2" t="s">
        <v>50</v>
      </c>
      <c r="S952" s="9">
        <f t="shared" si="74"/>
        <v>0.09</v>
      </c>
    </row>
    <row r="953" spans="1:19" x14ac:dyDescent="0.25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e">
        <f>VLOOKUP('Customer Info'!A945,'Customer Info'!A945:I1444,2,FALSE)</f>
        <v>#N/A</v>
      </c>
      <c r="H953" s="6" t="e">
        <f>VLOOKUP('Customer Info'!A945,'Customer Info'!A945:I1445,3,FALSE)</f>
        <v>#N/A</v>
      </c>
      <c r="I953" s="6" t="e">
        <f>VLOOKUP('Customer Info'!A945,'Customer Info'!A945:I1444,5,FALSE)</f>
        <v>#N/A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5741</v>
      </c>
      <c r="R953" s="2" t="s">
        <v>50</v>
      </c>
      <c r="S953" s="9">
        <f t="shared" si="74"/>
        <v>0.09</v>
      </c>
    </row>
    <row r="954" spans="1:19" x14ac:dyDescent="0.25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e">
        <f>VLOOKUP('Customer Info'!A946,'Customer Info'!A946:I1445,2,FALSE)</f>
        <v>#N/A</v>
      </c>
      <c r="H954" s="6" t="e">
        <f>VLOOKUP('Customer Info'!A946,'Customer Info'!A946:I1446,3,FALSE)</f>
        <v>#N/A</v>
      </c>
      <c r="I954" s="6" t="e">
        <f>VLOOKUP('Customer Info'!A946,'Customer Info'!A946:I1445,5,FALSE)</f>
        <v>#N/A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1243</v>
      </c>
      <c r="R954" s="2" t="s">
        <v>26</v>
      </c>
      <c r="S954" s="9">
        <f t="shared" si="74"/>
        <v>0.05</v>
      </c>
    </row>
    <row r="955" spans="1:19" x14ac:dyDescent="0.25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e">
        <f>VLOOKUP('Customer Info'!A947,'Customer Info'!A947:I1446,2,FALSE)</f>
        <v>#N/A</v>
      </c>
      <c r="H955" s="6" t="e">
        <f>VLOOKUP('Customer Info'!A947,'Customer Info'!A947:I1447,3,FALSE)</f>
        <v>#N/A</v>
      </c>
      <c r="I955" s="6" t="e">
        <f>VLOOKUP('Customer Info'!A947,'Customer Info'!A947:I1446,5,FALSE)</f>
        <v>#N/A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488</v>
      </c>
      <c r="R955" s="2" t="s">
        <v>50</v>
      </c>
      <c r="S955" s="9">
        <f t="shared" si="74"/>
        <v>0.05</v>
      </c>
    </row>
    <row r="956" spans="1:19" x14ac:dyDescent="0.25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e">
        <f>VLOOKUP('Customer Info'!A948,'Customer Info'!A948:I1447,2,FALSE)</f>
        <v>#N/A</v>
      </c>
      <c r="H956" s="6" t="e">
        <f>VLOOKUP('Customer Info'!A948,'Customer Info'!A948:I1448,3,FALSE)</f>
        <v>#N/A</v>
      </c>
      <c r="I956" s="6" t="e">
        <f>VLOOKUP('Customer Info'!A948,'Customer Info'!A948:I1447,5,FALSE)</f>
        <v>#N/A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6189</v>
      </c>
      <c r="R956" s="2" t="s">
        <v>50</v>
      </c>
      <c r="S956" s="9">
        <f t="shared" si="74"/>
        <v>0.09</v>
      </c>
    </row>
    <row r="957" spans="1:19" x14ac:dyDescent="0.25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e">
        <f>VLOOKUP('Customer Info'!A949,'Customer Info'!A949:I1448,2,FALSE)</f>
        <v>#N/A</v>
      </c>
      <c r="H957" s="6" t="e">
        <f>VLOOKUP('Customer Info'!A949,'Customer Info'!A949:I1449,3,FALSE)</f>
        <v>#N/A</v>
      </c>
      <c r="I957" s="6" t="e">
        <f>VLOOKUP('Customer Info'!A949,'Customer Info'!A949:I1448,5,FALSE)</f>
        <v>#N/A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245</v>
      </c>
      <c r="R957" s="2" t="s">
        <v>28</v>
      </c>
      <c r="S957" s="9">
        <f t="shared" si="74"/>
        <v>0.02</v>
      </c>
    </row>
    <row r="958" spans="1:19" x14ac:dyDescent="0.25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e">
        <f>VLOOKUP('Customer Info'!A950,'Customer Info'!A950:I1449,2,FALSE)</f>
        <v>#N/A</v>
      </c>
      <c r="H958" s="6" t="e">
        <f>VLOOKUP('Customer Info'!A950,'Customer Info'!A950:I1450,3,FALSE)</f>
        <v>#N/A</v>
      </c>
      <c r="I958" s="6" t="e">
        <f>VLOOKUP('Customer Info'!A950,'Customer Info'!A950:I1449,5,FALSE)</f>
        <v>#N/A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82</v>
      </c>
      <c r="R958" s="2" t="s">
        <v>28</v>
      </c>
      <c r="S958" s="9">
        <f t="shared" si="74"/>
        <v>0.02</v>
      </c>
    </row>
    <row r="959" spans="1:19" x14ac:dyDescent="0.25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e">
        <f>VLOOKUP('Customer Info'!A951,'Customer Info'!A951:I1450,2,FALSE)</f>
        <v>#N/A</v>
      </c>
      <c r="H959" s="6" t="e">
        <f>VLOOKUP('Customer Info'!A951,'Customer Info'!A951:I1451,3,FALSE)</f>
        <v>#N/A</v>
      </c>
      <c r="I959" s="6" t="e">
        <f>VLOOKUP('Customer Info'!A951,'Customer Info'!A951:I1450,5,FALSE)</f>
        <v>#N/A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991</v>
      </c>
      <c r="R959" s="2" t="s">
        <v>28</v>
      </c>
      <c r="S959" s="9">
        <f t="shared" si="74"/>
        <v>0.05</v>
      </c>
    </row>
    <row r="960" spans="1:19" x14ac:dyDescent="0.25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e">
        <f>VLOOKUP('Customer Info'!A952,'Customer Info'!A952:I1451,2,FALSE)</f>
        <v>#N/A</v>
      </c>
      <c r="H960" s="6" t="e">
        <f>VLOOKUP('Customer Info'!A952,'Customer Info'!A952:I1452,3,FALSE)</f>
        <v>#N/A</v>
      </c>
      <c r="I960" s="6" t="e">
        <f>VLOOKUP('Customer Info'!A952,'Customer Info'!A952:I1451,5,FALSE)</f>
        <v>#N/A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183</v>
      </c>
      <c r="R960" s="2" t="s">
        <v>28</v>
      </c>
      <c r="S960" s="9">
        <f t="shared" si="74"/>
        <v>0.02</v>
      </c>
    </row>
    <row r="961" spans="1:19" x14ac:dyDescent="0.25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e">
        <f>VLOOKUP('Customer Info'!A953,'Customer Info'!A953:I1452,2,FALSE)</f>
        <v>#N/A</v>
      </c>
      <c r="H961" s="6" t="e">
        <f>VLOOKUP('Customer Info'!A953,'Customer Info'!A953:I1453,3,FALSE)</f>
        <v>#N/A</v>
      </c>
      <c r="I961" s="6" t="e">
        <f>VLOOKUP('Customer Info'!A953,'Customer Info'!A953:I1452,5,FALSE)</f>
        <v>#N/A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74</v>
      </c>
      <c r="R961" s="2" t="s">
        <v>50</v>
      </c>
      <c r="S961" s="9">
        <f t="shared" si="74"/>
        <v>0.02</v>
      </c>
    </row>
    <row r="962" spans="1:19" x14ac:dyDescent="0.25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e">
        <f>VLOOKUP('Customer Info'!A954,'Customer Info'!A954:I1453,2,FALSE)</f>
        <v>#N/A</v>
      </c>
      <c r="H962" s="6" t="e">
        <f>VLOOKUP('Customer Info'!A954,'Customer Info'!A954:I1454,3,FALSE)</f>
        <v>#N/A</v>
      </c>
      <c r="I962" s="6" t="e">
        <f>VLOOKUP('Customer Info'!A954,'Customer Info'!A954:I1453,5,FALSE)</f>
        <v>#N/A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104</v>
      </c>
      <c r="R962" s="2" t="s">
        <v>56</v>
      </c>
      <c r="S962" s="9">
        <f t="shared" si="74"/>
        <v>0.05</v>
      </c>
    </row>
    <row r="963" spans="1:19" x14ac:dyDescent="0.25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e">
        <f>VLOOKUP('Customer Info'!A955,'Customer Info'!A955:I1454,2,FALSE)</f>
        <v>#N/A</v>
      </c>
      <c r="H963" s="6" t="e">
        <f>VLOOKUP('Customer Info'!A955,'Customer Info'!A955:I1455,3,FALSE)</f>
        <v>#N/A</v>
      </c>
      <c r="I963" s="6" t="e">
        <f>VLOOKUP('Customer Info'!A955,'Customer Info'!A955:I1454,5,FALSE)</f>
        <v>#N/A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168</v>
      </c>
      <c r="R963" s="2" t="s">
        <v>28</v>
      </c>
      <c r="S963" s="9">
        <f t="shared" si="74"/>
        <v>0.02</v>
      </c>
    </row>
    <row r="964" spans="1:19" x14ac:dyDescent="0.25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e">
        <f>VLOOKUP('Customer Info'!A956,'Customer Info'!A956:I1455,2,FALSE)</f>
        <v>#N/A</v>
      </c>
      <c r="H964" s="6" t="e">
        <f>VLOOKUP('Customer Info'!A956,'Customer Info'!A956:I1456,3,FALSE)</f>
        <v>#N/A</v>
      </c>
      <c r="I964" s="6" t="e">
        <f>VLOOKUP('Customer Info'!A956,'Customer Info'!A956:I1455,5,FALSE)</f>
        <v>#N/A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432</v>
      </c>
      <c r="R964" s="2" t="s">
        <v>28</v>
      </c>
      <c r="S964" s="9">
        <f t="shared" si="74"/>
        <v>0.02</v>
      </c>
    </row>
    <row r="965" spans="1:19" x14ac:dyDescent="0.25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e">
        <f>VLOOKUP('Customer Info'!A957,'Customer Info'!A957:I1456,2,FALSE)</f>
        <v>#N/A</v>
      </c>
      <c r="H965" s="6" t="e">
        <f>VLOOKUP('Customer Info'!A957,'Customer Info'!A957:I1457,3,FALSE)</f>
        <v>#N/A</v>
      </c>
      <c r="I965" s="6" t="e">
        <f>VLOOKUP('Customer Info'!A957,'Customer Info'!A957:I1456,5,FALSE)</f>
        <v>#N/A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145</v>
      </c>
      <c r="R965" s="2" t="s">
        <v>28</v>
      </c>
      <c r="S965" s="9">
        <f t="shared" si="74"/>
        <v>0.02</v>
      </c>
    </row>
    <row r="966" spans="1:19" x14ac:dyDescent="0.25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e">
        <f>VLOOKUP('Customer Info'!A958,'Customer Info'!A958:I1457,2,FALSE)</f>
        <v>#N/A</v>
      </c>
      <c r="H966" s="6" t="e">
        <f>VLOOKUP('Customer Info'!A958,'Customer Info'!A958:I1458,3,FALSE)</f>
        <v>#N/A</v>
      </c>
      <c r="I966" s="6" t="e">
        <f>VLOOKUP('Customer Info'!A958,'Customer Info'!A958:I1457,5,FALSE)</f>
        <v>#N/A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113</v>
      </c>
      <c r="R966" s="2" t="s">
        <v>50</v>
      </c>
      <c r="S966" s="9">
        <f t="shared" si="74"/>
        <v>0.02</v>
      </c>
    </row>
    <row r="967" spans="1:19" x14ac:dyDescent="0.25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e">
        <f>VLOOKUP('Customer Info'!A959,'Customer Info'!A959:I1458,2,FALSE)</f>
        <v>#N/A</v>
      </c>
      <c r="H967" s="6" t="e">
        <f>VLOOKUP('Customer Info'!A959,'Customer Info'!A959:I1459,3,FALSE)</f>
        <v>#N/A</v>
      </c>
      <c r="I967" s="6" t="e">
        <f>VLOOKUP('Customer Info'!A959,'Customer Info'!A959:I1458,5,FALSE)</f>
        <v>#N/A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1927</v>
      </c>
      <c r="R967" s="2" t="s">
        <v>50</v>
      </c>
      <c r="S967" s="9">
        <f t="shared" si="74"/>
        <v>7.0000000000000007E-2</v>
      </c>
    </row>
    <row r="968" spans="1:19" x14ac:dyDescent="0.25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e">
        <f>VLOOKUP('Customer Info'!A960,'Customer Info'!A960:I1459,2,FALSE)</f>
        <v>#N/A</v>
      </c>
      <c r="H968" s="6" t="e">
        <f>VLOOKUP('Customer Info'!A960,'Customer Info'!A960:I1460,3,FALSE)</f>
        <v>#N/A</v>
      </c>
      <c r="I968" s="6" t="e">
        <f>VLOOKUP('Customer Info'!A960,'Customer Info'!A960:I1459,5,FALSE)</f>
        <v>#N/A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315</v>
      </c>
      <c r="R968" s="2" t="s">
        <v>50</v>
      </c>
      <c r="S968" s="9">
        <f t="shared" si="74"/>
        <v>0.02</v>
      </c>
    </row>
    <row r="969" spans="1:19" x14ac:dyDescent="0.25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e">
        <f>VLOOKUP('Customer Info'!A961,'Customer Info'!A961:I1460,2,FALSE)</f>
        <v>#N/A</v>
      </c>
      <c r="H969" s="6" t="e">
        <f>VLOOKUP('Customer Info'!A961,'Customer Info'!A961:I1461,3,FALSE)</f>
        <v>#N/A</v>
      </c>
      <c r="I969" s="6" t="e">
        <f>VLOOKUP('Customer Info'!A961,'Customer Info'!A961:I1460,5,FALSE)</f>
        <v>#N/A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90</v>
      </c>
      <c r="R969" s="2" t="s">
        <v>28</v>
      </c>
      <c r="S969" s="9">
        <f t="shared" si="74"/>
        <v>0.02</v>
      </c>
    </row>
    <row r="970" spans="1:19" x14ac:dyDescent="0.25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e">
        <f>VLOOKUP('Customer Info'!A962,'Customer Info'!A962:I1461,2,FALSE)</f>
        <v>#N/A</v>
      </c>
      <c r="H970" s="6" t="e">
        <f>VLOOKUP('Customer Info'!A962,'Customer Info'!A962:I1462,3,FALSE)</f>
        <v>#N/A</v>
      </c>
      <c r="I970" s="6" t="e">
        <f>VLOOKUP('Customer Info'!A962,'Customer Info'!A962:I1461,5,FALSE)</f>
        <v>#N/A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416</v>
      </c>
      <c r="R970" s="2" t="s">
        <v>28</v>
      </c>
      <c r="S970" s="9">
        <f t="shared" si="74"/>
        <v>0.02</v>
      </c>
    </row>
    <row r="971" spans="1:19" x14ac:dyDescent="0.25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e">
        <f>VLOOKUP('Customer Info'!A963,'Customer Info'!A963:I1462,2,FALSE)</f>
        <v>#N/A</v>
      </c>
      <c r="H971" s="6" t="e">
        <f>VLOOKUP('Customer Info'!A963,'Customer Info'!A963:I1463,3,FALSE)</f>
        <v>#N/A</v>
      </c>
      <c r="I971" s="6" t="e">
        <f>VLOOKUP('Customer Info'!A963,'Customer Info'!A963:I1462,5,FALSE)</f>
        <v>#N/A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8">
        <f t="shared" ref="P971:P1034" si="77">N971+O971</f>
        <v>33015</v>
      </c>
      <c r="Q971" s="8">
        <f t="shared" ref="Q971:Q1034" si="78">P971-M971</f>
        <v>1285</v>
      </c>
      <c r="R971" s="2" t="s">
        <v>28</v>
      </c>
      <c r="S971" s="9">
        <f t="shared" ref="S971:S1034" si="79">VLOOKUP(P971,$T$2:$U$7,2,TRUE)</f>
        <v>7.0000000000000007E-2</v>
      </c>
    </row>
    <row r="972" spans="1:19" x14ac:dyDescent="0.25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e">
        <f>VLOOKUP('Customer Info'!A964,'Customer Info'!A964:I1463,2,FALSE)</f>
        <v>#N/A</v>
      </c>
      <c r="H972" s="6" t="e">
        <f>VLOOKUP('Customer Info'!A964,'Customer Info'!A964:I1464,3,FALSE)</f>
        <v>#N/A</v>
      </c>
      <c r="I972" s="6" t="e">
        <f>VLOOKUP('Customer Info'!A964,'Customer Info'!A964:I1463,5,FALSE)</f>
        <v>#N/A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307</v>
      </c>
      <c r="R972" s="2" t="s">
        <v>28</v>
      </c>
      <c r="S972" s="9">
        <f t="shared" si="79"/>
        <v>0.02</v>
      </c>
    </row>
    <row r="973" spans="1:19" x14ac:dyDescent="0.25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e">
        <f>VLOOKUP('Customer Info'!A965,'Customer Info'!A965:I1464,2,FALSE)</f>
        <v>#N/A</v>
      </c>
      <c r="H973" s="6" t="e">
        <f>VLOOKUP('Customer Info'!A965,'Customer Info'!A965:I1465,3,FALSE)</f>
        <v>#N/A</v>
      </c>
      <c r="I973" s="6" t="e">
        <f>VLOOKUP('Customer Info'!A965,'Customer Info'!A965:I1464,5,FALSE)</f>
        <v>#N/A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894</v>
      </c>
      <c r="R973" s="2" t="s">
        <v>26</v>
      </c>
      <c r="S973" s="9">
        <f t="shared" si="79"/>
        <v>0.05</v>
      </c>
    </row>
    <row r="974" spans="1:19" x14ac:dyDescent="0.25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e">
        <f>VLOOKUP('Customer Info'!A966,'Customer Info'!A966:I1465,2,FALSE)</f>
        <v>#N/A</v>
      </c>
      <c r="H974" s="6" t="e">
        <f>VLOOKUP('Customer Info'!A966,'Customer Info'!A966:I1466,3,FALSE)</f>
        <v>#N/A</v>
      </c>
      <c r="I974" s="6" t="e">
        <f>VLOOKUP('Customer Info'!A966,'Customer Info'!A966:I1465,5,FALSE)</f>
        <v>#N/A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167</v>
      </c>
      <c r="R974" s="2" t="s">
        <v>50</v>
      </c>
      <c r="S974" s="9">
        <f t="shared" si="79"/>
        <v>0.05</v>
      </c>
    </row>
    <row r="975" spans="1:19" x14ac:dyDescent="0.25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e">
        <f>VLOOKUP('Customer Info'!A967,'Customer Info'!A967:I1466,2,FALSE)</f>
        <v>#N/A</v>
      </c>
      <c r="H975" s="6" t="e">
        <f>VLOOKUP('Customer Info'!A967,'Customer Info'!A967:I1467,3,FALSE)</f>
        <v>#N/A</v>
      </c>
      <c r="I975" s="6" t="e">
        <f>VLOOKUP('Customer Info'!A967,'Customer Info'!A967:I1466,5,FALSE)</f>
        <v>#N/A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200</v>
      </c>
      <c r="R975" s="2" t="s">
        <v>28</v>
      </c>
      <c r="S975" s="9">
        <f t="shared" si="79"/>
        <v>0.02</v>
      </c>
    </row>
    <row r="976" spans="1:19" x14ac:dyDescent="0.25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e">
        <f>VLOOKUP('Customer Info'!A968,'Customer Info'!A968:I1467,2,FALSE)</f>
        <v>#N/A</v>
      </c>
      <c r="H976" s="6" t="e">
        <f>VLOOKUP('Customer Info'!A968,'Customer Info'!A968:I1468,3,FALSE)</f>
        <v>#N/A</v>
      </c>
      <c r="I976" s="6" t="e">
        <f>VLOOKUP('Customer Info'!A968,'Customer Info'!A968:I1467,5,FALSE)</f>
        <v>#N/A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110</v>
      </c>
      <c r="R976" s="2" t="s">
        <v>28</v>
      </c>
      <c r="S976" s="9">
        <f t="shared" si="79"/>
        <v>0.02</v>
      </c>
    </row>
    <row r="977" spans="1:19" x14ac:dyDescent="0.25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e">
        <f>VLOOKUP('Customer Info'!A969,'Customer Info'!A969:I1468,2,FALSE)</f>
        <v>#N/A</v>
      </c>
      <c r="H977" s="6" t="e">
        <f>VLOOKUP('Customer Info'!A969,'Customer Info'!A969:I1469,3,FALSE)</f>
        <v>#N/A</v>
      </c>
      <c r="I977" s="6" t="e">
        <f>VLOOKUP('Customer Info'!A969,'Customer Info'!A969:I1468,5,FALSE)</f>
        <v>#N/A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288</v>
      </c>
      <c r="R977" s="2" t="s">
        <v>56</v>
      </c>
      <c r="S977" s="9">
        <f t="shared" si="79"/>
        <v>0.02</v>
      </c>
    </row>
    <row r="978" spans="1:19" x14ac:dyDescent="0.25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e">
        <f>VLOOKUP('Customer Info'!A970,'Customer Info'!A970:I1469,2,FALSE)</f>
        <v>#N/A</v>
      </c>
      <c r="H978" s="6" t="e">
        <f>VLOOKUP('Customer Info'!A970,'Customer Info'!A970:I1470,3,FALSE)</f>
        <v>#N/A</v>
      </c>
      <c r="I978" s="6" t="e">
        <f>VLOOKUP('Customer Info'!A970,'Customer Info'!A970:I1469,5,FALSE)</f>
        <v>#N/A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488</v>
      </c>
      <c r="R978" s="2" t="s">
        <v>28</v>
      </c>
      <c r="S978" s="9">
        <f t="shared" si="79"/>
        <v>0.05</v>
      </c>
    </row>
    <row r="979" spans="1:19" x14ac:dyDescent="0.25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e">
        <f>VLOOKUP('Customer Info'!A971,'Customer Info'!A971:I1470,2,FALSE)</f>
        <v>#N/A</v>
      </c>
      <c r="H979" s="6" t="e">
        <f>VLOOKUP('Customer Info'!A971,'Customer Info'!A971:I1471,3,FALSE)</f>
        <v>#N/A</v>
      </c>
      <c r="I979" s="6" t="e">
        <f>VLOOKUP('Customer Info'!A971,'Customer Info'!A971:I1470,5,FALSE)</f>
        <v>#N/A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1206</v>
      </c>
      <c r="R979" s="2" t="s">
        <v>28</v>
      </c>
      <c r="S979" s="9">
        <f t="shared" si="79"/>
        <v>0.05</v>
      </c>
    </row>
    <row r="980" spans="1:19" x14ac:dyDescent="0.25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e">
        <f>VLOOKUP('Customer Info'!A972,'Customer Info'!A972:I1471,2,FALSE)</f>
        <v>#N/A</v>
      </c>
      <c r="H980" s="6" t="e">
        <f>VLOOKUP('Customer Info'!A972,'Customer Info'!A972:I1472,3,FALSE)</f>
        <v>#N/A</v>
      </c>
      <c r="I980" s="6" t="e">
        <f>VLOOKUP('Customer Info'!A972,'Customer Info'!A972:I1471,5,FALSE)</f>
        <v>#N/A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1288</v>
      </c>
      <c r="R980" s="2" t="s">
        <v>28</v>
      </c>
      <c r="S980" s="9">
        <f t="shared" si="79"/>
        <v>0.05</v>
      </c>
    </row>
    <row r="981" spans="1:19" x14ac:dyDescent="0.25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e">
        <f>VLOOKUP('Customer Info'!A973,'Customer Info'!A973:I1472,2,FALSE)</f>
        <v>#N/A</v>
      </c>
      <c r="H981" s="6" t="e">
        <f>VLOOKUP('Customer Info'!A973,'Customer Info'!A973:I1473,3,FALSE)</f>
        <v>#N/A</v>
      </c>
      <c r="I981" s="6" t="e">
        <f>VLOOKUP('Customer Info'!A973,'Customer Info'!A973:I1472,5,FALSE)</f>
        <v>#N/A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108</v>
      </c>
      <c r="R981" s="2" t="s">
        <v>28</v>
      </c>
      <c r="S981" s="9">
        <f t="shared" si="79"/>
        <v>0.02</v>
      </c>
    </row>
    <row r="982" spans="1:19" x14ac:dyDescent="0.25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e">
        <f>VLOOKUP('Customer Info'!A974,'Customer Info'!A974:I1473,2,FALSE)</f>
        <v>#N/A</v>
      </c>
      <c r="H982" s="6" t="e">
        <f>VLOOKUP('Customer Info'!A974,'Customer Info'!A974:I1474,3,FALSE)</f>
        <v>#N/A</v>
      </c>
      <c r="I982" s="6" t="e">
        <f>VLOOKUP('Customer Info'!A974,'Customer Info'!A974:I1473,5,FALSE)</f>
        <v>#N/A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220</v>
      </c>
      <c r="R982" s="2" t="s">
        <v>28</v>
      </c>
      <c r="S982" s="9">
        <f t="shared" si="79"/>
        <v>0.02</v>
      </c>
    </row>
    <row r="983" spans="1:19" x14ac:dyDescent="0.25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e">
        <f>VLOOKUP('Customer Info'!A975,'Customer Info'!A975:I1474,2,FALSE)</f>
        <v>#N/A</v>
      </c>
      <c r="H983" s="6" t="e">
        <f>VLOOKUP('Customer Info'!A975,'Customer Info'!A975:I1475,3,FALSE)</f>
        <v>#N/A</v>
      </c>
      <c r="I983" s="6" t="e">
        <f>VLOOKUP('Customer Info'!A975,'Customer Info'!A975:I1474,5,FALSE)</f>
        <v>#N/A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374</v>
      </c>
      <c r="R983" s="2" t="s">
        <v>28</v>
      </c>
      <c r="S983" s="9">
        <f t="shared" si="79"/>
        <v>0.02</v>
      </c>
    </row>
    <row r="984" spans="1:19" x14ac:dyDescent="0.25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e">
        <f>VLOOKUP('Customer Info'!A976,'Customer Info'!A976:I1475,2,FALSE)</f>
        <v>#N/A</v>
      </c>
      <c r="H984" s="6" t="e">
        <f>VLOOKUP('Customer Info'!A976,'Customer Info'!A976:I1476,3,FALSE)</f>
        <v>#N/A</v>
      </c>
      <c r="I984" s="6" t="e">
        <f>VLOOKUP('Customer Info'!A976,'Customer Info'!A976:I1475,5,FALSE)</f>
        <v>#N/A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180</v>
      </c>
      <c r="R984" s="2" t="s">
        <v>28</v>
      </c>
      <c r="S984" s="9">
        <f t="shared" si="79"/>
        <v>0.02</v>
      </c>
    </row>
    <row r="985" spans="1:19" x14ac:dyDescent="0.25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e">
        <f>VLOOKUP('Customer Info'!A977,'Customer Info'!A977:I1476,2,FALSE)</f>
        <v>#N/A</v>
      </c>
      <c r="H985" s="6" t="e">
        <f>VLOOKUP('Customer Info'!A977,'Customer Info'!A977:I1477,3,FALSE)</f>
        <v>#N/A</v>
      </c>
      <c r="I985" s="6" t="e">
        <f>VLOOKUP('Customer Info'!A977,'Customer Info'!A977:I1476,5,FALSE)</f>
        <v>#N/A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343</v>
      </c>
      <c r="R985" s="2" t="s">
        <v>50</v>
      </c>
      <c r="S985" s="9">
        <f t="shared" si="79"/>
        <v>0.05</v>
      </c>
    </row>
    <row r="986" spans="1:19" x14ac:dyDescent="0.25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e">
        <f>VLOOKUP('Customer Info'!A978,'Customer Info'!A978:I1477,2,FALSE)</f>
        <v>#N/A</v>
      </c>
      <c r="H986" s="6" t="e">
        <f>VLOOKUP('Customer Info'!A978,'Customer Info'!A978:I1478,3,FALSE)</f>
        <v>#N/A</v>
      </c>
      <c r="I986" s="6" t="e">
        <f>VLOOKUP('Customer Info'!A978,'Customer Info'!A978:I1477,5,FALSE)</f>
        <v>#N/A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532</v>
      </c>
      <c r="R986" s="2" t="s">
        <v>28</v>
      </c>
      <c r="S986" s="9">
        <f t="shared" si="79"/>
        <v>0.05</v>
      </c>
    </row>
    <row r="987" spans="1:19" x14ac:dyDescent="0.25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e">
        <f>VLOOKUP('Customer Info'!A979,'Customer Info'!A979:I1478,2,FALSE)</f>
        <v>#N/A</v>
      </c>
      <c r="H987" s="6" t="e">
        <f>VLOOKUP('Customer Info'!A979,'Customer Info'!A979:I1479,3,FALSE)</f>
        <v>#N/A</v>
      </c>
      <c r="I987" s="6" t="e">
        <f>VLOOKUP('Customer Info'!A979,'Customer Info'!A979:I1478,5,FALSE)</f>
        <v>#N/A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3926</v>
      </c>
      <c r="R987" s="2" t="s">
        <v>50</v>
      </c>
      <c r="S987" s="9">
        <f t="shared" si="79"/>
        <v>7.0000000000000007E-2</v>
      </c>
    </row>
    <row r="988" spans="1:19" x14ac:dyDescent="0.25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e">
        <f>VLOOKUP('Customer Info'!A980,'Customer Info'!A980:I1479,2,FALSE)</f>
        <v>#N/A</v>
      </c>
      <c r="H988" s="6" t="e">
        <f>VLOOKUP('Customer Info'!A980,'Customer Info'!A980:I1480,3,FALSE)</f>
        <v>#N/A</v>
      </c>
      <c r="I988" s="6" t="e">
        <f>VLOOKUP('Customer Info'!A980,'Customer Info'!A980:I1479,5,FALSE)</f>
        <v>#N/A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2726</v>
      </c>
      <c r="R988" s="2" t="s">
        <v>50</v>
      </c>
      <c r="S988" s="9">
        <f t="shared" si="79"/>
        <v>7.0000000000000007E-2</v>
      </c>
    </row>
    <row r="989" spans="1:19" x14ac:dyDescent="0.25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e">
        <f>VLOOKUP('Customer Info'!A981,'Customer Info'!A981:I1480,2,FALSE)</f>
        <v>#N/A</v>
      </c>
      <c r="H989" s="6" t="e">
        <f>VLOOKUP('Customer Info'!A981,'Customer Info'!A981:I1481,3,FALSE)</f>
        <v>#N/A</v>
      </c>
      <c r="I989" s="6" t="e">
        <f>VLOOKUP('Customer Info'!A981,'Customer Info'!A981:I1480,5,FALSE)</f>
        <v>#N/A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1084</v>
      </c>
      <c r="R989" s="2" t="s">
        <v>28</v>
      </c>
      <c r="S989" s="9">
        <f t="shared" si="79"/>
        <v>0.05</v>
      </c>
    </row>
    <row r="990" spans="1:19" x14ac:dyDescent="0.25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e">
        <f>VLOOKUP('Customer Info'!A982,'Customer Info'!A982:I1481,2,FALSE)</f>
        <v>#N/A</v>
      </c>
      <c r="H990" s="6" t="e">
        <f>VLOOKUP('Customer Info'!A982,'Customer Info'!A982:I1482,3,FALSE)</f>
        <v>#N/A</v>
      </c>
      <c r="I990" s="6" t="e">
        <f>VLOOKUP('Customer Info'!A982,'Customer Info'!A982:I1481,5,FALSE)</f>
        <v>#N/A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58</v>
      </c>
      <c r="R990" s="2" t="s">
        <v>28</v>
      </c>
      <c r="S990" s="9">
        <f t="shared" si="79"/>
        <v>0.02</v>
      </c>
    </row>
    <row r="991" spans="1:19" x14ac:dyDescent="0.25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e">
        <f>VLOOKUP('Customer Info'!A983,'Customer Info'!A983:I1482,2,FALSE)</f>
        <v>#N/A</v>
      </c>
      <c r="H991" s="6" t="e">
        <f>VLOOKUP('Customer Info'!A983,'Customer Info'!A983:I1483,3,FALSE)</f>
        <v>#N/A</v>
      </c>
      <c r="I991" s="6" t="e">
        <f>VLOOKUP('Customer Info'!A983,'Customer Info'!A983:I1482,5,FALSE)</f>
        <v>#N/A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107</v>
      </c>
      <c r="R991" s="2" t="s">
        <v>28</v>
      </c>
      <c r="S991" s="9">
        <f t="shared" si="79"/>
        <v>0.02</v>
      </c>
    </row>
    <row r="992" spans="1:19" x14ac:dyDescent="0.25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e">
        <f>VLOOKUP('Customer Info'!A984,'Customer Info'!A984:I1483,2,FALSE)</f>
        <v>#N/A</v>
      </c>
      <c r="H992" s="6" t="e">
        <f>VLOOKUP('Customer Info'!A984,'Customer Info'!A984:I1484,3,FALSE)</f>
        <v>#N/A</v>
      </c>
      <c r="I992" s="6" t="e">
        <f>VLOOKUP('Customer Info'!A984,'Customer Info'!A984:I1483,5,FALSE)</f>
        <v>#N/A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594</v>
      </c>
      <c r="R992" s="2" t="s">
        <v>50</v>
      </c>
      <c r="S992" s="9">
        <f t="shared" si="79"/>
        <v>0.05</v>
      </c>
    </row>
    <row r="993" spans="1:19" x14ac:dyDescent="0.25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e">
        <f>VLOOKUP('Customer Info'!A985,'Customer Info'!A985:I1484,2,FALSE)</f>
        <v>#N/A</v>
      </c>
      <c r="H993" s="6" t="e">
        <f>VLOOKUP('Customer Info'!A985,'Customer Info'!A985:I1485,3,FALSE)</f>
        <v>#N/A</v>
      </c>
      <c r="I993" s="6" t="e">
        <f>VLOOKUP('Customer Info'!A985,'Customer Info'!A985:I1484,5,FALSE)</f>
        <v>#N/A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12</v>
      </c>
      <c r="R993" s="2" t="s">
        <v>28</v>
      </c>
      <c r="S993" s="9">
        <f t="shared" si="79"/>
        <v>0.02</v>
      </c>
    </row>
    <row r="994" spans="1:19" x14ac:dyDescent="0.25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e">
        <f>VLOOKUP('Customer Info'!A986,'Customer Info'!A986:I1485,2,FALSE)</f>
        <v>#N/A</v>
      </c>
      <c r="H994" s="6" t="e">
        <f>VLOOKUP('Customer Info'!A986,'Customer Info'!A986:I1486,3,FALSE)</f>
        <v>#N/A</v>
      </c>
      <c r="I994" s="6" t="e">
        <f>VLOOKUP('Customer Info'!A986,'Customer Info'!A986:I1485,5,FALSE)</f>
        <v>#N/A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729</v>
      </c>
      <c r="R994" s="2" t="s">
        <v>28</v>
      </c>
      <c r="S994" s="9">
        <f t="shared" si="79"/>
        <v>0.05</v>
      </c>
    </row>
    <row r="995" spans="1:19" x14ac:dyDescent="0.25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e">
        <f>VLOOKUP('Customer Info'!A987,'Customer Info'!A987:I1486,2,FALSE)</f>
        <v>#N/A</v>
      </c>
      <c r="H995" s="6" t="e">
        <f>VLOOKUP('Customer Info'!A987,'Customer Info'!A987:I1487,3,FALSE)</f>
        <v>#N/A</v>
      </c>
      <c r="I995" s="6" t="e">
        <f>VLOOKUP('Customer Info'!A987,'Customer Info'!A987:I1486,5,FALSE)</f>
        <v>#N/A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8411</v>
      </c>
      <c r="R995" s="2" t="s">
        <v>26</v>
      </c>
      <c r="S995" s="9">
        <f t="shared" si="79"/>
        <v>0.09</v>
      </c>
    </row>
    <row r="996" spans="1:19" x14ac:dyDescent="0.25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e">
        <f>VLOOKUP('Customer Info'!A988,'Customer Info'!A988:I1487,2,FALSE)</f>
        <v>#N/A</v>
      </c>
      <c r="H996" s="6" t="e">
        <f>VLOOKUP('Customer Info'!A988,'Customer Info'!A988:I1488,3,FALSE)</f>
        <v>#N/A</v>
      </c>
      <c r="I996" s="6" t="e">
        <f>VLOOKUP('Customer Info'!A988,'Customer Info'!A988:I1487,5,FALSE)</f>
        <v>#N/A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740</v>
      </c>
      <c r="R996" s="2" t="s">
        <v>50</v>
      </c>
      <c r="S996" s="9">
        <f t="shared" si="79"/>
        <v>0.05</v>
      </c>
    </row>
    <row r="997" spans="1:19" x14ac:dyDescent="0.25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e">
        <f>VLOOKUP('Customer Info'!A989,'Customer Info'!A989:I1488,2,FALSE)</f>
        <v>#N/A</v>
      </c>
      <c r="H997" s="6" t="e">
        <f>VLOOKUP('Customer Info'!A989,'Customer Info'!A989:I1489,3,FALSE)</f>
        <v>#N/A</v>
      </c>
      <c r="I997" s="6" t="e">
        <f>VLOOKUP('Customer Info'!A989,'Customer Info'!A989:I1488,5,FALSE)</f>
        <v>#N/A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427</v>
      </c>
      <c r="R997" s="2" t="s">
        <v>28</v>
      </c>
      <c r="S997" s="9">
        <f t="shared" si="79"/>
        <v>0.05</v>
      </c>
    </row>
    <row r="998" spans="1:19" x14ac:dyDescent="0.25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e">
        <f>VLOOKUP('Customer Info'!A990,'Customer Info'!A990:I1489,2,FALSE)</f>
        <v>#N/A</v>
      </c>
      <c r="H998" s="6" t="e">
        <f>VLOOKUP('Customer Info'!A990,'Customer Info'!A990:I1490,3,FALSE)</f>
        <v>#N/A</v>
      </c>
      <c r="I998" s="6" t="e">
        <f>VLOOKUP('Customer Info'!A990,'Customer Info'!A990:I1489,5,FALSE)</f>
        <v>#N/A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202</v>
      </c>
      <c r="R998" s="2" t="s">
        <v>28</v>
      </c>
      <c r="S998" s="9">
        <f t="shared" si="79"/>
        <v>0.02</v>
      </c>
    </row>
    <row r="999" spans="1:19" x14ac:dyDescent="0.25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e">
        <f>VLOOKUP('Customer Info'!A991,'Customer Info'!A991:I1490,2,FALSE)</f>
        <v>#N/A</v>
      </c>
      <c r="H999" s="6" t="e">
        <f>VLOOKUP('Customer Info'!A991,'Customer Info'!A991:I1491,3,FALSE)</f>
        <v>#N/A</v>
      </c>
      <c r="I999" s="6" t="e">
        <f>VLOOKUP('Customer Info'!A991,'Customer Info'!A991:I1490,5,FALSE)</f>
        <v>#N/A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534</v>
      </c>
      <c r="R999" s="2" t="s">
        <v>50</v>
      </c>
      <c r="S999" s="9">
        <f t="shared" si="79"/>
        <v>0.05</v>
      </c>
    </row>
    <row r="1000" spans="1:19" x14ac:dyDescent="0.25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e">
        <f>VLOOKUP('Customer Info'!A992,'Customer Info'!A992:I1491,2,FALSE)</f>
        <v>#N/A</v>
      </c>
      <c r="H1000" s="6" t="e">
        <f>VLOOKUP('Customer Info'!A992,'Customer Info'!A992:I1492,3,FALSE)</f>
        <v>#N/A</v>
      </c>
      <c r="I1000" s="6" t="e">
        <f>VLOOKUP('Customer Info'!A992,'Customer Info'!A992:I1491,5,FALSE)</f>
        <v>#N/A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151</v>
      </c>
      <c r="R1000" s="2" t="s">
        <v>50</v>
      </c>
      <c r="S1000" s="9">
        <f t="shared" si="79"/>
        <v>0.02</v>
      </c>
    </row>
    <row r="1001" spans="1:19" x14ac:dyDescent="0.25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e">
        <f>VLOOKUP('Customer Info'!A993,'Customer Info'!A993:I1492,2,FALSE)</f>
        <v>#N/A</v>
      </c>
      <c r="H1001" s="6" t="e">
        <f>VLOOKUP('Customer Info'!A993,'Customer Info'!A993:I1493,3,FALSE)</f>
        <v>#N/A</v>
      </c>
      <c r="I1001" s="6" t="e">
        <f>VLOOKUP('Customer Info'!A993,'Customer Info'!A993:I1492,5,FALSE)</f>
        <v>#N/A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1392</v>
      </c>
      <c r="R1001" s="2" t="s">
        <v>28</v>
      </c>
      <c r="S1001" s="9">
        <f t="shared" si="79"/>
        <v>0.05</v>
      </c>
    </row>
    <row r="1002" spans="1:19" x14ac:dyDescent="0.25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e">
        <f>VLOOKUP('Customer Info'!A994,'Customer Info'!A994:I1493,2,FALSE)</f>
        <v>#N/A</v>
      </c>
      <c r="H1002" s="6" t="e">
        <f>VLOOKUP('Customer Info'!A994,'Customer Info'!A994:I1494,3,FALSE)</f>
        <v>#N/A</v>
      </c>
      <c r="I1002" s="6" t="e">
        <f>VLOOKUP('Customer Info'!A994,'Customer Info'!A994:I1493,5,FALSE)</f>
        <v>#N/A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228</v>
      </c>
      <c r="R1002" s="2" t="s">
        <v>50</v>
      </c>
      <c r="S1002" s="9">
        <f t="shared" si="79"/>
        <v>0.05</v>
      </c>
    </row>
    <row r="1003" spans="1:19" x14ac:dyDescent="0.25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e">
        <f>VLOOKUP('Customer Info'!A995,'Customer Info'!A995:I1494,2,FALSE)</f>
        <v>#N/A</v>
      </c>
      <c r="H1003" s="6" t="e">
        <f>VLOOKUP('Customer Info'!A995,'Customer Info'!A995:I1495,3,FALSE)</f>
        <v>#N/A</v>
      </c>
      <c r="I1003" s="6" t="e">
        <f>VLOOKUP('Customer Info'!A995,'Customer Info'!A995:I1494,5,FALSE)</f>
        <v>#N/A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496</v>
      </c>
      <c r="R1003" s="2" t="s">
        <v>28</v>
      </c>
      <c r="S1003" s="9">
        <f t="shared" si="79"/>
        <v>0.05</v>
      </c>
    </row>
    <row r="1004" spans="1:19" x14ac:dyDescent="0.25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e">
        <f>VLOOKUP('Customer Info'!A996,'Customer Info'!A996:I1495,2,FALSE)</f>
        <v>#N/A</v>
      </c>
      <c r="H1004" s="6" t="e">
        <f>VLOOKUP('Customer Info'!A996,'Customer Info'!A996:I1496,3,FALSE)</f>
        <v>#N/A</v>
      </c>
      <c r="I1004" s="6" t="e">
        <f>VLOOKUP('Customer Info'!A996,'Customer Info'!A996:I1495,5,FALSE)</f>
        <v>#N/A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1894</v>
      </c>
      <c r="R1004" s="2" t="s">
        <v>26</v>
      </c>
      <c r="S1004" s="9">
        <f t="shared" si="79"/>
        <v>0.05</v>
      </c>
    </row>
    <row r="1005" spans="1:19" x14ac:dyDescent="0.25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e">
        <f>VLOOKUP('Customer Info'!A997,'Customer Info'!A997:I1496,2,FALSE)</f>
        <v>#N/A</v>
      </c>
      <c r="H1005" s="6" t="e">
        <f>VLOOKUP('Customer Info'!A997,'Customer Info'!A997:I1497,3,FALSE)</f>
        <v>#N/A</v>
      </c>
      <c r="I1005" s="6" t="e">
        <f>VLOOKUP('Customer Info'!A997,'Customer Info'!A997:I1496,5,FALSE)</f>
        <v>#N/A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322</v>
      </c>
      <c r="R1005" s="2" t="s">
        <v>50</v>
      </c>
      <c r="S1005" s="9">
        <f t="shared" si="79"/>
        <v>0.05</v>
      </c>
    </row>
    <row r="1006" spans="1:19" x14ac:dyDescent="0.25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e">
        <f>VLOOKUP('Customer Info'!A998,'Customer Info'!A998:I1497,2,FALSE)</f>
        <v>#N/A</v>
      </c>
      <c r="H1006" s="6" t="e">
        <f>VLOOKUP('Customer Info'!A998,'Customer Info'!A998:I1498,3,FALSE)</f>
        <v>#N/A</v>
      </c>
      <c r="I1006" s="6" t="e">
        <f>VLOOKUP('Customer Info'!A998,'Customer Info'!A998:I1497,5,FALSE)</f>
        <v>#N/A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33</v>
      </c>
      <c r="R1006" s="2" t="s">
        <v>28</v>
      </c>
      <c r="S1006" s="9">
        <f t="shared" si="79"/>
        <v>0.02</v>
      </c>
    </row>
    <row r="1007" spans="1:19" x14ac:dyDescent="0.25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e">
        <f>VLOOKUP('Customer Info'!A999,'Customer Info'!A999:I1498,2,FALSE)</f>
        <v>#N/A</v>
      </c>
      <c r="H1007" s="6" t="e">
        <f>VLOOKUP('Customer Info'!A999,'Customer Info'!A999:I1499,3,FALSE)</f>
        <v>#N/A</v>
      </c>
      <c r="I1007" s="6" t="e">
        <f>VLOOKUP('Customer Info'!A999,'Customer Info'!A999:I1498,5,FALSE)</f>
        <v>#N/A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210</v>
      </c>
      <c r="R1007" s="2" t="s">
        <v>50</v>
      </c>
      <c r="S1007" s="9">
        <f t="shared" si="79"/>
        <v>0.02</v>
      </c>
    </row>
    <row r="1008" spans="1:19" x14ac:dyDescent="0.25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e">
        <f>VLOOKUP('Customer Info'!A1000,'Customer Info'!A1000:I1499,2,FALSE)</f>
        <v>#N/A</v>
      </c>
      <c r="H1008" s="6" t="e">
        <f>VLOOKUP('Customer Info'!A1000,'Customer Info'!A1000:I1500,3,FALSE)</f>
        <v>#N/A</v>
      </c>
      <c r="I1008" s="6" t="e">
        <f>VLOOKUP('Customer Info'!A1000,'Customer Info'!A1000:I1499,5,FALSE)</f>
        <v>#N/A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156</v>
      </c>
      <c r="R1008" s="2" t="s">
        <v>56</v>
      </c>
      <c r="S1008" s="9">
        <f t="shared" si="79"/>
        <v>0.02</v>
      </c>
    </row>
    <row r="1009" spans="1:19" x14ac:dyDescent="0.25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e">
        <f>VLOOKUP('Customer Info'!A1001,'Customer Info'!A1001:I1500,2,FALSE)</f>
        <v>#N/A</v>
      </c>
      <c r="H1009" s="6" t="e">
        <f>VLOOKUP('Customer Info'!A1001,'Customer Info'!A1001:I1501,3,FALSE)</f>
        <v>#N/A</v>
      </c>
      <c r="I1009" s="6" t="e">
        <f>VLOOKUP('Customer Info'!A1001,'Customer Info'!A1001:I1500,5,FALSE)</f>
        <v>#N/A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421</v>
      </c>
      <c r="R1009" s="2" t="s">
        <v>28</v>
      </c>
      <c r="S1009" s="9">
        <f t="shared" si="79"/>
        <v>0.02</v>
      </c>
    </row>
    <row r="1010" spans="1:19" x14ac:dyDescent="0.25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e">
        <f>VLOOKUP('Customer Info'!A1002,'Customer Info'!A1002:I1501,2,FALSE)</f>
        <v>#N/A</v>
      </c>
      <c r="H1010" s="6" t="e">
        <f>VLOOKUP('Customer Info'!A1002,'Customer Info'!A1002:I1502,3,FALSE)</f>
        <v>#N/A</v>
      </c>
      <c r="I1010" s="6" t="e">
        <f>VLOOKUP('Customer Info'!A1002,'Customer Info'!A1002:I1501,5,FALSE)</f>
        <v>#N/A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24</v>
      </c>
      <c r="R1010" s="2" t="s">
        <v>50</v>
      </c>
      <c r="S1010" s="9">
        <f t="shared" si="79"/>
        <v>0.02</v>
      </c>
    </row>
    <row r="1011" spans="1:19" x14ac:dyDescent="0.25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e">
        <f>VLOOKUP('Customer Info'!A1003,'Customer Info'!A1003:I1502,2,FALSE)</f>
        <v>#N/A</v>
      </c>
      <c r="H1011" s="6" t="e">
        <f>VLOOKUP('Customer Info'!A1003,'Customer Info'!A1003:I1503,3,FALSE)</f>
        <v>#N/A</v>
      </c>
      <c r="I1011" s="6" t="e">
        <f>VLOOKUP('Customer Info'!A1003,'Customer Info'!A1003:I1502,5,FALSE)</f>
        <v>#N/A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200</v>
      </c>
      <c r="R1011" s="2" t="s">
        <v>50</v>
      </c>
      <c r="S1011" s="9">
        <f t="shared" si="79"/>
        <v>0.02</v>
      </c>
    </row>
    <row r="1012" spans="1:19" x14ac:dyDescent="0.25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e">
        <f>VLOOKUP('Customer Info'!A1004,'Customer Info'!A1004:I1503,2,FALSE)</f>
        <v>#N/A</v>
      </c>
      <c r="H1012" s="6" t="e">
        <f>VLOOKUP('Customer Info'!A1004,'Customer Info'!A1004:I1504,3,FALSE)</f>
        <v>#N/A</v>
      </c>
      <c r="I1012" s="6" t="e">
        <f>VLOOKUP('Customer Info'!A1004,'Customer Info'!A1004:I1503,5,FALSE)</f>
        <v>#N/A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30</v>
      </c>
      <c r="R1012" s="2" t="s">
        <v>50</v>
      </c>
      <c r="S1012" s="9">
        <f t="shared" si="79"/>
        <v>0.02</v>
      </c>
    </row>
    <row r="1013" spans="1:19" x14ac:dyDescent="0.25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e">
        <f>VLOOKUP('Customer Info'!A1005,'Customer Info'!A1005:I1504,2,FALSE)</f>
        <v>#N/A</v>
      </c>
      <c r="H1013" s="6" t="e">
        <f>VLOOKUP('Customer Info'!A1005,'Customer Info'!A1005:I1505,3,FALSE)</f>
        <v>#N/A</v>
      </c>
      <c r="I1013" s="6" t="e">
        <f>VLOOKUP('Customer Info'!A1005,'Customer Info'!A1005:I1504,5,FALSE)</f>
        <v>#N/A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87</v>
      </c>
      <c r="R1013" s="2" t="s">
        <v>50</v>
      </c>
      <c r="S1013" s="9">
        <f t="shared" si="79"/>
        <v>0.02</v>
      </c>
    </row>
    <row r="1014" spans="1:19" x14ac:dyDescent="0.25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e">
        <f>VLOOKUP('Customer Info'!A1006,'Customer Info'!A1006:I1505,2,FALSE)</f>
        <v>#N/A</v>
      </c>
      <c r="H1014" s="6" t="e">
        <f>VLOOKUP('Customer Info'!A1006,'Customer Info'!A1006:I1506,3,FALSE)</f>
        <v>#N/A</v>
      </c>
      <c r="I1014" s="6" t="e">
        <f>VLOOKUP('Customer Info'!A1006,'Customer Info'!A1006:I1505,5,FALSE)</f>
        <v>#N/A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1364</v>
      </c>
      <c r="R1014" s="2" t="s">
        <v>28</v>
      </c>
      <c r="S1014" s="9">
        <f t="shared" si="79"/>
        <v>0.05</v>
      </c>
    </row>
    <row r="1015" spans="1:19" x14ac:dyDescent="0.25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e">
        <f>VLOOKUP('Customer Info'!A1007,'Customer Info'!A1007:I1506,2,FALSE)</f>
        <v>#N/A</v>
      </c>
      <c r="H1015" s="6" t="e">
        <f>VLOOKUP('Customer Info'!A1007,'Customer Info'!A1007:I1507,3,FALSE)</f>
        <v>#N/A</v>
      </c>
      <c r="I1015" s="6" t="e">
        <f>VLOOKUP('Customer Info'!A1007,'Customer Info'!A1007:I1506,5,FALSE)</f>
        <v>#N/A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1804</v>
      </c>
      <c r="R1015" s="2" t="s">
        <v>28</v>
      </c>
      <c r="S1015" s="9">
        <f t="shared" si="79"/>
        <v>0.05</v>
      </c>
    </row>
    <row r="1016" spans="1:19" x14ac:dyDescent="0.25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e">
        <f>VLOOKUP('Customer Info'!A1008,'Customer Info'!A1008:I1507,2,FALSE)</f>
        <v>#N/A</v>
      </c>
      <c r="H1016" s="6" t="e">
        <f>VLOOKUP('Customer Info'!A1008,'Customer Info'!A1008:I1508,3,FALSE)</f>
        <v>#N/A</v>
      </c>
      <c r="I1016" s="6" t="e">
        <f>VLOOKUP('Customer Info'!A1008,'Customer Info'!A1008:I1507,5,FALSE)</f>
        <v>#N/A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80</v>
      </c>
      <c r="R1016" s="2" t="s">
        <v>28</v>
      </c>
      <c r="S1016" s="9">
        <f t="shared" si="79"/>
        <v>0.02</v>
      </c>
    </row>
    <row r="1017" spans="1:19" x14ac:dyDescent="0.25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e">
        <f>VLOOKUP('Customer Info'!A1009,'Customer Info'!A1009:I1508,2,FALSE)</f>
        <v>#N/A</v>
      </c>
      <c r="H1017" s="6" t="e">
        <f>VLOOKUP('Customer Info'!A1009,'Customer Info'!A1009:I1509,3,FALSE)</f>
        <v>#N/A</v>
      </c>
      <c r="I1017" s="6" t="e">
        <f>VLOOKUP('Customer Info'!A1009,'Customer Info'!A1009:I1508,5,FALSE)</f>
        <v>#N/A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15</v>
      </c>
      <c r="R1017" s="2" t="s">
        <v>28</v>
      </c>
      <c r="S1017" s="9">
        <f t="shared" si="79"/>
        <v>0.02</v>
      </c>
    </row>
    <row r="1018" spans="1:19" x14ac:dyDescent="0.25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e">
        <f>VLOOKUP('Customer Info'!A1010,'Customer Info'!A1010:I1509,2,FALSE)</f>
        <v>#N/A</v>
      </c>
      <c r="H1018" s="6" t="e">
        <f>VLOOKUP('Customer Info'!A1010,'Customer Info'!A1010:I1510,3,FALSE)</f>
        <v>#N/A</v>
      </c>
      <c r="I1018" s="6" t="e">
        <f>VLOOKUP('Customer Info'!A1010,'Customer Info'!A1010:I1509,5,FALSE)</f>
        <v>#N/A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45</v>
      </c>
      <c r="R1018" s="2" t="s">
        <v>28</v>
      </c>
      <c r="S1018" s="9">
        <f t="shared" si="79"/>
        <v>0.02</v>
      </c>
    </row>
    <row r="1019" spans="1:19" x14ac:dyDescent="0.25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e">
        <f>VLOOKUP('Customer Info'!A1011,'Customer Info'!A1011:I1510,2,FALSE)</f>
        <v>#N/A</v>
      </c>
      <c r="H1019" s="6" t="e">
        <f>VLOOKUP('Customer Info'!A1011,'Customer Info'!A1011:I1511,3,FALSE)</f>
        <v>#N/A</v>
      </c>
      <c r="I1019" s="6" t="e">
        <f>VLOOKUP('Customer Info'!A1011,'Customer Info'!A1011:I1510,5,FALSE)</f>
        <v>#N/A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196</v>
      </c>
      <c r="R1019" s="2" t="s">
        <v>28</v>
      </c>
      <c r="S1019" s="9">
        <f t="shared" si="79"/>
        <v>0.02</v>
      </c>
    </row>
    <row r="1020" spans="1:19" x14ac:dyDescent="0.25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e">
        <f>VLOOKUP('Customer Info'!A1012,'Customer Info'!A1012:I1511,2,FALSE)</f>
        <v>#N/A</v>
      </c>
      <c r="H1020" s="6" t="e">
        <f>VLOOKUP('Customer Info'!A1012,'Customer Info'!A1012:I1512,3,FALSE)</f>
        <v>#N/A</v>
      </c>
      <c r="I1020" s="6" t="e">
        <f>VLOOKUP('Customer Info'!A1012,'Customer Info'!A1012:I1511,5,FALSE)</f>
        <v>#N/A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343</v>
      </c>
      <c r="R1020" s="2" t="s">
        <v>28</v>
      </c>
      <c r="S1020" s="9">
        <f t="shared" si="79"/>
        <v>0.05</v>
      </c>
    </row>
    <row r="1021" spans="1:19" x14ac:dyDescent="0.25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e">
        <f>VLOOKUP('Customer Info'!A1013,'Customer Info'!A1013:I1512,2,FALSE)</f>
        <v>#N/A</v>
      </c>
      <c r="H1021" s="6" t="e">
        <f>VLOOKUP('Customer Info'!A1013,'Customer Info'!A1013:I1513,3,FALSE)</f>
        <v>#N/A</v>
      </c>
      <c r="I1021" s="6" t="e">
        <f>VLOOKUP('Customer Info'!A1013,'Customer Info'!A1013:I1512,5,FALSE)</f>
        <v>#N/A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156</v>
      </c>
      <c r="R1021" s="2" t="s">
        <v>28</v>
      </c>
      <c r="S1021" s="9">
        <f t="shared" si="79"/>
        <v>0.02</v>
      </c>
    </row>
    <row r="1022" spans="1:19" x14ac:dyDescent="0.25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e">
        <f>VLOOKUP('Customer Info'!A1014,'Customer Info'!A1014:I1513,2,FALSE)</f>
        <v>#N/A</v>
      </c>
      <c r="H1022" s="6" t="e">
        <f>VLOOKUP('Customer Info'!A1014,'Customer Info'!A1014:I1514,3,FALSE)</f>
        <v>#N/A</v>
      </c>
      <c r="I1022" s="6" t="e">
        <f>VLOOKUP('Customer Info'!A1014,'Customer Info'!A1014:I1513,5,FALSE)</f>
        <v>#N/A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444</v>
      </c>
      <c r="R1022" s="2" t="s">
        <v>50</v>
      </c>
      <c r="S1022" s="9">
        <f t="shared" si="79"/>
        <v>0.02</v>
      </c>
    </row>
    <row r="1023" spans="1:19" x14ac:dyDescent="0.25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e">
        <f>VLOOKUP('Customer Info'!A1015,'Customer Info'!A1015:I1514,2,FALSE)</f>
        <v>#N/A</v>
      </c>
      <c r="H1023" s="6" t="e">
        <f>VLOOKUP('Customer Info'!A1015,'Customer Info'!A1015:I1515,3,FALSE)</f>
        <v>#N/A</v>
      </c>
      <c r="I1023" s="6" t="e">
        <f>VLOOKUP('Customer Info'!A1015,'Customer Info'!A1015:I1514,5,FALSE)</f>
        <v>#N/A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589</v>
      </c>
      <c r="R1023" s="2" t="s">
        <v>50</v>
      </c>
      <c r="S1023" s="9">
        <f t="shared" si="79"/>
        <v>0.05</v>
      </c>
    </row>
    <row r="1024" spans="1:19" x14ac:dyDescent="0.25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e">
        <f>VLOOKUP('Customer Info'!A1016,'Customer Info'!A1016:I1515,2,FALSE)</f>
        <v>#N/A</v>
      </c>
      <c r="H1024" s="6" t="e">
        <f>VLOOKUP('Customer Info'!A1016,'Customer Info'!A1016:I1516,3,FALSE)</f>
        <v>#N/A</v>
      </c>
      <c r="I1024" s="6" t="e">
        <f>VLOOKUP('Customer Info'!A1016,'Customer Info'!A1016:I1515,5,FALSE)</f>
        <v>#N/A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436</v>
      </c>
      <c r="R1024" s="2" t="s">
        <v>28</v>
      </c>
      <c r="S1024" s="9">
        <f t="shared" si="79"/>
        <v>0.02</v>
      </c>
    </row>
    <row r="1025" spans="1:19" x14ac:dyDescent="0.25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e">
        <f>VLOOKUP('Customer Info'!A1017,'Customer Info'!A1017:I1516,2,FALSE)</f>
        <v>#N/A</v>
      </c>
      <c r="H1025" s="6" t="e">
        <f>VLOOKUP('Customer Info'!A1017,'Customer Info'!A1017:I1517,3,FALSE)</f>
        <v>#N/A</v>
      </c>
      <c r="I1025" s="6" t="e">
        <f>VLOOKUP('Customer Info'!A1017,'Customer Info'!A1017:I1516,5,FALSE)</f>
        <v>#N/A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788</v>
      </c>
      <c r="R1025" s="2" t="s">
        <v>28</v>
      </c>
      <c r="S1025" s="9">
        <f t="shared" si="79"/>
        <v>0.05</v>
      </c>
    </row>
    <row r="1026" spans="1:19" x14ac:dyDescent="0.25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e">
        <f>VLOOKUP('Customer Info'!A1018,'Customer Info'!A1018:I1517,2,FALSE)</f>
        <v>#N/A</v>
      </c>
      <c r="H1026" s="6" t="e">
        <f>VLOOKUP('Customer Info'!A1018,'Customer Info'!A1018:I1518,3,FALSE)</f>
        <v>#N/A</v>
      </c>
      <c r="I1026" s="6" t="e">
        <f>VLOOKUP('Customer Info'!A1018,'Customer Info'!A1018:I1517,5,FALSE)</f>
        <v>#N/A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550</v>
      </c>
      <c r="R1026" s="2" t="s">
        <v>50</v>
      </c>
      <c r="S1026" s="9">
        <f t="shared" si="79"/>
        <v>0.05</v>
      </c>
    </row>
    <row r="1027" spans="1:19" x14ac:dyDescent="0.25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e">
        <f>VLOOKUP('Customer Info'!A1019,'Customer Info'!A1019:I1518,2,FALSE)</f>
        <v>#N/A</v>
      </c>
      <c r="H1027" s="6" t="e">
        <f>VLOOKUP('Customer Info'!A1019,'Customer Info'!A1019:I1519,3,FALSE)</f>
        <v>#N/A</v>
      </c>
      <c r="I1027" s="6" t="e">
        <f>VLOOKUP('Customer Info'!A1019,'Customer Info'!A1019:I1518,5,FALSE)</f>
        <v>#N/A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36</v>
      </c>
      <c r="R1027" s="2" t="s">
        <v>28</v>
      </c>
      <c r="S1027" s="9">
        <f t="shared" si="79"/>
        <v>0.02</v>
      </c>
    </row>
    <row r="1028" spans="1:19" x14ac:dyDescent="0.25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e">
        <f>VLOOKUP('Customer Info'!A1020,'Customer Info'!A1020:I1519,2,FALSE)</f>
        <v>#N/A</v>
      </c>
      <c r="H1028" s="6" t="e">
        <f>VLOOKUP('Customer Info'!A1020,'Customer Info'!A1020:I1520,3,FALSE)</f>
        <v>#N/A</v>
      </c>
      <c r="I1028" s="6" t="e">
        <f>VLOOKUP('Customer Info'!A1020,'Customer Info'!A1020:I1519,5,FALSE)</f>
        <v>#N/A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94</v>
      </c>
      <c r="R1028" s="2" t="s">
        <v>28</v>
      </c>
      <c r="S1028" s="9">
        <f t="shared" si="79"/>
        <v>0.02</v>
      </c>
    </row>
    <row r="1029" spans="1:19" x14ac:dyDescent="0.25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e">
        <f>VLOOKUP('Customer Info'!A1021,'Customer Info'!A1021:I1520,2,FALSE)</f>
        <v>#N/A</v>
      </c>
      <c r="H1029" s="6" t="e">
        <f>VLOOKUP('Customer Info'!A1021,'Customer Info'!A1021:I1521,3,FALSE)</f>
        <v>#N/A</v>
      </c>
      <c r="I1029" s="6" t="e">
        <f>VLOOKUP('Customer Info'!A1021,'Customer Info'!A1021:I1520,5,FALSE)</f>
        <v>#N/A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344</v>
      </c>
      <c r="R1029" s="2" t="s">
        <v>28</v>
      </c>
      <c r="S1029" s="9">
        <f t="shared" si="79"/>
        <v>0.05</v>
      </c>
    </row>
    <row r="1030" spans="1:19" x14ac:dyDescent="0.25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e">
        <f>VLOOKUP('Customer Info'!A1022,'Customer Info'!A1022:I1521,2,FALSE)</f>
        <v>#N/A</v>
      </c>
      <c r="H1030" s="6" t="e">
        <f>VLOOKUP('Customer Info'!A1022,'Customer Info'!A1022:I1522,3,FALSE)</f>
        <v>#N/A</v>
      </c>
      <c r="I1030" s="6" t="e">
        <f>VLOOKUP('Customer Info'!A1022,'Customer Info'!A1022:I1521,5,FALSE)</f>
        <v>#N/A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420</v>
      </c>
      <c r="R1030" s="2" t="s">
        <v>28</v>
      </c>
      <c r="S1030" s="9">
        <f t="shared" si="79"/>
        <v>0.05</v>
      </c>
    </row>
    <row r="1031" spans="1:19" x14ac:dyDescent="0.25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e">
        <f>VLOOKUP('Customer Info'!A1023,'Customer Info'!A1023:I1522,2,FALSE)</f>
        <v>#N/A</v>
      </c>
      <c r="H1031" s="6" t="e">
        <f>VLOOKUP('Customer Info'!A1023,'Customer Info'!A1023:I1523,3,FALSE)</f>
        <v>#N/A</v>
      </c>
      <c r="I1031" s="6" t="e">
        <f>VLOOKUP('Customer Info'!A1023,'Customer Info'!A1023:I1522,5,FALSE)</f>
        <v>#N/A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755</v>
      </c>
      <c r="R1031" s="2" t="s">
        <v>56</v>
      </c>
      <c r="S1031" s="9">
        <f t="shared" si="79"/>
        <v>0.05</v>
      </c>
    </row>
    <row r="1032" spans="1:19" x14ac:dyDescent="0.25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e">
        <f>VLOOKUP('Customer Info'!A1024,'Customer Info'!A1024:I1523,2,FALSE)</f>
        <v>#N/A</v>
      </c>
      <c r="H1032" s="6" t="e">
        <f>VLOOKUP('Customer Info'!A1024,'Customer Info'!A1024:I1524,3,FALSE)</f>
        <v>#N/A</v>
      </c>
      <c r="I1032" s="6" t="e">
        <f>VLOOKUP('Customer Info'!A1024,'Customer Info'!A1024:I1523,5,FALSE)</f>
        <v>#N/A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132</v>
      </c>
      <c r="R1032" s="2" t="s">
        <v>50</v>
      </c>
      <c r="S1032" s="9">
        <f t="shared" si="79"/>
        <v>0.02</v>
      </c>
    </row>
    <row r="1033" spans="1:19" x14ac:dyDescent="0.25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e">
        <f>VLOOKUP('Customer Info'!A1025,'Customer Info'!A1025:I1524,2,FALSE)</f>
        <v>#N/A</v>
      </c>
      <c r="H1033" s="6" t="e">
        <f>VLOOKUP('Customer Info'!A1025,'Customer Info'!A1025:I1525,3,FALSE)</f>
        <v>#N/A</v>
      </c>
      <c r="I1033" s="6" t="e">
        <f>VLOOKUP('Customer Info'!A1025,'Customer Info'!A1025:I1524,5,FALSE)</f>
        <v>#N/A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1921</v>
      </c>
      <c r="R1033" s="2" t="s">
        <v>28</v>
      </c>
      <c r="S1033" s="9">
        <f t="shared" si="79"/>
        <v>0.05</v>
      </c>
    </row>
    <row r="1034" spans="1:19" x14ac:dyDescent="0.25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e">
        <f>VLOOKUP('Customer Info'!A1026,'Customer Info'!A1026:I1525,2,FALSE)</f>
        <v>#N/A</v>
      </c>
      <c r="H1034" s="6" t="e">
        <f>VLOOKUP('Customer Info'!A1026,'Customer Info'!A1026:I1526,3,FALSE)</f>
        <v>#N/A</v>
      </c>
      <c r="I1034" s="6" t="e">
        <f>VLOOKUP('Customer Info'!A1026,'Customer Info'!A1026:I1525,5,FALSE)</f>
        <v>#N/A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224</v>
      </c>
      <c r="R1034" s="2" t="s">
        <v>28</v>
      </c>
      <c r="S1034" s="9">
        <f t="shared" si="79"/>
        <v>0.02</v>
      </c>
    </row>
    <row r="1035" spans="1:19" x14ac:dyDescent="0.25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e">
        <f>VLOOKUP('Customer Info'!A1027,'Customer Info'!A1027:I1526,2,FALSE)</f>
        <v>#N/A</v>
      </c>
      <c r="H1035" s="6" t="e">
        <f>VLOOKUP('Customer Info'!A1027,'Customer Info'!A1027:I1527,3,FALSE)</f>
        <v>#N/A</v>
      </c>
      <c r="I1035" s="6" t="e">
        <f>VLOOKUP('Customer Info'!A1027,'Customer Info'!A1027:I1526,5,FALSE)</f>
        <v>#N/A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8">
        <f t="shared" ref="P1035:P1098" si="82">N1035+O1035</f>
        <v>19587</v>
      </c>
      <c r="Q1035" s="8">
        <f t="shared" ref="Q1035:Q1098" si="83">P1035-M1035</f>
        <v>1632</v>
      </c>
      <c r="R1035" s="2" t="s">
        <v>56</v>
      </c>
      <c r="S1035" s="9">
        <f t="shared" ref="S1035:S1098" si="84">VLOOKUP(P1035,$T$2:$U$7,2,TRUE)</f>
        <v>0.05</v>
      </c>
    </row>
    <row r="1036" spans="1:19" x14ac:dyDescent="0.25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e">
        <f>VLOOKUP('Customer Info'!A1028,'Customer Info'!A1028:I1527,2,FALSE)</f>
        <v>#N/A</v>
      </c>
      <c r="H1036" s="6" t="e">
        <f>VLOOKUP('Customer Info'!A1028,'Customer Info'!A1028:I1528,3,FALSE)</f>
        <v>#N/A</v>
      </c>
      <c r="I1036" s="6" t="e">
        <f>VLOOKUP('Customer Info'!A1028,'Customer Info'!A1028:I1527,5,FALSE)</f>
        <v>#N/A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63</v>
      </c>
      <c r="R1036" s="2" t="s">
        <v>50</v>
      </c>
      <c r="S1036" s="9">
        <f t="shared" si="84"/>
        <v>0.02</v>
      </c>
    </row>
    <row r="1037" spans="1:19" x14ac:dyDescent="0.25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e">
        <f>VLOOKUP('Customer Info'!A1029,'Customer Info'!A1029:I1528,2,FALSE)</f>
        <v>#N/A</v>
      </c>
      <c r="H1037" s="6" t="e">
        <f>VLOOKUP('Customer Info'!A1029,'Customer Info'!A1029:I1529,3,FALSE)</f>
        <v>#N/A</v>
      </c>
      <c r="I1037" s="6" t="e">
        <f>VLOOKUP('Customer Info'!A1029,'Customer Info'!A1029:I1528,5,FALSE)</f>
        <v>#N/A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398</v>
      </c>
      <c r="R1037" s="2" t="s">
        <v>28</v>
      </c>
      <c r="S1037" s="9">
        <f t="shared" si="84"/>
        <v>0.05</v>
      </c>
    </row>
    <row r="1038" spans="1:19" x14ac:dyDescent="0.25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e">
        <f>VLOOKUP('Customer Info'!A1030,'Customer Info'!A1030:I1529,2,FALSE)</f>
        <v>#N/A</v>
      </c>
      <c r="H1038" s="6" t="e">
        <f>VLOOKUP('Customer Info'!A1030,'Customer Info'!A1030:I1530,3,FALSE)</f>
        <v>#N/A</v>
      </c>
      <c r="I1038" s="6" t="e">
        <f>VLOOKUP('Customer Info'!A1030,'Customer Info'!A1030:I1529,5,FALSE)</f>
        <v>#N/A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1515</v>
      </c>
      <c r="R1038" s="2" t="s">
        <v>28</v>
      </c>
      <c r="S1038" s="9">
        <f t="shared" si="84"/>
        <v>0.05</v>
      </c>
    </row>
    <row r="1039" spans="1:19" x14ac:dyDescent="0.25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e">
        <f>VLOOKUP('Customer Info'!A1031,'Customer Info'!A1031:I1530,2,FALSE)</f>
        <v>#N/A</v>
      </c>
      <c r="H1039" s="6" t="e">
        <f>VLOOKUP('Customer Info'!A1031,'Customer Info'!A1031:I1531,3,FALSE)</f>
        <v>#N/A</v>
      </c>
      <c r="I1039" s="6" t="e">
        <f>VLOOKUP('Customer Info'!A1031,'Customer Info'!A1031:I1530,5,FALSE)</f>
        <v>#N/A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281</v>
      </c>
      <c r="R1039" s="2" t="s">
        <v>28</v>
      </c>
      <c r="S1039" s="9">
        <f t="shared" si="84"/>
        <v>0.02</v>
      </c>
    </row>
    <row r="1040" spans="1:19" x14ac:dyDescent="0.25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e">
        <f>VLOOKUP('Customer Info'!A1032,'Customer Info'!A1032:I1531,2,FALSE)</f>
        <v>#N/A</v>
      </c>
      <c r="H1040" s="6" t="e">
        <f>VLOOKUP('Customer Info'!A1032,'Customer Info'!A1032:I1532,3,FALSE)</f>
        <v>#N/A</v>
      </c>
      <c r="I1040" s="6" t="e">
        <f>VLOOKUP('Customer Info'!A1032,'Customer Info'!A1032:I1531,5,FALSE)</f>
        <v>#N/A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152</v>
      </c>
      <c r="R1040" s="2" t="s">
        <v>28</v>
      </c>
      <c r="S1040" s="9">
        <f t="shared" si="84"/>
        <v>0.02</v>
      </c>
    </row>
    <row r="1041" spans="1:19" x14ac:dyDescent="0.25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e">
        <f>VLOOKUP('Customer Info'!A1033,'Customer Info'!A1033:I1532,2,FALSE)</f>
        <v>#N/A</v>
      </c>
      <c r="H1041" s="6" t="e">
        <f>VLOOKUP('Customer Info'!A1033,'Customer Info'!A1033:I1533,3,FALSE)</f>
        <v>#N/A</v>
      </c>
      <c r="I1041" s="6" t="e">
        <f>VLOOKUP('Customer Info'!A1033,'Customer Info'!A1033:I1532,5,FALSE)</f>
        <v>#N/A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62</v>
      </c>
      <c r="R1041" s="2" t="s">
        <v>28</v>
      </c>
      <c r="S1041" s="9">
        <f t="shared" si="84"/>
        <v>0.02</v>
      </c>
    </row>
    <row r="1042" spans="1:19" x14ac:dyDescent="0.25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e">
        <f>VLOOKUP('Customer Info'!A1034,'Customer Info'!A1034:I1533,2,FALSE)</f>
        <v>#N/A</v>
      </c>
      <c r="H1042" s="6" t="e">
        <f>VLOOKUP('Customer Info'!A1034,'Customer Info'!A1034:I1534,3,FALSE)</f>
        <v>#N/A</v>
      </c>
      <c r="I1042" s="6" t="e">
        <f>VLOOKUP('Customer Info'!A1034,'Customer Info'!A1034:I1533,5,FALSE)</f>
        <v>#N/A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1089</v>
      </c>
      <c r="R1042" s="2" t="s">
        <v>50</v>
      </c>
      <c r="S1042" s="9">
        <f t="shared" si="84"/>
        <v>0.05</v>
      </c>
    </row>
    <row r="1043" spans="1:19" x14ac:dyDescent="0.25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e">
        <f>VLOOKUP('Customer Info'!A1035,'Customer Info'!A1035:I1534,2,FALSE)</f>
        <v>#N/A</v>
      </c>
      <c r="H1043" s="6" t="e">
        <f>VLOOKUP('Customer Info'!A1035,'Customer Info'!A1035:I1535,3,FALSE)</f>
        <v>#N/A</v>
      </c>
      <c r="I1043" s="6" t="e">
        <f>VLOOKUP('Customer Info'!A1035,'Customer Info'!A1035:I1534,5,FALSE)</f>
        <v>#N/A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1385</v>
      </c>
      <c r="R1043" s="2" t="s">
        <v>28</v>
      </c>
      <c r="S1043" s="9">
        <f t="shared" si="84"/>
        <v>0.05</v>
      </c>
    </row>
    <row r="1044" spans="1:19" x14ac:dyDescent="0.25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e">
        <f>VLOOKUP('Customer Info'!A1036,'Customer Info'!A1036:I1535,2,FALSE)</f>
        <v>#N/A</v>
      </c>
      <c r="H1044" s="6" t="e">
        <f>VLOOKUP('Customer Info'!A1036,'Customer Info'!A1036:I1536,3,FALSE)</f>
        <v>#N/A</v>
      </c>
      <c r="I1044" s="6" t="e">
        <f>VLOOKUP('Customer Info'!A1036,'Customer Info'!A1036:I1535,5,FALSE)</f>
        <v>#N/A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997</v>
      </c>
      <c r="R1044" s="2" t="s">
        <v>50</v>
      </c>
      <c r="S1044" s="9">
        <f t="shared" si="84"/>
        <v>0.05</v>
      </c>
    </row>
    <row r="1045" spans="1:19" x14ac:dyDescent="0.25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e">
        <f>VLOOKUP('Customer Info'!A1037,'Customer Info'!A1037:I1536,2,FALSE)</f>
        <v>#N/A</v>
      </c>
      <c r="H1045" s="6" t="e">
        <f>VLOOKUP('Customer Info'!A1037,'Customer Info'!A1037:I1537,3,FALSE)</f>
        <v>#N/A</v>
      </c>
      <c r="I1045" s="6" t="e">
        <f>VLOOKUP('Customer Info'!A1037,'Customer Info'!A1037:I1536,5,FALSE)</f>
        <v>#N/A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3815</v>
      </c>
      <c r="R1045" s="2" t="s">
        <v>28</v>
      </c>
      <c r="S1045" s="9">
        <f t="shared" si="84"/>
        <v>0.09</v>
      </c>
    </row>
    <row r="1046" spans="1:19" x14ac:dyDescent="0.25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e">
        <f>VLOOKUP('Customer Info'!A1038,'Customer Info'!A1038:I1537,2,FALSE)</f>
        <v>#N/A</v>
      </c>
      <c r="H1046" s="6" t="e">
        <f>VLOOKUP('Customer Info'!A1038,'Customer Info'!A1038:I1538,3,FALSE)</f>
        <v>#N/A</v>
      </c>
      <c r="I1046" s="6" t="e">
        <f>VLOOKUP('Customer Info'!A1038,'Customer Info'!A1038:I1537,5,FALSE)</f>
        <v>#N/A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138</v>
      </c>
      <c r="R1046" s="2" t="s">
        <v>28</v>
      </c>
      <c r="S1046" s="9">
        <f t="shared" si="84"/>
        <v>0.02</v>
      </c>
    </row>
    <row r="1047" spans="1:19" x14ac:dyDescent="0.25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e">
        <f>VLOOKUP('Customer Info'!A1039,'Customer Info'!A1039:I1538,2,FALSE)</f>
        <v>#N/A</v>
      </c>
      <c r="H1047" s="6" t="e">
        <f>VLOOKUP('Customer Info'!A1039,'Customer Info'!A1039:I1539,3,FALSE)</f>
        <v>#N/A</v>
      </c>
      <c r="I1047" s="6" t="e">
        <f>VLOOKUP('Customer Info'!A1039,'Customer Info'!A1039:I1538,5,FALSE)</f>
        <v>#N/A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802</v>
      </c>
      <c r="R1047" s="2" t="s">
        <v>28</v>
      </c>
      <c r="S1047" s="9">
        <f t="shared" si="84"/>
        <v>0.05</v>
      </c>
    </row>
    <row r="1048" spans="1:19" x14ac:dyDescent="0.25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e">
        <f>VLOOKUP('Customer Info'!A1040,'Customer Info'!A1040:I1539,2,FALSE)</f>
        <v>#N/A</v>
      </c>
      <c r="H1048" s="6" t="e">
        <f>VLOOKUP('Customer Info'!A1040,'Customer Info'!A1040:I1540,3,FALSE)</f>
        <v>#N/A</v>
      </c>
      <c r="I1048" s="6" t="e">
        <f>VLOOKUP('Customer Info'!A1040,'Customer Info'!A1040:I1539,5,FALSE)</f>
        <v>#N/A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75</v>
      </c>
      <c r="R1048" s="2" t="s">
        <v>28</v>
      </c>
      <c r="S1048" s="9">
        <f t="shared" si="84"/>
        <v>0.02</v>
      </c>
    </row>
    <row r="1049" spans="1:19" x14ac:dyDescent="0.25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e">
        <f>VLOOKUP('Customer Info'!A1041,'Customer Info'!A1041:I1540,2,FALSE)</f>
        <v>#N/A</v>
      </c>
      <c r="H1049" s="6" t="e">
        <f>VLOOKUP('Customer Info'!A1041,'Customer Info'!A1041:I1541,3,FALSE)</f>
        <v>#N/A</v>
      </c>
      <c r="I1049" s="6" t="e">
        <f>VLOOKUP('Customer Info'!A1041,'Customer Info'!A1041:I1540,5,FALSE)</f>
        <v>#N/A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554</v>
      </c>
      <c r="R1049" s="2" t="s">
        <v>28</v>
      </c>
      <c r="S1049" s="9">
        <f t="shared" si="84"/>
        <v>0.05</v>
      </c>
    </row>
    <row r="1050" spans="1:19" x14ac:dyDescent="0.25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e">
        <f>VLOOKUP('Customer Info'!A1042,'Customer Info'!A1042:I1541,2,FALSE)</f>
        <v>#N/A</v>
      </c>
      <c r="H1050" s="6" t="e">
        <f>VLOOKUP('Customer Info'!A1042,'Customer Info'!A1042:I1542,3,FALSE)</f>
        <v>#N/A</v>
      </c>
      <c r="I1050" s="6" t="e">
        <f>VLOOKUP('Customer Info'!A1042,'Customer Info'!A1042:I1541,5,FALSE)</f>
        <v>#N/A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587</v>
      </c>
      <c r="R1050" s="2" t="s">
        <v>28</v>
      </c>
      <c r="S1050" s="9">
        <f t="shared" si="84"/>
        <v>0.05</v>
      </c>
    </row>
    <row r="1051" spans="1:19" x14ac:dyDescent="0.25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e">
        <f>VLOOKUP('Customer Info'!A1043,'Customer Info'!A1043:I1542,2,FALSE)</f>
        <v>#N/A</v>
      </c>
      <c r="H1051" s="6" t="e">
        <f>VLOOKUP('Customer Info'!A1043,'Customer Info'!A1043:I1543,3,FALSE)</f>
        <v>#N/A</v>
      </c>
      <c r="I1051" s="6" t="e">
        <f>VLOOKUP('Customer Info'!A1043,'Customer Info'!A1043:I1542,5,FALSE)</f>
        <v>#N/A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430</v>
      </c>
      <c r="R1051" s="2" t="s">
        <v>26</v>
      </c>
      <c r="S1051" s="9">
        <f t="shared" si="84"/>
        <v>0.02</v>
      </c>
    </row>
    <row r="1052" spans="1:19" x14ac:dyDescent="0.25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e">
        <f>VLOOKUP('Customer Info'!A1044,'Customer Info'!A1044:I1543,2,FALSE)</f>
        <v>#N/A</v>
      </c>
      <c r="H1052" s="6" t="e">
        <f>VLOOKUP('Customer Info'!A1044,'Customer Info'!A1044:I1544,3,FALSE)</f>
        <v>#N/A</v>
      </c>
      <c r="I1052" s="6" t="e">
        <f>VLOOKUP('Customer Info'!A1044,'Customer Info'!A1044:I1543,5,FALSE)</f>
        <v>#N/A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302</v>
      </c>
      <c r="R1052" s="2" t="s">
        <v>50</v>
      </c>
      <c r="S1052" s="9">
        <f t="shared" si="84"/>
        <v>0.02</v>
      </c>
    </row>
    <row r="1053" spans="1:19" x14ac:dyDescent="0.25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e">
        <f>VLOOKUP('Customer Info'!A1045,'Customer Info'!A1045:I1544,2,FALSE)</f>
        <v>#N/A</v>
      </c>
      <c r="H1053" s="6" t="e">
        <f>VLOOKUP('Customer Info'!A1045,'Customer Info'!A1045:I1545,3,FALSE)</f>
        <v>#N/A</v>
      </c>
      <c r="I1053" s="6" t="e">
        <f>VLOOKUP('Customer Info'!A1045,'Customer Info'!A1045:I1544,5,FALSE)</f>
        <v>#N/A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150</v>
      </c>
      <c r="R1053" s="2" t="s">
        <v>28</v>
      </c>
      <c r="S1053" s="9">
        <f t="shared" si="84"/>
        <v>0.02</v>
      </c>
    </row>
    <row r="1054" spans="1:19" x14ac:dyDescent="0.25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e">
        <f>VLOOKUP('Customer Info'!A1046,'Customer Info'!A1046:I1545,2,FALSE)</f>
        <v>#N/A</v>
      </c>
      <c r="H1054" s="6" t="e">
        <f>VLOOKUP('Customer Info'!A1046,'Customer Info'!A1046:I1546,3,FALSE)</f>
        <v>#N/A</v>
      </c>
      <c r="I1054" s="6" t="e">
        <f>VLOOKUP('Customer Info'!A1046,'Customer Info'!A1046:I1545,5,FALSE)</f>
        <v>#N/A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2663</v>
      </c>
      <c r="R1054" s="2" t="s">
        <v>28</v>
      </c>
      <c r="S1054" s="9">
        <f t="shared" si="84"/>
        <v>0.05</v>
      </c>
    </row>
    <row r="1055" spans="1:19" x14ac:dyDescent="0.25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e">
        <f>VLOOKUP('Customer Info'!A1047,'Customer Info'!A1047:I1546,2,FALSE)</f>
        <v>#N/A</v>
      </c>
      <c r="H1055" s="6" t="e">
        <f>VLOOKUP('Customer Info'!A1047,'Customer Info'!A1047:I1547,3,FALSE)</f>
        <v>#N/A</v>
      </c>
      <c r="I1055" s="6" t="e">
        <f>VLOOKUP('Customer Info'!A1047,'Customer Info'!A1047:I1546,5,FALSE)</f>
        <v>#N/A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2068</v>
      </c>
      <c r="R1055" s="2" t="s">
        <v>50</v>
      </c>
      <c r="S1055" s="9">
        <f t="shared" si="84"/>
        <v>7.0000000000000007E-2</v>
      </c>
    </row>
    <row r="1056" spans="1:19" x14ac:dyDescent="0.25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e">
        <f>VLOOKUP('Customer Info'!A1048,'Customer Info'!A1048:I1547,2,FALSE)</f>
        <v>#N/A</v>
      </c>
      <c r="H1056" s="6" t="e">
        <f>VLOOKUP('Customer Info'!A1048,'Customer Info'!A1048:I1548,3,FALSE)</f>
        <v>#N/A</v>
      </c>
      <c r="I1056" s="6" t="e">
        <f>VLOOKUP('Customer Info'!A1048,'Customer Info'!A1048:I1547,5,FALSE)</f>
        <v>#N/A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66</v>
      </c>
      <c r="R1056" s="2" t="s">
        <v>28</v>
      </c>
      <c r="S1056" s="9">
        <f t="shared" si="84"/>
        <v>0.02</v>
      </c>
    </row>
    <row r="1057" spans="1:19" x14ac:dyDescent="0.25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e">
        <f>VLOOKUP('Customer Info'!A1049,'Customer Info'!A1049:I1548,2,FALSE)</f>
        <v>#N/A</v>
      </c>
      <c r="H1057" s="6" t="e">
        <f>VLOOKUP('Customer Info'!A1049,'Customer Info'!A1049:I1549,3,FALSE)</f>
        <v>#N/A</v>
      </c>
      <c r="I1057" s="6" t="e">
        <f>VLOOKUP('Customer Info'!A1049,'Customer Info'!A1049:I1548,5,FALSE)</f>
        <v>#N/A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156</v>
      </c>
      <c r="R1057" s="2" t="s">
        <v>28</v>
      </c>
      <c r="S1057" s="9">
        <f t="shared" si="84"/>
        <v>0.02</v>
      </c>
    </row>
    <row r="1058" spans="1:19" x14ac:dyDescent="0.25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e">
        <f>VLOOKUP('Customer Info'!A1050,'Customer Info'!A1050:I1549,2,FALSE)</f>
        <v>#N/A</v>
      </c>
      <c r="H1058" s="6" t="e">
        <f>VLOOKUP('Customer Info'!A1050,'Customer Info'!A1050:I1550,3,FALSE)</f>
        <v>#N/A</v>
      </c>
      <c r="I1058" s="6" t="e">
        <f>VLOOKUP('Customer Info'!A1050,'Customer Info'!A1050:I1549,5,FALSE)</f>
        <v>#N/A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427</v>
      </c>
      <c r="R1058" s="2" t="s">
        <v>28</v>
      </c>
      <c r="S1058" s="9">
        <f t="shared" si="84"/>
        <v>0.02</v>
      </c>
    </row>
    <row r="1059" spans="1:19" x14ac:dyDescent="0.25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e">
        <f>VLOOKUP('Customer Info'!A1051,'Customer Info'!A1051:I1550,2,FALSE)</f>
        <v>#N/A</v>
      </c>
      <c r="H1059" s="6" t="e">
        <f>VLOOKUP('Customer Info'!A1051,'Customer Info'!A1051:I1551,3,FALSE)</f>
        <v>#N/A</v>
      </c>
      <c r="I1059" s="6" t="e">
        <f>VLOOKUP('Customer Info'!A1051,'Customer Info'!A1051:I1550,5,FALSE)</f>
        <v>#N/A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133</v>
      </c>
      <c r="R1059" s="2" t="s">
        <v>50</v>
      </c>
      <c r="S1059" s="9">
        <f t="shared" si="84"/>
        <v>0.02</v>
      </c>
    </row>
    <row r="1060" spans="1:19" x14ac:dyDescent="0.25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e">
        <f>VLOOKUP('Customer Info'!A1052,'Customer Info'!A1052:I1551,2,FALSE)</f>
        <v>#N/A</v>
      </c>
      <c r="H1060" s="6" t="e">
        <f>VLOOKUP('Customer Info'!A1052,'Customer Info'!A1052:I1552,3,FALSE)</f>
        <v>#N/A</v>
      </c>
      <c r="I1060" s="6" t="e">
        <f>VLOOKUP('Customer Info'!A1052,'Customer Info'!A1052:I1551,5,FALSE)</f>
        <v>#N/A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602</v>
      </c>
      <c r="R1060" s="2" t="s">
        <v>28</v>
      </c>
      <c r="S1060" s="9">
        <f t="shared" si="84"/>
        <v>0.05</v>
      </c>
    </row>
    <row r="1061" spans="1:19" x14ac:dyDescent="0.25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e">
        <f>VLOOKUP('Customer Info'!A1053,'Customer Info'!A1053:I1552,2,FALSE)</f>
        <v>#N/A</v>
      </c>
      <c r="H1061" s="6" t="e">
        <f>VLOOKUP('Customer Info'!A1053,'Customer Info'!A1053:I1553,3,FALSE)</f>
        <v>#N/A</v>
      </c>
      <c r="I1061" s="6" t="e">
        <f>VLOOKUP('Customer Info'!A1053,'Customer Info'!A1053:I1552,5,FALSE)</f>
        <v>#N/A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957</v>
      </c>
      <c r="R1061" s="2" t="s">
        <v>50</v>
      </c>
      <c r="S1061" s="9">
        <f t="shared" si="84"/>
        <v>0.05</v>
      </c>
    </row>
    <row r="1062" spans="1:19" x14ac:dyDescent="0.25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e">
        <f>VLOOKUP('Customer Info'!A1054,'Customer Info'!A1054:I1553,2,FALSE)</f>
        <v>#N/A</v>
      </c>
      <c r="H1062" s="6" t="e">
        <f>VLOOKUP('Customer Info'!A1054,'Customer Info'!A1054:I1554,3,FALSE)</f>
        <v>#N/A</v>
      </c>
      <c r="I1062" s="6" t="e">
        <f>VLOOKUP('Customer Info'!A1054,'Customer Info'!A1054:I1553,5,FALSE)</f>
        <v>#N/A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211</v>
      </c>
      <c r="R1062" s="2" t="s">
        <v>50</v>
      </c>
      <c r="S1062" s="9">
        <f t="shared" si="84"/>
        <v>0.02</v>
      </c>
    </row>
    <row r="1063" spans="1:19" x14ac:dyDescent="0.25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e">
        <f>VLOOKUP('Customer Info'!A1055,'Customer Info'!A1055:I1554,2,FALSE)</f>
        <v>#N/A</v>
      </c>
      <c r="H1063" s="6" t="e">
        <f>VLOOKUP('Customer Info'!A1055,'Customer Info'!A1055:I1555,3,FALSE)</f>
        <v>#N/A</v>
      </c>
      <c r="I1063" s="6" t="e">
        <f>VLOOKUP('Customer Info'!A1055,'Customer Info'!A1055:I1554,5,FALSE)</f>
        <v>#N/A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232</v>
      </c>
      <c r="R1063" s="2" t="s">
        <v>28</v>
      </c>
      <c r="S1063" s="9">
        <f t="shared" si="84"/>
        <v>0.02</v>
      </c>
    </row>
    <row r="1064" spans="1:19" x14ac:dyDescent="0.25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e">
        <f>VLOOKUP('Customer Info'!A1056,'Customer Info'!A1056:I1555,2,FALSE)</f>
        <v>#N/A</v>
      </c>
      <c r="H1064" s="6" t="e">
        <f>VLOOKUP('Customer Info'!A1056,'Customer Info'!A1056:I1556,3,FALSE)</f>
        <v>#N/A</v>
      </c>
      <c r="I1064" s="6" t="e">
        <f>VLOOKUP('Customer Info'!A1056,'Customer Info'!A1056:I1555,5,FALSE)</f>
        <v>#N/A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12600</v>
      </c>
      <c r="R1064" s="2" t="s">
        <v>28</v>
      </c>
      <c r="S1064" s="9">
        <f t="shared" si="84"/>
        <v>0.12</v>
      </c>
    </row>
    <row r="1065" spans="1:19" x14ac:dyDescent="0.25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e">
        <f>VLOOKUP('Customer Info'!A1057,'Customer Info'!A1057:I1556,2,FALSE)</f>
        <v>#N/A</v>
      </c>
      <c r="H1065" s="6" t="e">
        <f>VLOOKUP('Customer Info'!A1057,'Customer Info'!A1057:I1557,3,FALSE)</f>
        <v>#N/A</v>
      </c>
      <c r="I1065" s="6" t="e">
        <f>VLOOKUP('Customer Info'!A1057,'Customer Info'!A1057:I1556,5,FALSE)</f>
        <v>#N/A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169</v>
      </c>
      <c r="R1065" s="2" t="s">
        <v>28</v>
      </c>
      <c r="S1065" s="9">
        <f t="shared" si="84"/>
        <v>0.02</v>
      </c>
    </row>
    <row r="1066" spans="1:19" x14ac:dyDescent="0.25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e">
        <f>VLOOKUP('Customer Info'!A1058,'Customer Info'!A1058:I1557,2,FALSE)</f>
        <v>#N/A</v>
      </c>
      <c r="H1066" s="6" t="e">
        <f>VLOOKUP('Customer Info'!A1058,'Customer Info'!A1058:I1558,3,FALSE)</f>
        <v>#N/A</v>
      </c>
      <c r="I1066" s="6" t="e">
        <f>VLOOKUP('Customer Info'!A1058,'Customer Info'!A1058:I1557,5,FALSE)</f>
        <v>#N/A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400</v>
      </c>
      <c r="R1066" s="2" t="s">
        <v>28</v>
      </c>
      <c r="S1066" s="9">
        <f t="shared" si="84"/>
        <v>0.02</v>
      </c>
    </row>
    <row r="1067" spans="1:19" x14ac:dyDescent="0.25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e">
        <f>VLOOKUP('Customer Info'!A1059,'Customer Info'!A1059:I1558,2,FALSE)</f>
        <v>#N/A</v>
      </c>
      <c r="H1067" s="6" t="e">
        <f>VLOOKUP('Customer Info'!A1059,'Customer Info'!A1059:I1559,3,FALSE)</f>
        <v>#N/A</v>
      </c>
      <c r="I1067" s="6" t="e">
        <f>VLOOKUP('Customer Info'!A1059,'Customer Info'!A1059:I1558,5,FALSE)</f>
        <v>#N/A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327</v>
      </c>
      <c r="R1067" s="2" t="s">
        <v>28</v>
      </c>
      <c r="S1067" s="9">
        <f t="shared" si="84"/>
        <v>0.05</v>
      </c>
    </row>
    <row r="1068" spans="1:19" x14ac:dyDescent="0.25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e">
        <f>VLOOKUP('Customer Info'!A1060,'Customer Info'!A1060:I1559,2,FALSE)</f>
        <v>#N/A</v>
      </c>
      <c r="H1068" s="6" t="e">
        <f>VLOOKUP('Customer Info'!A1060,'Customer Info'!A1060:I1560,3,FALSE)</f>
        <v>#N/A</v>
      </c>
      <c r="I1068" s="6" t="e">
        <f>VLOOKUP('Customer Info'!A1060,'Customer Info'!A1060:I1559,5,FALSE)</f>
        <v>#N/A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316</v>
      </c>
      <c r="R1068" s="2" t="s">
        <v>26</v>
      </c>
      <c r="S1068" s="9">
        <f t="shared" si="84"/>
        <v>0.02</v>
      </c>
    </row>
    <row r="1069" spans="1:19" x14ac:dyDescent="0.25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e">
        <f>VLOOKUP('Customer Info'!A1061,'Customer Info'!A1061:I1560,2,FALSE)</f>
        <v>#N/A</v>
      </c>
      <c r="H1069" s="6" t="e">
        <f>VLOOKUP('Customer Info'!A1061,'Customer Info'!A1061:I1561,3,FALSE)</f>
        <v>#N/A</v>
      </c>
      <c r="I1069" s="6" t="e">
        <f>VLOOKUP('Customer Info'!A1061,'Customer Info'!A1061:I1560,5,FALSE)</f>
        <v>#N/A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728</v>
      </c>
      <c r="R1069" s="2" t="s">
        <v>28</v>
      </c>
      <c r="S1069" s="9">
        <f t="shared" si="84"/>
        <v>0.05</v>
      </c>
    </row>
    <row r="1070" spans="1:19" x14ac:dyDescent="0.25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e">
        <f>VLOOKUP('Customer Info'!A1062,'Customer Info'!A1062:I1561,2,FALSE)</f>
        <v>#N/A</v>
      </c>
      <c r="H1070" s="6" t="e">
        <f>VLOOKUP('Customer Info'!A1062,'Customer Info'!A1062:I1562,3,FALSE)</f>
        <v>#N/A</v>
      </c>
      <c r="I1070" s="6" t="e">
        <f>VLOOKUP('Customer Info'!A1062,'Customer Info'!A1062:I1561,5,FALSE)</f>
        <v>#N/A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473</v>
      </c>
      <c r="R1070" s="2" t="s">
        <v>28</v>
      </c>
      <c r="S1070" s="9">
        <f t="shared" si="84"/>
        <v>0.02</v>
      </c>
    </row>
    <row r="1071" spans="1:19" x14ac:dyDescent="0.25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e">
        <f>VLOOKUP('Customer Info'!A1063,'Customer Info'!A1063:I1562,2,FALSE)</f>
        <v>#N/A</v>
      </c>
      <c r="H1071" s="6" t="e">
        <f>VLOOKUP('Customer Info'!A1063,'Customer Info'!A1063:I1563,3,FALSE)</f>
        <v>#N/A</v>
      </c>
      <c r="I1071" s="6" t="e">
        <f>VLOOKUP('Customer Info'!A1063,'Customer Info'!A1063:I1562,5,FALSE)</f>
        <v>#N/A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42</v>
      </c>
      <c r="R1071" s="2" t="s">
        <v>28</v>
      </c>
      <c r="S1071" s="9">
        <f t="shared" si="84"/>
        <v>0.02</v>
      </c>
    </row>
    <row r="1072" spans="1:19" x14ac:dyDescent="0.25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e">
        <f>VLOOKUP('Customer Info'!A1064,'Customer Info'!A1064:I1563,2,FALSE)</f>
        <v>#N/A</v>
      </c>
      <c r="H1072" s="6" t="e">
        <f>VLOOKUP('Customer Info'!A1064,'Customer Info'!A1064:I1564,3,FALSE)</f>
        <v>#N/A</v>
      </c>
      <c r="I1072" s="6" t="e">
        <f>VLOOKUP('Customer Info'!A1064,'Customer Info'!A1064:I1563,5,FALSE)</f>
        <v>#N/A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30</v>
      </c>
      <c r="R1072" s="2" t="s">
        <v>26</v>
      </c>
      <c r="S1072" s="9">
        <f t="shared" si="84"/>
        <v>0.02</v>
      </c>
    </row>
    <row r="1073" spans="1:19" x14ac:dyDescent="0.25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e">
        <f>VLOOKUP('Customer Info'!A1065,'Customer Info'!A1065:I1564,2,FALSE)</f>
        <v>#N/A</v>
      </c>
      <c r="H1073" s="6" t="e">
        <f>VLOOKUP('Customer Info'!A1065,'Customer Info'!A1065:I1565,3,FALSE)</f>
        <v>#N/A</v>
      </c>
      <c r="I1073" s="6" t="e">
        <f>VLOOKUP('Customer Info'!A1065,'Customer Info'!A1065:I1564,5,FALSE)</f>
        <v>#N/A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617</v>
      </c>
      <c r="R1073" s="2" t="s">
        <v>28</v>
      </c>
      <c r="S1073" s="9">
        <f t="shared" si="84"/>
        <v>0.02</v>
      </c>
    </row>
    <row r="1074" spans="1:19" x14ac:dyDescent="0.25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e">
        <f>VLOOKUP('Customer Info'!A1066,'Customer Info'!A1066:I1565,2,FALSE)</f>
        <v>#N/A</v>
      </c>
      <c r="H1074" s="6" t="e">
        <f>VLOOKUP('Customer Info'!A1066,'Customer Info'!A1066:I1566,3,FALSE)</f>
        <v>#N/A</v>
      </c>
      <c r="I1074" s="6" t="e">
        <f>VLOOKUP('Customer Info'!A1066,'Customer Info'!A1066:I1565,5,FALSE)</f>
        <v>#N/A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105</v>
      </c>
      <c r="R1074" s="2" t="s">
        <v>50</v>
      </c>
      <c r="S1074" s="9">
        <f t="shared" si="84"/>
        <v>0.02</v>
      </c>
    </row>
    <row r="1075" spans="1:19" x14ac:dyDescent="0.25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e">
        <f>VLOOKUP('Customer Info'!A1067,'Customer Info'!A1067:I1566,2,FALSE)</f>
        <v>#N/A</v>
      </c>
      <c r="H1075" s="6" t="e">
        <f>VLOOKUP('Customer Info'!A1067,'Customer Info'!A1067:I1567,3,FALSE)</f>
        <v>#N/A</v>
      </c>
      <c r="I1075" s="6" t="e">
        <f>VLOOKUP('Customer Info'!A1067,'Customer Info'!A1067:I1566,5,FALSE)</f>
        <v>#N/A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18</v>
      </c>
      <c r="R1075" s="2" t="s">
        <v>28</v>
      </c>
      <c r="S1075" s="9">
        <f t="shared" si="84"/>
        <v>0.02</v>
      </c>
    </row>
    <row r="1076" spans="1:19" x14ac:dyDescent="0.25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e">
        <f>VLOOKUP('Customer Info'!A1068,'Customer Info'!A1068:I1567,2,FALSE)</f>
        <v>#N/A</v>
      </c>
      <c r="H1076" s="6" t="e">
        <f>VLOOKUP('Customer Info'!A1068,'Customer Info'!A1068:I1568,3,FALSE)</f>
        <v>#N/A</v>
      </c>
      <c r="I1076" s="6" t="e">
        <f>VLOOKUP('Customer Info'!A1068,'Customer Info'!A1068:I1567,5,FALSE)</f>
        <v>#N/A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248</v>
      </c>
      <c r="R1076" s="2" t="s">
        <v>28</v>
      </c>
      <c r="S1076" s="9">
        <f t="shared" si="84"/>
        <v>0.02</v>
      </c>
    </row>
    <row r="1077" spans="1:19" x14ac:dyDescent="0.25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e">
        <f>VLOOKUP('Customer Info'!A1069,'Customer Info'!A1069:I1568,2,FALSE)</f>
        <v>#N/A</v>
      </c>
      <c r="H1077" s="6" t="e">
        <f>VLOOKUP('Customer Info'!A1069,'Customer Info'!A1069:I1569,3,FALSE)</f>
        <v>#N/A</v>
      </c>
      <c r="I1077" s="6" t="e">
        <f>VLOOKUP('Customer Info'!A1069,'Customer Info'!A1069:I1568,5,FALSE)</f>
        <v>#N/A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117</v>
      </c>
      <c r="R1077" s="2" t="s">
        <v>26</v>
      </c>
      <c r="S1077" s="9">
        <f t="shared" si="84"/>
        <v>0.02</v>
      </c>
    </row>
    <row r="1078" spans="1:19" x14ac:dyDescent="0.25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e">
        <f>VLOOKUP('Customer Info'!A1070,'Customer Info'!A1070:I1569,2,FALSE)</f>
        <v>#N/A</v>
      </c>
      <c r="H1078" s="6" t="e">
        <f>VLOOKUP('Customer Info'!A1070,'Customer Info'!A1070:I1570,3,FALSE)</f>
        <v>#N/A</v>
      </c>
      <c r="I1078" s="6" t="e">
        <f>VLOOKUP('Customer Info'!A1070,'Customer Info'!A1070:I1569,5,FALSE)</f>
        <v>#N/A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154</v>
      </c>
      <c r="R1078" s="2" t="s">
        <v>28</v>
      </c>
      <c r="S1078" s="9">
        <f t="shared" si="84"/>
        <v>0.02</v>
      </c>
    </row>
    <row r="1079" spans="1:19" x14ac:dyDescent="0.25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e">
        <f>VLOOKUP('Customer Info'!A1071,'Customer Info'!A1071:I1570,2,FALSE)</f>
        <v>#N/A</v>
      </c>
      <c r="H1079" s="6" t="e">
        <f>VLOOKUP('Customer Info'!A1071,'Customer Info'!A1071:I1571,3,FALSE)</f>
        <v>#N/A</v>
      </c>
      <c r="I1079" s="6" t="e">
        <f>VLOOKUP('Customer Info'!A1071,'Customer Info'!A1071:I1570,5,FALSE)</f>
        <v>#N/A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3809</v>
      </c>
      <c r="R1079" s="2" t="s">
        <v>50</v>
      </c>
      <c r="S1079" s="9">
        <f t="shared" si="84"/>
        <v>7.0000000000000007E-2</v>
      </c>
    </row>
    <row r="1080" spans="1:19" x14ac:dyDescent="0.25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e">
        <f>VLOOKUP('Customer Info'!A1072,'Customer Info'!A1072:I1571,2,FALSE)</f>
        <v>#N/A</v>
      </c>
      <c r="H1080" s="6" t="e">
        <f>VLOOKUP('Customer Info'!A1072,'Customer Info'!A1072:I1572,3,FALSE)</f>
        <v>#N/A</v>
      </c>
      <c r="I1080" s="6" t="e">
        <f>VLOOKUP('Customer Info'!A1072,'Customer Info'!A1072:I1571,5,FALSE)</f>
        <v>#N/A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157</v>
      </c>
      <c r="R1080" s="2" t="s">
        <v>28</v>
      </c>
      <c r="S1080" s="9">
        <f t="shared" si="84"/>
        <v>0.02</v>
      </c>
    </row>
    <row r="1081" spans="1:19" x14ac:dyDescent="0.25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e">
        <f>VLOOKUP('Customer Info'!A1073,'Customer Info'!A1073:I1572,2,FALSE)</f>
        <v>#N/A</v>
      </c>
      <c r="H1081" s="6" t="e">
        <f>VLOOKUP('Customer Info'!A1073,'Customer Info'!A1073:I1573,3,FALSE)</f>
        <v>#N/A</v>
      </c>
      <c r="I1081" s="6" t="e">
        <f>VLOOKUP('Customer Info'!A1073,'Customer Info'!A1073:I1572,5,FALSE)</f>
        <v>#N/A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66</v>
      </c>
      <c r="R1081" s="2" t="s">
        <v>56</v>
      </c>
      <c r="S1081" s="9">
        <f t="shared" si="84"/>
        <v>0.02</v>
      </c>
    </row>
    <row r="1082" spans="1:19" x14ac:dyDescent="0.25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e">
        <f>VLOOKUP('Customer Info'!A1074,'Customer Info'!A1074:I1573,2,FALSE)</f>
        <v>#N/A</v>
      </c>
      <c r="H1082" s="6" t="e">
        <f>VLOOKUP('Customer Info'!A1074,'Customer Info'!A1074:I1574,3,FALSE)</f>
        <v>#N/A</v>
      </c>
      <c r="I1082" s="6" t="e">
        <f>VLOOKUP('Customer Info'!A1074,'Customer Info'!A1074:I1573,5,FALSE)</f>
        <v>#N/A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208</v>
      </c>
      <c r="R1082" s="2" t="s">
        <v>50</v>
      </c>
      <c r="S1082" s="9">
        <f t="shared" si="84"/>
        <v>0.02</v>
      </c>
    </row>
    <row r="1083" spans="1:19" x14ac:dyDescent="0.25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e">
        <f>VLOOKUP('Customer Info'!A1075,'Customer Info'!A1075:I1574,2,FALSE)</f>
        <v>#N/A</v>
      </c>
      <c r="H1083" s="6" t="e">
        <f>VLOOKUP('Customer Info'!A1075,'Customer Info'!A1075:I1575,3,FALSE)</f>
        <v>#N/A</v>
      </c>
      <c r="I1083" s="6" t="e">
        <f>VLOOKUP('Customer Info'!A1075,'Customer Info'!A1075:I1574,5,FALSE)</f>
        <v>#N/A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101</v>
      </c>
      <c r="R1083" s="2" t="s">
        <v>28</v>
      </c>
      <c r="S1083" s="9">
        <f t="shared" si="84"/>
        <v>0.02</v>
      </c>
    </row>
    <row r="1084" spans="1:19" x14ac:dyDescent="0.25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e">
        <f>VLOOKUP('Customer Info'!A1076,'Customer Info'!A1076:I1575,2,FALSE)</f>
        <v>#N/A</v>
      </c>
      <c r="H1084" s="6" t="e">
        <f>VLOOKUP('Customer Info'!A1076,'Customer Info'!A1076:I1576,3,FALSE)</f>
        <v>#N/A</v>
      </c>
      <c r="I1084" s="6" t="e">
        <f>VLOOKUP('Customer Info'!A1076,'Customer Info'!A1076:I1575,5,FALSE)</f>
        <v>#N/A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69</v>
      </c>
      <c r="R1084" s="2" t="s">
        <v>28</v>
      </c>
      <c r="S1084" s="9">
        <f t="shared" si="84"/>
        <v>0.02</v>
      </c>
    </row>
    <row r="1085" spans="1:19" x14ac:dyDescent="0.25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e">
        <f>VLOOKUP('Customer Info'!A1077,'Customer Info'!A1077:I1576,2,FALSE)</f>
        <v>#N/A</v>
      </c>
      <c r="H1085" s="6" t="e">
        <f>VLOOKUP('Customer Info'!A1077,'Customer Info'!A1077:I1577,3,FALSE)</f>
        <v>#N/A</v>
      </c>
      <c r="I1085" s="6" t="e">
        <f>VLOOKUP('Customer Info'!A1077,'Customer Info'!A1077:I1576,5,FALSE)</f>
        <v>#N/A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40</v>
      </c>
      <c r="R1085" s="2" t="s">
        <v>28</v>
      </c>
      <c r="S1085" s="9">
        <f t="shared" si="84"/>
        <v>0.02</v>
      </c>
    </row>
    <row r="1086" spans="1:19" x14ac:dyDescent="0.25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e">
        <f>VLOOKUP('Customer Info'!A1078,'Customer Info'!A1078:I1577,2,FALSE)</f>
        <v>#N/A</v>
      </c>
      <c r="H1086" s="6" t="e">
        <f>VLOOKUP('Customer Info'!A1078,'Customer Info'!A1078:I1578,3,FALSE)</f>
        <v>#N/A</v>
      </c>
      <c r="I1086" s="6" t="e">
        <f>VLOOKUP('Customer Info'!A1078,'Customer Info'!A1078:I1577,5,FALSE)</f>
        <v>#N/A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13</v>
      </c>
      <c r="R1086" s="2" t="s">
        <v>28</v>
      </c>
      <c r="S1086" s="9">
        <f t="shared" si="84"/>
        <v>0.02</v>
      </c>
    </row>
    <row r="1087" spans="1:19" x14ac:dyDescent="0.25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e">
        <f>VLOOKUP('Customer Info'!A1079,'Customer Info'!A1079:I1578,2,FALSE)</f>
        <v>#N/A</v>
      </c>
      <c r="H1087" s="6" t="e">
        <f>VLOOKUP('Customer Info'!A1079,'Customer Info'!A1079:I1579,3,FALSE)</f>
        <v>#N/A</v>
      </c>
      <c r="I1087" s="6" t="e">
        <f>VLOOKUP('Customer Info'!A1079,'Customer Info'!A1079:I1578,5,FALSE)</f>
        <v>#N/A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931</v>
      </c>
      <c r="R1087" s="2" t="s">
        <v>28</v>
      </c>
      <c r="S1087" s="9">
        <f t="shared" si="84"/>
        <v>0.05</v>
      </c>
    </row>
    <row r="1088" spans="1:19" x14ac:dyDescent="0.25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e">
        <f>VLOOKUP('Customer Info'!A1080,'Customer Info'!A1080:I1579,2,FALSE)</f>
        <v>#N/A</v>
      </c>
      <c r="H1088" s="6" t="e">
        <f>VLOOKUP('Customer Info'!A1080,'Customer Info'!A1080:I1580,3,FALSE)</f>
        <v>#N/A</v>
      </c>
      <c r="I1088" s="6" t="e">
        <f>VLOOKUP('Customer Info'!A1080,'Customer Info'!A1080:I1579,5,FALSE)</f>
        <v>#N/A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15</v>
      </c>
      <c r="R1088" s="2" t="s">
        <v>28</v>
      </c>
      <c r="S1088" s="9">
        <f t="shared" si="84"/>
        <v>0.02</v>
      </c>
    </row>
    <row r="1089" spans="1:19" x14ac:dyDescent="0.25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e">
        <f>VLOOKUP('Customer Info'!A1081,'Customer Info'!A1081:I1580,2,FALSE)</f>
        <v>#N/A</v>
      </c>
      <c r="H1089" s="6" t="e">
        <f>VLOOKUP('Customer Info'!A1081,'Customer Info'!A1081:I1581,3,FALSE)</f>
        <v>#N/A</v>
      </c>
      <c r="I1089" s="6" t="e">
        <f>VLOOKUP('Customer Info'!A1081,'Customer Info'!A1081:I1580,5,FALSE)</f>
        <v>#N/A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64</v>
      </c>
      <c r="R1089" s="2" t="s">
        <v>28</v>
      </c>
      <c r="S1089" s="9">
        <f t="shared" si="84"/>
        <v>0.02</v>
      </c>
    </row>
    <row r="1090" spans="1:19" x14ac:dyDescent="0.25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e">
        <f>VLOOKUP('Customer Info'!A1082,'Customer Info'!A1082:I1581,2,FALSE)</f>
        <v>#N/A</v>
      </c>
      <c r="H1090" s="6" t="e">
        <f>VLOOKUP('Customer Info'!A1082,'Customer Info'!A1082:I1582,3,FALSE)</f>
        <v>#N/A</v>
      </c>
      <c r="I1090" s="6" t="e">
        <f>VLOOKUP('Customer Info'!A1082,'Customer Info'!A1082:I1581,5,FALSE)</f>
        <v>#N/A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133</v>
      </c>
      <c r="R1090" s="2" t="s">
        <v>28</v>
      </c>
      <c r="S1090" s="9">
        <f t="shared" si="84"/>
        <v>0.02</v>
      </c>
    </row>
    <row r="1091" spans="1:19" x14ac:dyDescent="0.25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e">
        <f>VLOOKUP('Customer Info'!A1083,'Customer Info'!A1083:I1582,2,FALSE)</f>
        <v>#N/A</v>
      </c>
      <c r="H1091" s="6" t="e">
        <f>VLOOKUP('Customer Info'!A1083,'Customer Info'!A1083:I1583,3,FALSE)</f>
        <v>#N/A</v>
      </c>
      <c r="I1091" s="6" t="e">
        <f>VLOOKUP('Customer Info'!A1083,'Customer Info'!A1083:I1582,5,FALSE)</f>
        <v>#N/A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3088</v>
      </c>
      <c r="R1091" s="2" t="s">
        <v>26</v>
      </c>
      <c r="S1091" s="9">
        <f t="shared" si="84"/>
        <v>7.0000000000000007E-2</v>
      </c>
    </row>
    <row r="1092" spans="1:19" x14ac:dyDescent="0.25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e">
        <f>VLOOKUP('Customer Info'!A1084,'Customer Info'!A1084:I1583,2,FALSE)</f>
        <v>#N/A</v>
      </c>
      <c r="H1092" s="6" t="e">
        <f>VLOOKUP('Customer Info'!A1084,'Customer Info'!A1084:I1584,3,FALSE)</f>
        <v>#N/A</v>
      </c>
      <c r="I1092" s="6" t="e">
        <f>VLOOKUP('Customer Info'!A1084,'Customer Info'!A1084:I1583,5,FALSE)</f>
        <v>#N/A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80</v>
      </c>
      <c r="R1092" s="2" t="s">
        <v>28</v>
      </c>
      <c r="S1092" s="9">
        <f t="shared" si="84"/>
        <v>0.02</v>
      </c>
    </row>
    <row r="1093" spans="1:19" x14ac:dyDescent="0.25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e">
        <f>VLOOKUP('Customer Info'!A1085,'Customer Info'!A1085:I1584,2,FALSE)</f>
        <v>#N/A</v>
      </c>
      <c r="H1093" s="6" t="e">
        <f>VLOOKUP('Customer Info'!A1085,'Customer Info'!A1085:I1585,3,FALSE)</f>
        <v>#N/A</v>
      </c>
      <c r="I1093" s="6" t="e">
        <f>VLOOKUP('Customer Info'!A1085,'Customer Info'!A1085:I1584,5,FALSE)</f>
        <v>#N/A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299</v>
      </c>
      <c r="R1093" s="2" t="s">
        <v>28</v>
      </c>
      <c r="S1093" s="9">
        <f t="shared" si="84"/>
        <v>0.05</v>
      </c>
    </row>
    <row r="1094" spans="1:19" x14ac:dyDescent="0.25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e">
        <f>VLOOKUP('Customer Info'!A1086,'Customer Info'!A1086:I1585,2,FALSE)</f>
        <v>#N/A</v>
      </c>
      <c r="H1094" s="6" t="e">
        <f>VLOOKUP('Customer Info'!A1086,'Customer Info'!A1086:I1586,3,FALSE)</f>
        <v>#N/A</v>
      </c>
      <c r="I1094" s="6" t="e">
        <f>VLOOKUP('Customer Info'!A1086,'Customer Info'!A1086:I1585,5,FALSE)</f>
        <v>#N/A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5006</v>
      </c>
      <c r="R1094" s="2" t="s">
        <v>50</v>
      </c>
      <c r="S1094" s="9">
        <f t="shared" si="84"/>
        <v>0.09</v>
      </c>
    </row>
    <row r="1095" spans="1:19" x14ac:dyDescent="0.25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e">
        <f>VLOOKUP('Customer Info'!A1087,'Customer Info'!A1087:I1586,2,FALSE)</f>
        <v>#N/A</v>
      </c>
      <c r="H1095" s="6" t="e">
        <f>VLOOKUP('Customer Info'!A1087,'Customer Info'!A1087:I1587,3,FALSE)</f>
        <v>#N/A</v>
      </c>
      <c r="I1095" s="6" t="e">
        <f>VLOOKUP('Customer Info'!A1087,'Customer Info'!A1087:I1586,5,FALSE)</f>
        <v>#N/A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134</v>
      </c>
      <c r="R1095" s="2" t="s">
        <v>50</v>
      </c>
      <c r="S1095" s="9">
        <f t="shared" si="84"/>
        <v>0.02</v>
      </c>
    </row>
    <row r="1096" spans="1:19" x14ac:dyDescent="0.25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e">
        <f>VLOOKUP('Customer Info'!A1088,'Customer Info'!A1088:I1587,2,FALSE)</f>
        <v>#N/A</v>
      </c>
      <c r="H1096" s="6" t="e">
        <f>VLOOKUP('Customer Info'!A1088,'Customer Info'!A1088:I1588,3,FALSE)</f>
        <v>#N/A</v>
      </c>
      <c r="I1096" s="6" t="e">
        <f>VLOOKUP('Customer Info'!A1088,'Customer Info'!A1088:I1587,5,FALSE)</f>
        <v>#N/A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358</v>
      </c>
      <c r="R1096" s="2" t="s">
        <v>50</v>
      </c>
      <c r="S1096" s="9">
        <f t="shared" si="84"/>
        <v>0.02</v>
      </c>
    </row>
    <row r="1097" spans="1:19" x14ac:dyDescent="0.25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e">
        <f>VLOOKUP('Customer Info'!A1089,'Customer Info'!A1089:I1588,2,FALSE)</f>
        <v>#N/A</v>
      </c>
      <c r="H1097" s="6" t="e">
        <f>VLOOKUP('Customer Info'!A1089,'Customer Info'!A1089:I1589,3,FALSE)</f>
        <v>#N/A</v>
      </c>
      <c r="I1097" s="6" t="e">
        <f>VLOOKUP('Customer Info'!A1089,'Customer Info'!A1089:I1588,5,FALSE)</f>
        <v>#N/A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580</v>
      </c>
      <c r="R1097" s="2" t="s">
        <v>28</v>
      </c>
      <c r="S1097" s="9">
        <f t="shared" si="84"/>
        <v>0.05</v>
      </c>
    </row>
    <row r="1098" spans="1:19" x14ac:dyDescent="0.25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e">
        <f>VLOOKUP('Customer Info'!A1090,'Customer Info'!A1090:I1589,2,FALSE)</f>
        <v>#N/A</v>
      </c>
      <c r="H1098" s="6" t="e">
        <f>VLOOKUP('Customer Info'!A1090,'Customer Info'!A1090:I1590,3,FALSE)</f>
        <v>#N/A</v>
      </c>
      <c r="I1098" s="6" t="e">
        <f>VLOOKUP('Customer Info'!A1090,'Customer Info'!A1090:I1589,5,FALSE)</f>
        <v>#N/A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63</v>
      </c>
      <c r="R1098" s="2" t="s">
        <v>28</v>
      </c>
      <c r="S1098" s="9">
        <f t="shared" si="84"/>
        <v>0.02</v>
      </c>
    </row>
    <row r="1099" spans="1:19" x14ac:dyDescent="0.25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e">
        <f>VLOOKUP('Customer Info'!A1091,'Customer Info'!A1091:I1590,2,FALSE)</f>
        <v>#N/A</v>
      </c>
      <c r="H1099" s="6" t="e">
        <f>VLOOKUP('Customer Info'!A1091,'Customer Info'!A1091:I1591,3,FALSE)</f>
        <v>#N/A</v>
      </c>
      <c r="I1099" s="6" t="e">
        <f>VLOOKUP('Customer Info'!A1091,'Customer Info'!A1091:I1590,5,FALSE)</f>
        <v>#N/A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8">
        <f t="shared" ref="P1099:P1162" si="87">N1099+O1099</f>
        <v>36153</v>
      </c>
      <c r="Q1099" s="8">
        <f t="shared" ref="Q1099:Q1162" si="88">P1099-M1099</f>
        <v>2125</v>
      </c>
      <c r="R1099" s="2" t="s">
        <v>28</v>
      </c>
      <c r="S1099" s="9">
        <f t="shared" ref="S1099:S1162" si="89">VLOOKUP(P1099,$T$2:$U$7,2,TRUE)</f>
        <v>7.0000000000000007E-2</v>
      </c>
    </row>
    <row r="1100" spans="1:19" x14ac:dyDescent="0.25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e">
        <f>VLOOKUP('Customer Info'!A1092,'Customer Info'!A1092:I1591,2,FALSE)</f>
        <v>#N/A</v>
      </c>
      <c r="H1100" s="6" t="e">
        <f>VLOOKUP('Customer Info'!A1092,'Customer Info'!A1092:I1592,3,FALSE)</f>
        <v>#N/A</v>
      </c>
      <c r="I1100" s="6" t="e">
        <f>VLOOKUP('Customer Info'!A1092,'Customer Info'!A1092:I1591,5,FALSE)</f>
        <v>#N/A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114</v>
      </c>
      <c r="R1100" s="2" t="s">
        <v>50</v>
      </c>
      <c r="S1100" s="9">
        <f t="shared" si="89"/>
        <v>0.02</v>
      </c>
    </row>
    <row r="1101" spans="1:19" x14ac:dyDescent="0.25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e">
        <f>VLOOKUP('Customer Info'!A1093,'Customer Info'!A1093:I1592,2,FALSE)</f>
        <v>#N/A</v>
      </c>
      <c r="H1101" s="6" t="e">
        <f>VLOOKUP('Customer Info'!A1093,'Customer Info'!A1093:I1593,3,FALSE)</f>
        <v>#N/A</v>
      </c>
      <c r="I1101" s="6" t="e">
        <f>VLOOKUP('Customer Info'!A1093,'Customer Info'!A1093:I1592,5,FALSE)</f>
        <v>#N/A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311</v>
      </c>
      <c r="R1101" s="2" t="s">
        <v>28</v>
      </c>
      <c r="S1101" s="9">
        <f t="shared" si="89"/>
        <v>0.02</v>
      </c>
    </row>
    <row r="1102" spans="1:19" x14ac:dyDescent="0.25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e">
        <f>VLOOKUP('Customer Info'!A1094,'Customer Info'!A1094:I1593,2,FALSE)</f>
        <v>#N/A</v>
      </c>
      <c r="H1102" s="6" t="e">
        <f>VLOOKUP('Customer Info'!A1094,'Customer Info'!A1094:I1594,3,FALSE)</f>
        <v>#N/A</v>
      </c>
      <c r="I1102" s="6" t="e">
        <f>VLOOKUP('Customer Info'!A1094,'Customer Info'!A1094:I1593,5,FALSE)</f>
        <v>#N/A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2666</v>
      </c>
      <c r="R1102" s="2" t="s">
        <v>28</v>
      </c>
      <c r="S1102" s="9">
        <f t="shared" si="89"/>
        <v>7.0000000000000007E-2</v>
      </c>
    </row>
    <row r="1103" spans="1:19" x14ac:dyDescent="0.25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e">
        <f>VLOOKUP('Customer Info'!A1095,'Customer Info'!A1095:I1594,2,FALSE)</f>
        <v>#N/A</v>
      </c>
      <c r="H1103" s="6" t="e">
        <f>VLOOKUP('Customer Info'!A1095,'Customer Info'!A1095:I1595,3,FALSE)</f>
        <v>#N/A</v>
      </c>
      <c r="I1103" s="6" t="e">
        <f>VLOOKUP('Customer Info'!A1095,'Customer Info'!A1095:I1594,5,FALSE)</f>
        <v>#N/A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483</v>
      </c>
      <c r="R1103" s="2" t="s">
        <v>50</v>
      </c>
      <c r="S1103" s="9">
        <f t="shared" si="89"/>
        <v>0.05</v>
      </c>
    </row>
    <row r="1104" spans="1:19" x14ac:dyDescent="0.25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e">
        <f>VLOOKUP('Customer Info'!A1096,'Customer Info'!A1096:I1595,2,FALSE)</f>
        <v>#N/A</v>
      </c>
      <c r="H1104" s="6" t="e">
        <f>VLOOKUP('Customer Info'!A1096,'Customer Info'!A1096:I1596,3,FALSE)</f>
        <v>#N/A</v>
      </c>
      <c r="I1104" s="6" t="e">
        <f>VLOOKUP('Customer Info'!A1096,'Customer Info'!A1096:I1595,5,FALSE)</f>
        <v>#N/A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177</v>
      </c>
      <c r="R1104" s="2" t="s">
        <v>28</v>
      </c>
      <c r="S1104" s="9">
        <f t="shared" si="89"/>
        <v>0.02</v>
      </c>
    </row>
    <row r="1105" spans="1:19" x14ac:dyDescent="0.25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e">
        <f>VLOOKUP('Customer Info'!A1097,'Customer Info'!A1097:I1596,2,FALSE)</f>
        <v>#N/A</v>
      </c>
      <c r="H1105" s="6" t="e">
        <f>VLOOKUP('Customer Info'!A1097,'Customer Info'!A1097:I1597,3,FALSE)</f>
        <v>#N/A</v>
      </c>
      <c r="I1105" s="6" t="e">
        <f>VLOOKUP('Customer Info'!A1097,'Customer Info'!A1097:I1596,5,FALSE)</f>
        <v>#N/A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242</v>
      </c>
      <c r="R1105" s="2" t="s">
        <v>50</v>
      </c>
      <c r="S1105" s="9">
        <f t="shared" si="89"/>
        <v>0.02</v>
      </c>
    </row>
    <row r="1106" spans="1:19" x14ac:dyDescent="0.25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e">
        <f>VLOOKUP('Customer Info'!A1098,'Customer Info'!A1098:I1597,2,FALSE)</f>
        <v>#N/A</v>
      </c>
      <c r="H1106" s="6" t="e">
        <f>VLOOKUP('Customer Info'!A1098,'Customer Info'!A1098:I1598,3,FALSE)</f>
        <v>#N/A</v>
      </c>
      <c r="I1106" s="6" t="e">
        <f>VLOOKUP('Customer Info'!A1098,'Customer Info'!A1098:I1597,5,FALSE)</f>
        <v>#N/A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212</v>
      </c>
      <c r="R1106" s="2" t="s">
        <v>50</v>
      </c>
      <c r="S1106" s="9">
        <f t="shared" si="89"/>
        <v>0.02</v>
      </c>
    </row>
    <row r="1107" spans="1:19" x14ac:dyDescent="0.25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e">
        <f>VLOOKUP('Customer Info'!A1099,'Customer Info'!A1099:I1598,2,FALSE)</f>
        <v>#N/A</v>
      </c>
      <c r="H1107" s="6" t="e">
        <f>VLOOKUP('Customer Info'!A1099,'Customer Info'!A1099:I1599,3,FALSE)</f>
        <v>#N/A</v>
      </c>
      <c r="I1107" s="6" t="e">
        <f>VLOOKUP('Customer Info'!A1099,'Customer Info'!A1099:I1598,5,FALSE)</f>
        <v>#N/A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368</v>
      </c>
      <c r="R1107" s="2" t="s">
        <v>28</v>
      </c>
      <c r="S1107" s="9">
        <f t="shared" si="89"/>
        <v>0.02</v>
      </c>
    </row>
    <row r="1108" spans="1:19" x14ac:dyDescent="0.25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e">
        <f>VLOOKUP('Customer Info'!A1100,'Customer Info'!A1100:I1599,2,FALSE)</f>
        <v>#N/A</v>
      </c>
      <c r="H1108" s="6" t="e">
        <f>VLOOKUP('Customer Info'!A1100,'Customer Info'!A1100:I1600,3,FALSE)</f>
        <v>#N/A</v>
      </c>
      <c r="I1108" s="6" t="e">
        <f>VLOOKUP('Customer Info'!A1100,'Customer Info'!A1100:I1599,5,FALSE)</f>
        <v>#N/A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194</v>
      </c>
      <c r="R1108" s="2" t="s">
        <v>50</v>
      </c>
      <c r="S1108" s="9">
        <f t="shared" si="89"/>
        <v>0.05</v>
      </c>
    </row>
    <row r="1109" spans="1:19" x14ac:dyDescent="0.25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e">
        <f>VLOOKUP('Customer Info'!A1101,'Customer Info'!A1101:I1600,2,FALSE)</f>
        <v>#N/A</v>
      </c>
      <c r="H1109" s="6" t="e">
        <f>VLOOKUP('Customer Info'!A1101,'Customer Info'!A1101:I1601,3,FALSE)</f>
        <v>#N/A</v>
      </c>
      <c r="I1109" s="6" t="e">
        <f>VLOOKUP('Customer Info'!A1101,'Customer Info'!A1101:I1600,5,FALSE)</f>
        <v>#N/A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933</v>
      </c>
      <c r="R1109" s="2" t="s">
        <v>28</v>
      </c>
      <c r="S1109" s="9">
        <f t="shared" si="89"/>
        <v>0.05</v>
      </c>
    </row>
    <row r="1110" spans="1:19" x14ac:dyDescent="0.25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e">
        <f>VLOOKUP('Customer Info'!A1102,'Customer Info'!A1102:I1601,2,FALSE)</f>
        <v>#N/A</v>
      </c>
      <c r="H1110" s="6" t="e">
        <f>VLOOKUP('Customer Info'!A1102,'Customer Info'!A1102:I1602,3,FALSE)</f>
        <v>#N/A</v>
      </c>
      <c r="I1110" s="6" t="e">
        <f>VLOOKUP('Customer Info'!A1102,'Customer Info'!A1102:I1601,5,FALSE)</f>
        <v>#N/A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94</v>
      </c>
      <c r="R1110" s="2" t="s">
        <v>28</v>
      </c>
      <c r="S1110" s="9">
        <f t="shared" si="89"/>
        <v>0.02</v>
      </c>
    </row>
    <row r="1111" spans="1:19" x14ac:dyDescent="0.25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e">
        <f>VLOOKUP('Customer Info'!A1103,'Customer Info'!A1103:I1602,2,FALSE)</f>
        <v>#N/A</v>
      </c>
      <c r="H1111" s="6" t="e">
        <f>VLOOKUP('Customer Info'!A1103,'Customer Info'!A1103:I1603,3,FALSE)</f>
        <v>#N/A</v>
      </c>
      <c r="I1111" s="6" t="e">
        <f>VLOOKUP('Customer Info'!A1103,'Customer Info'!A1103:I1602,5,FALSE)</f>
        <v>#N/A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65</v>
      </c>
      <c r="R1111" s="2" t="s">
        <v>28</v>
      </c>
      <c r="S1111" s="9">
        <f t="shared" si="89"/>
        <v>0.02</v>
      </c>
    </row>
    <row r="1112" spans="1:19" x14ac:dyDescent="0.25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e">
        <f>VLOOKUP('Customer Info'!A1104,'Customer Info'!A1104:I1603,2,FALSE)</f>
        <v>#N/A</v>
      </c>
      <c r="H1112" s="6" t="e">
        <f>VLOOKUP('Customer Info'!A1104,'Customer Info'!A1104:I1604,3,FALSE)</f>
        <v>#N/A</v>
      </c>
      <c r="I1112" s="6" t="e">
        <f>VLOOKUP('Customer Info'!A1104,'Customer Info'!A1104:I1603,5,FALSE)</f>
        <v>#N/A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399</v>
      </c>
      <c r="R1112" s="2" t="s">
        <v>28</v>
      </c>
      <c r="S1112" s="9">
        <f t="shared" si="89"/>
        <v>0.05</v>
      </c>
    </row>
    <row r="1113" spans="1:19" x14ac:dyDescent="0.25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e">
        <f>VLOOKUP('Customer Info'!A1105,'Customer Info'!A1105:I1604,2,FALSE)</f>
        <v>#N/A</v>
      </c>
      <c r="H1113" s="6" t="e">
        <f>VLOOKUP('Customer Info'!A1105,'Customer Info'!A1105:I1605,3,FALSE)</f>
        <v>#N/A</v>
      </c>
      <c r="I1113" s="6" t="e">
        <f>VLOOKUP('Customer Info'!A1105,'Customer Info'!A1105:I1604,5,FALSE)</f>
        <v>#N/A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1187</v>
      </c>
      <c r="R1113" s="2" t="s">
        <v>50</v>
      </c>
      <c r="S1113" s="9">
        <f t="shared" si="89"/>
        <v>0.05</v>
      </c>
    </row>
    <row r="1114" spans="1:19" x14ac:dyDescent="0.25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e">
        <f>VLOOKUP('Customer Info'!A1106,'Customer Info'!A1106:I1605,2,FALSE)</f>
        <v>#N/A</v>
      </c>
      <c r="H1114" s="6" t="e">
        <f>VLOOKUP('Customer Info'!A1106,'Customer Info'!A1106:I1606,3,FALSE)</f>
        <v>#N/A</v>
      </c>
      <c r="I1114" s="6" t="e">
        <f>VLOOKUP('Customer Info'!A1106,'Customer Info'!A1106:I1605,5,FALSE)</f>
        <v>#N/A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2653</v>
      </c>
      <c r="R1114" s="2" t="s">
        <v>50</v>
      </c>
      <c r="S1114" s="9">
        <f t="shared" si="89"/>
        <v>7.0000000000000007E-2</v>
      </c>
    </row>
    <row r="1115" spans="1:19" x14ac:dyDescent="0.25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e">
        <f>VLOOKUP('Customer Info'!A1107,'Customer Info'!A1107:I1606,2,FALSE)</f>
        <v>#N/A</v>
      </c>
      <c r="H1115" s="6" t="e">
        <f>VLOOKUP('Customer Info'!A1107,'Customer Info'!A1107:I1607,3,FALSE)</f>
        <v>#N/A</v>
      </c>
      <c r="I1115" s="6" t="e">
        <f>VLOOKUP('Customer Info'!A1107,'Customer Info'!A1107:I1606,5,FALSE)</f>
        <v>#N/A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118</v>
      </c>
      <c r="R1115" s="2" t="s">
        <v>28</v>
      </c>
      <c r="S1115" s="9">
        <f t="shared" si="89"/>
        <v>0.02</v>
      </c>
    </row>
    <row r="1116" spans="1:19" x14ac:dyDescent="0.25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e">
        <f>VLOOKUP('Customer Info'!A1108,'Customer Info'!A1108:I1607,2,FALSE)</f>
        <v>#N/A</v>
      </c>
      <c r="H1116" s="6" t="e">
        <f>VLOOKUP('Customer Info'!A1108,'Customer Info'!A1108:I1608,3,FALSE)</f>
        <v>#N/A</v>
      </c>
      <c r="I1116" s="6" t="e">
        <f>VLOOKUP('Customer Info'!A1108,'Customer Info'!A1108:I1607,5,FALSE)</f>
        <v>#N/A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125</v>
      </c>
      <c r="R1116" s="2" t="s">
        <v>26</v>
      </c>
      <c r="S1116" s="9">
        <f t="shared" si="89"/>
        <v>0.02</v>
      </c>
    </row>
    <row r="1117" spans="1:19" x14ac:dyDescent="0.25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e">
        <f>VLOOKUP('Customer Info'!A1109,'Customer Info'!A1109:I1608,2,FALSE)</f>
        <v>#N/A</v>
      </c>
      <c r="H1117" s="6" t="e">
        <f>VLOOKUP('Customer Info'!A1109,'Customer Info'!A1109:I1609,3,FALSE)</f>
        <v>#N/A</v>
      </c>
      <c r="I1117" s="6" t="e">
        <f>VLOOKUP('Customer Info'!A1109,'Customer Info'!A1109:I1608,5,FALSE)</f>
        <v>#N/A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2523</v>
      </c>
      <c r="R1117" s="2" t="s">
        <v>28</v>
      </c>
      <c r="S1117" s="9">
        <f t="shared" si="89"/>
        <v>0.05</v>
      </c>
    </row>
    <row r="1118" spans="1:19" x14ac:dyDescent="0.25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e">
        <f>VLOOKUP('Customer Info'!A1110,'Customer Info'!A1110:I1609,2,FALSE)</f>
        <v>#N/A</v>
      </c>
      <c r="H1118" s="6" t="e">
        <f>VLOOKUP('Customer Info'!A1110,'Customer Info'!A1110:I1610,3,FALSE)</f>
        <v>#N/A</v>
      </c>
      <c r="I1118" s="6" t="e">
        <f>VLOOKUP('Customer Info'!A1110,'Customer Info'!A1110:I1609,5,FALSE)</f>
        <v>#N/A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1295</v>
      </c>
      <c r="R1118" s="2" t="s">
        <v>50</v>
      </c>
      <c r="S1118" s="9">
        <f t="shared" si="89"/>
        <v>0.05</v>
      </c>
    </row>
    <row r="1119" spans="1:19" x14ac:dyDescent="0.25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e">
        <f>VLOOKUP('Customer Info'!A1111,'Customer Info'!A1111:I1610,2,FALSE)</f>
        <v>#N/A</v>
      </c>
      <c r="H1119" s="6" t="e">
        <f>VLOOKUP('Customer Info'!A1111,'Customer Info'!A1111:I1611,3,FALSE)</f>
        <v>#N/A</v>
      </c>
      <c r="I1119" s="6" t="e">
        <f>VLOOKUP('Customer Info'!A1111,'Customer Info'!A1111:I1610,5,FALSE)</f>
        <v>#N/A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360</v>
      </c>
      <c r="R1119" s="2" t="s">
        <v>26</v>
      </c>
      <c r="S1119" s="9">
        <f t="shared" si="89"/>
        <v>0.05</v>
      </c>
    </row>
    <row r="1120" spans="1:19" x14ac:dyDescent="0.25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e">
        <f>VLOOKUP('Customer Info'!A1112,'Customer Info'!A1112:I1611,2,FALSE)</f>
        <v>#N/A</v>
      </c>
      <c r="H1120" s="6" t="e">
        <f>VLOOKUP('Customer Info'!A1112,'Customer Info'!A1112:I1612,3,FALSE)</f>
        <v>#N/A</v>
      </c>
      <c r="I1120" s="6" t="e">
        <f>VLOOKUP('Customer Info'!A1112,'Customer Info'!A1112:I1611,5,FALSE)</f>
        <v>#N/A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22</v>
      </c>
      <c r="R1120" s="2" t="s">
        <v>26</v>
      </c>
      <c r="S1120" s="9">
        <f t="shared" si="89"/>
        <v>0.02</v>
      </c>
    </row>
    <row r="1121" spans="1:19" x14ac:dyDescent="0.25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e">
        <f>VLOOKUP('Customer Info'!A1113,'Customer Info'!A1113:I1612,2,FALSE)</f>
        <v>#N/A</v>
      </c>
      <c r="H1121" s="6" t="e">
        <f>VLOOKUP('Customer Info'!A1113,'Customer Info'!A1113:I1613,3,FALSE)</f>
        <v>#N/A</v>
      </c>
      <c r="I1121" s="6" t="e">
        <f>VLOOKUP('Customer Info'!A1113,'Customer Info'!A1113:I1612,5,FALSE)</f>
        <v>#N/A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10207</v>
      </c>
      <c r="R1121" s="2" t="s">
        <v>50</v>
      </c>
      <c r="S1121" s="9">
        <f t="shared" si="89"/>
        <v>0.12</v>
      </c>
    </row>
    <row r="1122" spans="1:19" x14ac:dyDescent="0.25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e">
        <f>VLOOKUP('Customer Info'!A1114,'Customer Info'!A1114:I1613,2,FALSE)</f>
        <v>#N/A</v>
      </c>
      <c r="H1122" s="6" t="e">
        <f>VLOOKUP('Customer Info'!A1114,'Customer Info'!A1114:I1614,3,FALSE)</f>
        <v>#N/A</v>
      </c>
      <c r="I1122" s="6" t="e">
        <f>VLOOKUP('Customer Info'!A1114,'Customer Info'!A1114:I1613,5,FALSE)</f>
        <v>#N/A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476</v>
      </c>
      <c r="R1122" s="2" t="s">
        <v>28</v>
      </c>
      <c r="S1122" s="9">
        <f t="shared" si="89"/>
        <v>0.02</v>
      </c>
    </row>
    <row r="1123" spans="1:19" x14ac:dyDescent="0.25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e">
        <f>VLOOKUP('Customer Info'!A1115,'Customer Info'!A1115:I1614,2,FALSE)</f>
        <v>#N/A</v>
      </c>
      <c r="H1123" s="6" t="e">
        <f>VLOOKUP('Customer Info'!A1115,'Customer Info'!A1115:I1615,3,FALSE)</f>
        <v>#N/A</v>
      </c>
      <c r="I1123" s="6" t="e">
        <f>VLOOKUP('Customer Info'!A1115,'Customer Info'!A1115:I1614,5,FALSE)</f>
        <v>#N/A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186</v>
      </c>
      <c r="R1123" s="2" t="s">
        <v>28</v>
      </c>
      <c r="S1123" s="9">
        <f t="shared" si="89"/>
        <v>0.02</v>
      </c>
    </row>
    <row r="1124" spans="1:19" x14ac:dyDescent="0.25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e">
        <f>VLOOKUP('Customer Info'!A1116,'Customer Info'!A1116:I1615,2,FALSE)</f>
        <v>#N/A</v>
      </c>
      <c r="H1124" s="6" t="e">
        <f>VLOOKUP('Customer Info'!A1116,'Customer Info'!A1116:I1616,3,FALSE)</f>
        <v>#N/A</v>
      </c>
      <c r="I1124" s="6" t="e">
        <f>VLOOKUP('Customer Info'!A1116,'Customer Info'!A1116:I1615,5,FALSE)</f>
        <v>#N/A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282</v>
      </c>
      <c r="R1124" s="2" t="s">
        <v>28</v>
      </c>
      <c r="S1124" s="9">
        <f t="shared" si="89"/>
        <v>0.02</v>
      </c>
    </row>
    <row r="1125" spans="1:19" x14ac:dyDescent="0.25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e">
        <f>VLOOKUP('Customer Info'!A1117,'Customer Info'!A1117:I1616,2,FALSE)</f>
        <v>#N/A</v>
      </c>
      <c r="H1125" s="6" t="e">
        <f>VLOOKUP('Customer Info'!A1117,'Customer Info'!A1117:I1617,3,FALSE)</f>
        <v>#N/A</v>
      </c>
      <c r="I1125" s="6" t="e">
        <f>VLOOKUP('Customer Info'!A1117,'Customer Info'!A1117:I1616,5,FALSE)</f>
        <v>#N/A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45</v>
      </c>
      <c r="R1125" s="2" t="s">
        <v>50</v>
      </c>
      <c r="S1125" s="9">
        <f t="shared" si="89"/>
        <v>0.02</v>
      </c>
    </row>
    <row r="1126" spans="1:19" x14ac:dyDescent="0.25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e">
        <f>VLOOKUP('Customer Info'!A1118,'Customer Info'!A1118:I1617,2,FALSE)</f>
        <v>#N/A</v>
      </c>
      <c r="H1126" s="6" t="e">
        <f>VLOOKUP('Customer Info'!A1118,'Customer Info'!A1118:I1618,3,FALSE)</f>
        <v>#N/A</v>
      </c>
      <c r="I1126" s="6" t="e">
        <f>VLOOKUP('Customer Info'!A1118,'Customer Info'!A1118:I1617,5,FALSE)</f>
        <v>#N/A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179</v>
      </c>
      <c r="R1126" s="2" t="s">
        <v>28</v>
      </c>
      <c r="S1126" s="9">
        <f t="shared" si="89"/>
        <v>0.05</v>
      </c>
    </row>
    <row r="1127" spans="1:19" x14ac:dyDescent="0.25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e">
        <f>VLOOKUP('Customer Info'!A1119,'Customer Info'!A1119:I1618,2,FALSE)</f>
        <v>#N/A</v>
      </c>
      <c r="H1127" s="6" t="e">
        <f>VLOOKUP('Customer Info'!A1119,'Customer Info'!A1119:I1619,3,FALSE)</f>
        <v>#N/A</v>
      </c>
      <c r="I1127" s="6" t="e">
        <f>VLOOKUP('Customer Info'!A1119,'Customer Info'!A1119:I1618,5,FALSE)</f>
        <v>#N/A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313</v>
      </c>
      <c r="R1127" s="2" t="s">
        <v>50</v>
      </c>
      <c r="S1127" s="9">
        <f t="shared" si="89"/>
        <v>0.05</v>
      </c>
    </row>
    <row r="1128" spans="1:19" x14ac:dyDescent="0.25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e">
        <f>VLOOKUP('Customer Info'!A1120,'Customer Info'!A1120:I1619,2,FALSE)</f>
        <v>#N/A</v>
      </c>
      <c r="H1128" s="6" t="e">
        <f>VLOOKUP('Customer Info'!A1120,'Customer Info'!A1120:I1620,3,FALSE)</f>
        <v>#N/A</v>
      </c>
      <c r="I1128" s="6" t="e">
        <f>VLOOKUP('Customer Info'!A1120,'Customer Info'!A1120:I1619,5,FALSE)</f>
        <v>#N/A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134</v>
      </c>
      <c r="R1128" s="2" t="s">
        <v>28</v>
      </c>
      <c r="S1128" s="9">
        <f t="shared" si="89"/>
        <v>0.02</v>
      </c>
    </row>
    <row r="1129" spans="1:19" x14ac:dyDescent="0.25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e">
        <f>VLOOKUP('Customer Info'!A1121,'Customer Info'!A1121:I1620,2,FALSE)</f>
        <v>#N/A</v>
      </c>
      <c r="H1129" s="6" t="e">
        <f>VLOOKUP('Customer Info'!A1121,'Customer Info'!A1121:I1621,3,FALSE)</f>
        <v>#N/A</v>
      </c>
      <c r="I1129" s="6" t="e">
        <f>VLOOKUP('Customer Info'!A1121,'Customer Info'!A1121:I1620,5,FALSE)</f>
        <v>#N/A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451</v>
      </c>
      <c r="R1129" s="2" t="s">
        <v>28</v>
      </c>
      <c r="S1129" s="9">
        <f t="shared" si="89"/>
        <v>0.05</v>
      </c>
    </row>
    <row r="1130" spans="1:19" x14ac:dyDescent="0.25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e">
        <f>VLOOKUP('Customer Info'!A1122,'Customer Info'!A1122:I1621,2,FALSE)</f>
        <v>#N/A</v>
      </c>
      <c r="H1130" s="6" t="e">
        <f>VLOOKUP('Customer Info'!A1122,'Customer Info'!A1122:I1622,3,FALSE)</f>
        <v>#N/A</v>
      </c>
      <c r="I1130" s="6" t="e">
        <f>VLOOKUP('Customer Info'!A1122,'Customer Info'!A1122:I1621,5,FALSE)</f>
        <v>#N/A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45</v>
      </c>
      <c r="R1130" s="2" t="s">
        <v>28</v>
      </c>
      <c r="S1130" s="9">
        <f t="shared" si="89"/>
        <v>0.02</v>
      </c>
    </row>
    <row r="1131" spans="1:19" x14ac:dyDescent="0.25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e">
        <f>VLOOKUP('Customer Info'!A1123,'Customer Info'!A1123:I1622,2,FALSE)</f>
        <v>#N/A</v>
      </c>
      <c r="H1131" s="6" t="e">
        <f>VLOOKUP('Customer Info'!A1123,'Customer Info'!A1123:I1623,3,FALSE)</f>
        <v>#N/A</v>
      </c>
      <c r="I1131" s="6" t="e">
        <f>VLOOKUP('Customer Info'!A1123,'Customer Info'!A1123:I1622,5,FALSE)</f>
        <v>#N/A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4757</v>
      </c>
      <c r="R1131" s="2" t="s">
        <v>28</v>
      </c>
      <c r="S1131" s="9">
        <f t="shared" si="89"/>
        <v>7.0000000000000007E-2</v>
      </c>
    </row>
    <row r="1132" spans="1:19" x14ac:dyDescent="0.25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e">
        <f>VLOOKUP('Customer Info'!A1124,'Customer Info'!A1124:I1623,2,FALSE)</f>
        <v>#N/A</v>
      </c>
      <c r="H1132" s="6" t="e">
        <f>VLOOKUP('Customer Info'!A1124,'Customer Info'!A1124:I1624,3,FALSE)</f>
        <v>#N/A</v>
      </c>
      <c r="I1132" s="6" t="e">
        <f>VLOOKUP('Customer Info'!A1124,'Customer Info'!A1124:I1623,5,FALSE)</f>
        <v>#N/A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78</v>
      </c>
      <c r="R1132" s="2" t="s">
        <v>28</v>
      </c>
      <c r="S1132" s="9">
        <f t="shared" si="89"/>
        <v>0.02</v>
      </c>
    </row>
    <row r="1133" spans="1:19" x14ac:dyDescent="0.25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e">
        <f>VLOOKUP('Customer Info'!A1125,'Customer Info'!A1125:I1624,2,FALSE)</f>
        <v>#N/A</v>
      </c>
      <c r="H1133" s="6" t="e">
        <f>VLOOKUP('Customer Info'!A1125,'Customer Info'!A1125:I1625,3,FALSE)</f>
        <v>#N/A</v>
      </c>
      <c r="I1133" s="6" t="e">
        <f>VLOOKUP('Customer Info'!A1125,'Customer Info'!A1125:I1624,5,FALSE)</f>
        <v>#N/A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110</v>
      </c>
      <c r="R1133" s="2" t="s">
        <v>50</v>
      </c>
      <c r="S1133" s="9">
        <f t="shared" si="89"/>
        <v>0.02</v>
      </c>
    </row>
    <row r="1134" spans="1:19" x14ac:dyDescent="0.25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e">
        <f>VLOOKUP('Customer Info'!A1126,'Customer Info'!A1126:I1625,2,FALSE)</f>
        <v>#N/A</v>
      </c>
      <c r="H1134" s="6" t="e">
        <f>VLOOKUP('Customer Info'!A1126,'Customer Info'!A1126:I1626,3,FALSE)</f>
        <v>#N/A</v>
      </c>
      <c r="I1134" s="6" t="e">
        <f>VLOOKUP('Customer Info'!A1126,'Customer Info'!A1126:I1625,5,FALSE)</f>
        <v>#N/A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1039</v>
      </c>
      <c r="R1134" s="2" t="s">
        <v>28</v>
      </c>
      <c r="S1134" s="9">
        <f t="shared" si="89"/>
        <v>0.05</v>
      </c>
    </row>
    <row r="1135" spans="1:19" x14ac:dyDescent="0.25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e">
        <f>VLOOKUP('Customer Info'!A1127,'Customer Info'!A1127:I1626,2,FALSE)</f>
        <v>#N/A</v>
      </c>
      <c r="H1135" s="6" t="e">
        <f>VLOOKUP('Customer Info'!A1127,'Customer Info'!A1127:I1627,3,FALSE)</f>
        <v>#N/A</v>
      </c>
      <c r="I1135" s="6" t="e">
        <f>VLOOKUP('Customer Info'!A1127,'Customer Info'!A1127:I1626,5,FALSE)</f>
        <v>#N/A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1845</v>
      </c>
      <c r="R1135" s="2" t="s">
        <v>28</v>
      </c>
      <c r="S1135" s="9">
        <f t="shared" si="89"/>
        <v>0.05</v>
      </c>
    </row>
    <row r="1136" spans="1:19" x14ac:dyDescent="0.25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e">
        <f>VLOOKUP('Customer Info'!A1128,'Customer Info'!A1128:I1627,2,FALSE)</f>
        <v>#N/A</v>
      </c>
      <c r="H1136" s="6" t="e">
        <f>VLOOKUP('Customer Info'!A1128,'Customer Info'!A1128:I1628,3,FALSE)</f>
        <v>#N/A</v>
      </c>
      <c r="I1136" s="6" t="e">
        <f>VLOOKUP('Customer Info'!A1128,'Customer Info'!A1128:I1627,5,FALSE)</f>
        <v>#N/A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54</v>
      </c>
      <c r="R1136" s="2" t="s">
        <v>50</v>
      </c>
      <c r="S1136" s="9">
        <f t="shared" si="89"/>
        <v>0.02</v>
      </c>
    </row>
    <row r="1137" spans="1:19" x14ac:dyDescent="0.25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e">
        <f>VLOOKUP('Customer Info'!A1129,'Customer Info'!A1129:I1628,2,FALSE)</f>
        <v>#N/A</v>
      </c>
      <c r="H1137" s="6" t="e">
        <f>VLOOKUP('Customer Info'!A1129,'Customer Info'!A1129:I1629,3,FALSE)</f>
        <v>#N/A</v>
      </c>
      <c r="I1137" s="6" t="e">
        <f>VLOOKUP('Customer Info'!A1129,'Customer Info'!A1129:I1628,5,FALSE)</f>
        <v>#N/A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67</v>
      </c>
      <c r="R1137" s="2" t="s">
        <v>28</v>
      </c>
      <c r="S1137" s="9">
        <f t="shared" si="89"/>
        <v>7.0000000000000007E-2</v>
      </c>
    </row>
    <row r="1138" spans="1:19" x14ac:dyDescent="0.25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e">
        <f>VLOOKUP('Customer Info'!A1130,'Customer Info'!A1130:I1629,2,FALSE)</f>
        <v>#N/A</v>
      </c>
      <c r="H1138" s="6" t="e">
        <f>VLOOKUP('Customer Info'!A1130,'Customer Info'!A1130:I1630,3,FALSE)</f>
        <v>#N/A</v>
      </c>
      <c r="I1138" s="6" t="e">
        <f>VLOOKUP('Customer Info'!A1130,'Customer Info'!A1130:I1629,5,FALSE)</f>
        <v>#N/A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1259</v>
      </c>
      <c r="R1138" s="2" t="s">
        <v>50</v>
      </c>
      <c r="S1138" s="9">
        <f t="shared" si="89"/>
        <v>0.05</v>
      </c>
    </row>
    <row r="1139" spans="1:19" x14ac:dyDescent="0.25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e">
        <f>VLOOKUP('Customer Info'!A1131,'Customer Info'!A1131:I1630,2,FALSE)</f>
        <v>#N/A</v>
      </c>
      <c r="H1139" s="6" t="e">
        <f>VLOOKUP('Customer Info'!A1131,'Customer Info'!A1131:I1631,3,FALSE)</f>
        <v>#N/A</v>
      </c>
      <c r="I1139" s="6" t="e">
        <f>VLOOKUP('Customer Info'!A1131,'Customer Info'!A1131:I1630,5,FALSE)</f>
        <v>#N/A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18</v>
      </c>
      <c r="R1139" s="2" t="s">
        <v>26</v>
      </c>
      <c r="S1139" s="9">
        <f t="shared" si="89"/>
        <v>0.02</v>
      </c>
    </row>
    <row r="1140" spans="1:19" x14ac:dyDescent="0.25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e">
        <f>VLOOKUP('Customer Info'!A1132,'Customer Info'!A1132:I1631,2,FALSE)</f>
        <v>#N/A</v>
      </c>
      <c r="H1140" s="6" t="e">
        <f>VLOOKUP('Customer Info'!A1132,'Customer Info'!A1132:I1632,3,FALSE)</f>
        <v>#N/A</v>
      </c>
      <c r="I1140" s="6" t="e">
        <f>VLOOKUP('Customer Info'!A1132,'Customer Info'!A1132:I1631,5,FALSE)</f>
        <v>#N/A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444</v>
      </c>
      <c r="R1140" s="2" t="s">
        <v>28</v>
      </c>
      <c r="S1140" s="9">
        <f t="shared" si="89"/>
        <v>0.02</v>
      </c>
    </row>
    <row r="1141" spans="1:19" x14ac:dyDescent="0.25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e">
        <f>VLOOKUP('Customer Info'!A1133,'Customer Info'!A1133:I1632,2,FALSE)</f>
        <v>#N/A</v>
      </c>
      <c r="H1141" s="6" t="e">
        <f>VLOOKUP('Customer Info'!A1133,'Customer Info'!A1133:I1633,3,FALSE)</f>
        <v>#N/A</v>
      </c>
      <c r="I1141" s="6" t="e">
        <f>VLOOKUP('Customer Info'!A1133,'Customer Info'!A1133:I1632,5,FALSE)</f>
        <v>#N/A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629</v>
      </c>
      <c r="R1141" s="2" t="s">
        <v>28</v>
      </c>
      <c r="S1141" s="9">
        <f t="shared" si="89"/>
        <v>0.05</v>
      </c>
    </row>
    <row r="1142" spans="1:19" x14ac:dyDescent="0.25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e">
        <f>VLOOKUP('Customer Info'!A1134,'Customer Info'!A1134:I1633,2,FALSE)</f>
        <v>#N/A</v>
      </c>
      <c r="H1142" s="6" t="e">
        <f>VLOOKUP('Customer Info'!A1134,'Customer Info'!A1134:I1634,3,FALSE)</f>
        <v>#N/A</v>
      </c>
      <c r="I1142" s="6" t="e">
        <f>VLOOKUP('Customer Info'!A1134,'Customer Info'!A1134:I1633,5,FALSE)</f>
        <v>#N/A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173</v>
      </c>
      <c r="R1142" s="2" t="s">
        <v>50</v>
      </c>
      <c r="S1142" s="9">
        <f t="shared" si="89"/>
        <v>0.02</v>
      </c>
    </row>
    <row r="1143" spans="1:19" x14ac:dyDescent="0.25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e">
        <f>VLOOKUP('Customer Info'!A1135,'Customer Info'!A1135:I1634,2,FALSE)</f>
        <v>#N/A</v>
      </c>
      <c r="H1143" s="6" t="e">
        <f>VLOOKUP('Customer Info'!A1135,'Customer Info'!A1135:I1635,3,FALSE)</f>
        <v>#N/A</v>
      </c>
      <c r="I1143" s="6" t="e">
        <f>VLOOKUP('Customer Info'!A1135,'Customer Info'!A1135:I1634,5,FALSE)</f>
        <v>#N/A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504</v>
      </c>
      <c r="R1143" s="2" t="s">
        <v>50</v>
      </c>
      <c r="S1143" s="9">
        <f t="shared" si="89"/>
        <v>0.05</v>
      </c>
    </row>
    <row r="1144" spans="1:19" x14ac:dyDescent="0.25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e">
        <f>VLOOKUP('Customer Info'!A1136,'Customer Info'!A1136:I1635,2,FALSE)</f>
        <v>#N/A</v>
      </c>
      <c r="H1144" s="6" t="e">
        <f>VLOOKUP('Customer Info'!A1136,'Customer Info'!A1136:I1636,3,FALSE)</f>
        <v>#N/A</v>
      </c>
      <c r="I1144" s="6" t="e">
        <f>VLOOKUP('Customer Info'!A1136,'Customer Info'!A1136:I1635,5,FALSE)</f>
        <v>#N/A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258</v>
      </c>
      <c r="R1144" s="2" t="s">
        <v>26</v>
      </c>
      <c r="S1144" s="9">
        <f t="shared" si="89"/>
        <v>0.02</v>
      </c>
    </row>
    <row r="1145" spans="1:19" x14ac:dyDescent="0.25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e">
        <f>VLOOKUP('Customer Info'!A1137,'Customer Info'!A1137:I1636,2,FALSE)</f>
        <v>#N/A</v>
      </c>
      <c r="H1145" s="6" t="e">
        <f>VLOOKUP('Customer Info'!A1137,'Customer Info'!A1137:I1637,3,FALSE)</f>
        <v>#N/A</v>
      </c>
      <c r="I1145" s="6" t="e">
        <f>VLOOKUP('Customer Info'!A1137,'Customer Info'!A1137:I1636,5,FALSE)</f>
        <v>#N/A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30</v>
      </c>
      <c r="R1145" s="2" t="s">
        <v>28</v>
      </c>
      <c r="S1145" s="9">
        <f t="shared" si="89"/>
        <v>0.02</v>
      </c>
    </row>
    <row r="1146" spans="1:19" x14ac:dyDescent="0.25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e">
        <f>VLOOKUP('Customer Info'!A1138,'Customer Info'!A1138:I1637,2,FALSE)</f>
        <v>#N/A</v>
      </c>
      <c r="H1146" s="6" t="e">
        <f>VLOOKUP('Customer Info'!A1138,'Customer Info'!A1138:I1638,3,FALSE)</f>
        <v>#N/A</v>
      </c>
      <c r="I1146" s="6" t="e">
        <f>VLOOKUP('Customer Info'!A1138,'Customer Info'!A1138:I1637,5,FALSE)</f>
        <v>#N/A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504</v>
      </c>
      <c r="R1146" s="2" t="s">
        <v>50</v>
      </c>
      <c r="S1146" s="9">
        <f t="shared" si="89"/>
        <v>0.05</v>
      </c>
    </row>
    <row r="1147" spans="1:19" x14ac:dyDescent="0.25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e">
        <f>VLOOKUP('Customer Info'!A1139,'Customer Info'!A1139:I1638,2,FALSE)</f>
        <v>#N/A</v>
      </c>
      <c r="H1147" s="6" t="e">
        <f>VLOOKUP('Customer Info'!A1139,'Customer Info'!A1139:I1639,3,FALSE)</f>
        <v>#N/A</v>
      </c>
      <c r="I1147" s="6" t="e">
        <f>VLOOKUP('Customer Info'!A1139,'Customer Info'!A1139:I1638,5,FALSE)</f>
        <v>#N/A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218</v>
      </c>
      <c r="R1147" s="2" t="s">
        <v>28</v>
      </c>
      <c r="S1147" s="9">
        <f t="shared" si="89"/>
        <v>0.02</v>
      </c>
    </row>
    <row r="1148" spans="1:19" x14ac:dyDescent="0.25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e">
        <f>VLOOKUP('Customer Info'!A1140,'Customer Info'!A1140:I1639,2,FALSE)</f>
        <v>#N/A</v>
      </c>
      <c r="H1148" s="6" t="e">
        <f>VLOOKUP('Customer Info'!A1140,'Customer Info'!A1140:I1640,3,FALSE)</f>
        <v>#N/A</v>
      </c>
      <c r="I1148" s="6" t="e">
        <f>VLOOKUP('Customer Info'!A1140,'Customer Info'!A1140:I1639,5,FALSE)</f>
        <v>#N/A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126</v>
      </c>
      <c r="R1148" s="2" t="s">
        <v>50</v>
      </c>
      <c r="S1148" s="9">
        <f t="shared" si="89"/>
        <v>0.02</v>
      </c>
    </row>
    <row r="1149" spans="1:19" x14ac:dyDescent="0.25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e">
        <f>VLOOKUP('Customer Info'!A1141,'Customer Info'!A1141:I1640,2,FALSE)</f>
        <v>#N/A</v>
      </c>
      <c r="H1149" s="6" t="e">
        <f>VLOOKUP('Customer Info'!A1141,'Customer Info'!A1141:I1641,3,FALSE)</f>
        <v>#N/A</v>
      </c>
      <c r="I1149" s="6" t="e">
        <f>VLOOKUP('Customer Info'!A1141,'Customer Info'!A1141:I1640,5,FALSE)</f>
        <v>#N/A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338</v>
      </c>
      <c r="R1149" s="2" t="s">
        <v>26</v>
      </c>
      <c r="S1149" s="9">
        <f t="shared" si="89"/>
        <v>0.02</v>
      </c>
    </row>
    <row r="1150" spans="1:19" x14ac:dyDescent="0.25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e">
        <f>VLOOKUP('Customer Info'!A1142,'Customer Info'!A1142:I1641,2,FALSE)</f>
        <v>#N/A</v>
      </c>
      <c r="H1150" s="6" t="e">
        <f>VLOOKUP('Customer Info'!A1142,'Customer Info'!A1142:I1642,3,FALSE)</f>
        <v>#N/A</v>
      </c>
      <c r="I1150" s="6" t="e">
        <f>VLOOKUP('Customer Info'!A1142,'Customer Info'!A1142:I1641,5,FALSE)</f>
        <v>#N/A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24</v>
      </c>
      <c r="R1150" s="2" t="s">
        <v>56</v>
      </c>
      <c r="S1150" s="9">
        <f t="shared" si="89"/>
        <v>0.02</v>
      </c>
    </row>
    <row r="1151" spans="1:19" x14ac:dyDescent="0.25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e">
        <f>VLOOKUP('Customer Info'!A1143,'Customer Info'!A1143:I1642,2,FALSE)</f>
        <v>#N/A</v>
      </c>
      <c r="H1151" s="6" t="e">
        <f>VLOOKUP('Customer Info'!A1143,'Customer Info'!A1143:I1643,3,FALSE)</f>
        <v>#N/A</v>
      </c>
      <c r="I1151" s="6" t="e">
        <f>VLOOKUP('Customer Info'!A1143,'Customer Info'!A1143:I1642,5,FALSE)</f>
        <v>#N/A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2894</v>
      </c>
      <c r="R1151" s="2" t="s">
        <v>28</v>
      </c>
      <c r="S1151" s="9">
        <f t="shared" si="89"/>
        <v>7.0000000000000007E-2</v>
      </c>
    </row>
    <row r="1152" spans="1:19" x14ac:dyDescent="0.25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e">
        <f>VLOOKUP('Customer Info'!A1144,'Customer Info'!A1144:I1643,2,FALSE)</f>
        <v>#N/A</v>
      </c>
      <c r="H1152" s="6" t="e">
        <f>VLOOKUP('Customer Info'!A1144,'Customer Info'!A1144:I1644,3,FALSE)</f>
        <v>#N/A</v>
      </c>
      <c r="I1152" s="6" t="e">
        <f>VLOOKUP('Customer Info'!A1144,'Customer Info'!A1144:I1643,5,FALSE)</f>
        <v>#N/A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1973</v>
      </c>
      <c r="R1152" s="2" t="s">
        <v>28</v>
      </c>
      <c r="S1152" s="9">
        <f t="shared" si="89"/>
        <v>0.05</v>
      </c>
    </row>
    <row r="1153" spans="1:19" x14ac:dyDescent="0.25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e">
        <f>VLOOKUP('Customer Info'!A1145,'Customer Info'!A1145:I1644,2,FALSE)</f>
        <v>#N/A</v>
      </c>
      <c r="H1153" s="6" t="e">
        <f>VLOOKUP('Customer Info'!A1145,'Customer Info'!A1145:I1645,3,FALSE)</f>
        <v>#N/A</v>
      </c>
      <c r="I1153" s="6" t="e">
        <f>VLOOKUP('Customer Info'!A1145,'Customer Info'!A1145:I1644,5,FALSE)</f>
        <v>#N/A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550</v>
      </c>
      <c r="R1153" s="2" t="s">
        <v>28</v>
      </c>
      <c r="S1153" s="9">
        <f t="shared" si="89"/>
        <v>0.05</v>
      </c>
    </row>
    <row r="1154" spans="1:19" x14ac:dyDescent="0.25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e">
        <f>VLOOKUP('Customer Info'!A1146,'Customer Info'!A1146:I1645,2,FALSE)</f>
        <v>#N/A</v>
      </c>
      <c r="H1154" s="6" t="e">
        <f>VLOOKUP('Customer Info'!A1146,'Customer Info'!A1146:I1646,3,FALSE)</f>
        <v>#N/A</v>
      </c>
      <c r="I1154" s="6" t="e">
        <f>VLOOKUP('Customer Info'!A1146,'Customer Info'!A1146:I1645,5,FALSE)</f>
        <v>#N/A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1090</v>
      </c>
      <c r="R1154" s="2" t="s">
        <v>28</v>
      </c>
      <c r="S1154" s="9">
        <f t="shared" si="89"/>
        <v>0.05</v>
      </c>
    </row>
    <row r="1155" spans="1:19" x14ac:dyDescent="0.25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e">
        <f>VLOOKUP('Customer Info'!A1147,'Customer Info'!A1147:I1646,2,FALSE)</f>
        <v>#N/A</v>
      </c>
      <c r="H1155" s="6" t="e">
        <f>VLOOKUP('Customer Info'!A1147,'Customer Info'!A1147:I1647,3,FALSE)</f>
        <v>#N/A</v>
      </c>
      <c r="I1155" s="6" t="e">
        <f>VLOOKUP('Customer Info'!A1147,'Customer Info'!A1147:I1646,5,FALSE)</f>
        <v>#N/A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276</v>
      </c>
      <c r="R1155" s="2" t="s">
        <v>28</v>
      </c>
      <c r="S1155" s="9">
        <f t="shared" si="89"/>
        <v>0.05</v>
      </c>
    </row>
    <row r="1156" spans="1:19" x14ac:dyDescent="0.25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e">
        <f>VLOOKUP('Customer Info'!A1148,'Customer Info'!A1148:I1647,2,FALSE)</f>
        <v>#N/A</v>
      </c>
      <c r="H1156" s="6" t="e">
        <f>VLOOKUP('Customer Info'!A1148,'Customer Info'!A1148:I1648,3,FALSE)</f>
        <v>#N/A</v>
      </c>
      <c r="I1156" s="6" t="e">
        <f>VLOOKUP('Customer Info'!A1148,'Customer Info'!A1148:I1647,5,FALSE)</f>
        <v>#N/A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85</v>
      </c>
      <c r="R1156" s="2" t="s">
        <v>28</v>
      </c>
      <c r="S1156" s="9">
        <f t="shared" si="89"/>
        <v>0.05</v>
      </c>
    </row>
    <row r="1157" spans="1:19" x14ac:dyDescent="0.25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e">
        <f>VLOOKUP('Customer Info'!A1149,'Customer Info'!A1149:I1648,2,FALSE)</f>
        <v>#N/A</v>
      </c>
      <c r="H1157" s="6" t="e">
        <f>VLOOKUP('Customer Info'!A1149,'Customer Info'!A1149:I1649,3,FALSE)</f>
        <v>#N/A</v>
      </c>
      <c r="I1157" s="6" t="e">
        <f>VLOOKUP('Customer Info'!A1149,'Customer Info'!A1149:I1648,5,FALSE)</f>
        <v>#N/A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458</v>
      </c>
      <c r="R1157" s="2" t="s">
        <v>28</v>
      </c>
      <c r="S1157" s="9">
        <f t="shared" si="89"/>
        <v>0.05</v>
      </c>
    </row>
    <row r="1158" spans="1:19" x14ac:dyDescent="0.25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e">
        <f>VLOOKUP('Customer Info'!A1150,'Customer Info'!A1150:I1649,2,FALSE)</f>
        <v>#N/A</v>
      </c>
      <c r="H1158" s="6" t="e">
        <f>VLOOKUP('Customer Info'!A1150,'Customer Info'!A1150:I1650,3,FALSE)</f>
        <v>#N/A</v>
      </c>
      <c r="I1158" s="6" t="e">
        <f>VLOOKUP('Customer Info'!A1150,'Customer Info'!A1150:I1649,5,FALSE)</f>
        <v>#N/A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568</v>
      </c>
      <c r="R1158" s="2" t="s">
        <v>50</v>
      </c>
      <c r="S1158" s="9">
        <f t="shared" si="89"/>
        <v>0.05</v>
      </c>
    </row>
    <row r="1159" spans="1:19" x14ac:dyDescent="0.25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e">
        <f>VLOOKUP('Customer Info'!A1151,'Customer Info'!A1151:I1650,2,FALSE)</f>
        <v>#N/A</v>
      </c>
      <c r="H1159" s="6" t="e">
        <f>VLOOKUP('Customer Info'!A1151,'Customer Info'!A1151:I1651,3,FALSE)</f>
        <v>#N/A</v>
      </c>
      <c r="I1159" s="6" t="e">
        <f>VLOOKUP('Customer Info'!A1151,'Customer Info'!A1151:I1650,5,FALSE)</f>
        <v>#N/A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1459</v>
      </c>
      <c r="R1159" s="2" t="s">
        <v>28</v>
      </c>
      <c r="S1159" s="9">
        <f t="shared" si="89"/>
        <v>0.05</v>
      </c>
    </row>
    <row r="1160" spans="1:19" x14ac:dyDescent="0.25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e">
        <f>VLOOKUP('Customer Info'!A1152,'Customer Info'!A1152:I1651,2,FALSE)</f>
        <v>#N/A</v>
      </c>
      <c r="H1160" s="6" t="e">
        <f>VLOOKUP('Customer Info'!A1152,'Customer Info'!A1152:I1652,3,FALSE)</f>
        <v>#N/A</v>
      </c>
      <c r="I1160" s="6" t="e">
        <f>VLOOKUP('Customer Info'!A1152,'Customer Info'!A1152:I1651,5,FALSE)</f>
        <v>#N/A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150</v>
      </c>
      <c r="R1160" s="2" t="s">
        <v>50</v>
      </c>
      <c r="S1160" s="9">
        <f t="shared" si="89"/>
        <v>0.02</v>
      </c>
    </row>
    <row r="1161" spans="1:19" x14ac:dyDescent="0.25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e">
        <f>VLOOKUP('Customer Info'!A1153,'Customer Info'!A1153:I1652,2,FALSE)</f>
        <v>#N/A</v>
      </c>
      <c r="H1161" s="6" t="e">
        <f>VLOOKUP('Customer Info'!A1153,'Customer Info'!A1153:I1653,3,FALSE)</f>
        <v>#N/A</v>
      </c>
      <c r="I1161" s="6" t="e">
        <f>VLOOKUP('Customer Info'!A1153,'Customer Info'!A1153:I1652,5,FALSE)</f>
        <v>#N/A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305</v>
      </c>
      <c r="R1161" s="2" t="s">
        <v>50</v>
      </c>
      <c r="S1161" s="9">
        <f t="shared" si="89"/>
        <v>0.02</v>
      </c>
    </row>
    <row r="1162" spans="1:19" x14ac:dyDescent="0.25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e">
        <f>VLOOKUP('Customer Info'!A1154,'Customer Info'!A1154:I1653,2,FALSE)</f>
        <v>#N/A</v>
      </c>
      <c r="H1162" s="6" t="e">
        <f>VLOOKUP('Customer Info'!A1154,'Customer Info'!A1154:I1654,3,FALSE)</f>
        <v>#N/A</v>
      </c>
      <c r="I1162" s="6" t="e">
        <f>VLOOKUP('Customer Info'!A1154,'Customer Info'!A1154:I1653,5,FALSE)</f>
        <v>#N/A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46</v>
      </c>
      <c r="R1162" s="2" t="s">
        <v>28</v>
      </c>
      <c r="S1162" s="9">
        <f t="shared" si="89"/>
        <v>0.02</v>
      </c>
    </row>
    <row r="1163" spans="1:19" x14ac:dyDescent="0.25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e">
        <f>VLOOKUP('Customer Info'!A1155,'Customer Info'!A1155:I1654,2,FALSE)</f>
        <v>#N/A</v>
      </c>
      <c r="H1163" s="6" t="e">
        <f>VLOOKUP('Customer Info'!A1155,'Customer Info'!A1155:I1655,3,FALSE)</f>
        <v>#N/A</v>
      </c>
      <c r="I1163" s="6" t="e">
        <f>VLOOKUP('Customer Info'!A1155,'Customer Info'!A1155:I1654,5,FALSE)</f>
        <v>#N/A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8">
        <f t="shared" ref="P1163:P1226" si="92">N1163+O1163</f>
        <v>475</v>
      </c>
      <c r="Q1163" s="8">
        <f t="shared" ref="Q1163:Q1226" si="93">P1163-M1163</f>
        <v>93</v>
      </c>
      <c r="R1163" s="2" t="s">
        <v>28</v>
      </c>
      <c r="S1163" s="9">
        <f t="shared" ref="S1163:S1226" si="94">VLOOKUP(P1163,$T$2:$U$7,2,TRUE)</f>
        <v>0.02</v>
      </c>
    </row>
    <row r="1164" spans="1:19" x14ac:dyDescent="0.25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e">
        <f>VLOOKUP('Customer Info'!A1156,'Customer Info'!A1156:I1655,2,FALSE)</f>
        <v>#N/A</v>
      </c>
      <c r="H1164" s="6" t="e">
        <f>VLOOKUP('Customer Info'!A1156,'Customer Info'!A1156:I1656,3,FALSE)</f>
        <v>#N/A</v>
      </c>
      <c r="I1164" s="6" t="e">
        <f>VLOOKUP('Customer Info'!A1156,'Customer Info'!A1156:I1655,5,FALSE)</f>
        <v>#N/A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70</v>
      </c>
      <c r="R1164" s="2" t="s">
        <v>28</v>
      </c>
      <c r="S1164" s="9">
        <f t="shared" si="94"/>
        <v>0.02</v>
      </c>
    </row>
    <row r="1165" spans="1:19" x14ac:dyDescent="0.25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e">
        <f>VLOOKUP('Customer Info'!A1157,'Customer Info'!A1157:I1656,2,FALSE)</f>
        <v>#N/A</v>
      </c>
      <c r="H1165" s="6" t="e">
        <f>VLOOKUP('Customer Info'!A1157,'Customer Info'!A1157:I1657,3,FALSE)</f>
        <v>#N/A</v>
      </c>
      <c r="I1165" s="6" t="e">
        <f>VLOOKUP('Customer Info'!A1157,'Customer Info'!A1157:I1656,5,FALSE)</f>
        <v>#N/A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513</v>
      </c>
      <c r="R1165" s="2" t="s">
        <v>50</v>
      </c>
      <c r="S1165" s="9">
        <f t="shared" si="94"/>
        <v>0.02</v>
      </c>
    </row>
    <row r="1166" spans="1:19" x14ac:dyDescent="0.25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e">
        <f>VLOOKUP('Customer Info'!A1158,'Customer Info'!A1158:I1657,2,FALSE)</f>
        <v>#N/A</v>
      </c>
      <c r="H1166" s="6" t="e">
        <f>VLOOKUP('Customer Info'!A1158,'Customer Info'!A1158:I1658,3,FALSE)</f>
        <v>#N/A</v>
      </c>
      <c r="I1166" s="6" t="e">
        <f>VLOOKUP('Customer Info'!A1158,'Customer Info'!A1158:I1657,5,FALSE)</f>
        <v>#N/A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962</v>
      </c>
      <c r="R1166" s="2" t="s">
        <v>28</v>
      </c>
      <c r="S1166" s="9">
        <f t="shared" si="94"/>
        <v>0.05</v>
      </c>
    </row>
    <row r="1167" spans="1:19" x14ac:dyDescent="0.25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e">
        <f>VLOOKUP('Customer Info'!A1159,'Customer Info'!A1159:I1658,2,FALSE)</f>
        <v>#N/A</v>
      </c>
      <c r="H1167" s="6" t="e">
        <f>VLOOKUP('Customer Info'!A1159,'Customer Info'!A1159:I1659,3,FALSE)</f>
        <v>#N/A</v>
      </c>
      <c r="I1167" s="6" t="e">
        <f>VLOOKUP('Customer Info'!A1159,'Customer Info'!A1159:I1658,5,FALSE)</f>
        <v>#N/A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280</v>
      </c>
      <c r="R1167" s="2" t="s">
        <v>28</v>
      </c>
      <c r="S1167" s="9">
        <f t="shared" si="94"/>
        <v>0.05</v>
      </c>
    </row>
    <row r="1168" spans="1:19" x14ac:dyDescent="0.25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e">
        <f>VLOOKUP('Customer Info'!A1160,'Customer Info'!A1160:I1659,2,FALSE)</f>
        <v>#N/A</v>
      </c>
      <c r="H1168" s="6" t="e">
        <f>VLOOKUP('Customer Info'!A1160,'Customer Info'!A1160:I1660,3,FALSE)</f>
        <v>#N/A</v>
      </c>
      <c r="I1168" s="6" t="e">
        <f>VLOOKUP('Customer Info'!A1160,'Customer Info'!A1160:I1659,5,FALSE)</f>
        <v>#N/A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14</v>
      </c>
      <c r="R1168" s="2" t="s">
        <v>28</v>
      </c>
      <c r="S1168" s="9">
        <f t="shared" si="94"/>
        <v>0.02</v>
      </c>
    </row>
    <row r="1169" spans="1:19" x14ac:dyDescent="0.25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e">
        <f>VLOOKUP('Customer Info'!A1161,'Customer Info'!A1161:I1660,2,FALSE)</f>
        <v>#N/A</v>
      </c>
      <c r="H1169" s="6" t="e">
        <f>VLOOKUP('Customer Info'!A1161,'Customer Info'!A1161:I1661,3,FALSE)</f>
        <v>#N/A</v>
      </c>
      <c r="I1169" s="6" t="e">
        <f>VLOOKUP('Customer Info'!A1161,'Customer Info'!A1161:I1660,5,FALSE)</f>
        <v>#N/A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66</v>
      </c>
      <c r="R1169" s="2" t="s">
        <v>50</v>
      </c>
      <c r="S1169" s="9">
        <f t="shared" si="94"/>
        <v>0.02</v>
      </c>
    </row>
    <row r="1170" spans="1:19" x14ac:dyDescent="0.25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e">
        <f>VLOOKUP('Customer Info'!A1162,'Customer Info'!A1162:I1661,2,FALSE)</f>
        <v>#N/A</v>
      </c>
      <c r="H1170" s="6" t="e">
        <f>VLOOKUP('Customer Info'!A1162,'Customer Info'!A1162:I1662,3,FALSE)</f>
        <v>#N/A</v>
      </c>
      <c r="I1170" s="6" t="e">
        <f>VLOOKUP('Customer Info'!A1162,'Customer Info'!A1162:I1661,5,FALSE)</f>
        <v>#N/A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98</v>
      </c>
      <c r="R1170" s="2" t="s">
        <v>28</v>
      </c>
      <c r="S1170" s="9">
        <f t="shared" si="94"/>
        <v>0.02</v>
      </c>
    </row>
    <row r="1171" spans="1:19" x14ac:dyDescent="0.25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e">
        <f>VLOOKUP('Customer Info'!A1163,'Customer Info'!A1163:I1662,2,FALSE)</f>
        <v>#N/A</v>
      </c>
      <c r="H1171" s="6" t="e">
        <f>VLOOKUP('Customer Info'!A1163,'Customer Info'!A1163:I1663,3,FALSE)</f>
        <v>#N/A</v>
      </c>
      <c r="I1171" s="6" t="e">
        <f>VLOOKUP('Customer Info'!A1163,'Customer Info'!A1163:I1662,5,FALSE)</f>
        <v>#N/A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199</v>
      </c>
      <c r="R1171" s="2" t="s">
        <v>26</v>
      </c>
      <c r="S1171" s="9">
        <f t="shared" si="94"/>
        <v>0.02</v>
      </c>
    </row>
    <row r="1172" spans="1:19" x14ac:dyDescent="0.25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e">
        <f>VLOOKUP('Customer Info'!A1164,'Customer Info'!A1164:I1663,2,FALSE)</f>
        <v>#N/A</v>
      </c>
      <c r="H1172" s="6" t="e">
        <f>VLOOKUP('Customer Info'!A1164,'Customer Info'!A1164:I1664,3,FALSE)</f>
        <v>#N/A</v>
      </c>
      <c r="I1172" s="6" t="e">
        <f>VLOOKUP('Customer Info'!A1164,'Customer Info'!A1164:I1663,5,FALSE)</f>
        <v>#N/A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2366</v>
      </c>
      <c r="R1172" s="2" t="s">
        <v>28</v>
      </c>
      <c r="S1172" s="9">
        <f t="shared" si="94"/>
        <v>7.0000000000000007E-2</v>
      </c>
    </row>
    <row r="1173" spans="1:19" x14ac:dyDescent="0.25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e">
        <f>VLOOKUP('Customer Info'!A1165,'Customer Info'!A1165:I1664,2,FALSE)</f>
        <v>#N/A</v>
      </c>
      <c r="H1173" s="6" t="e">
        <f>VLOOKUP('Customer Info'!A1165,'Customer Info'!A1165:I1665,3,FALSE)</f>
        <v>#N/A</v>
      </c>
      <c r="I1173" s="6" t="e">
        <f>VLOOKUP('Customer Info'!A1165,'Customer Info'!A1165:I1664,5,FALSE)</f>
        <v>#N/A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237</v>
      </c>
      <c r="R1173" s="2" t="s">
        <v>28</v>
      </c>
      <c r="S1173" s="9">
        <f t="shared" si="94"/>
        <v>0.02</v>
      </c>
    </row>
    <row r="1174" spans="1:19" x14ac:dyDescent="0.25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e">
        <f>VLOOKUP('Customer Info'!A1166,'Customer Info'!A1166:I1665,2,FALSE)</f>
        <v>#N/A</v>
      </c>
      <c r="H1174" s="6" t="e">
        <f>VLOOKUP('Customer Info'!A1166,'Customer Info'!A1166:I1666,3,FALSE)</f>
        <v>#N/A</v>
      </c>
      <c r="I1174" s="6" t="e">
        <f>VLOOKUP('Customer Info'!A1166,'Customer Info'!A1166:I1665,5,FALSE)</f>
        <v>#N/A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909</v>
      </c>
      <c r="R1174" s="2" t="s">
        <v>28</v>
      </c>
      <c r="S1174" s="9">
        <f t="shared" si="94"/>
        <v>0.05</v>
      </c>
    </row>
    <row r="1175" spans="1:19" x14ac:dyDescent="0.25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e">
        <f>VLOOKUP('Customer Info'!A1167,'Customer Info'!A1167:I1666,2,FALSE)</f>
        <v>#N/A</v>
      </c>
      <c r="H1175" s="6" t="e">
        <f>VLOOKUP('Customer Info'!A1167,'Customer Info'!A1167:I1667,3,FALSE)</f>
        <v>#N/A</v>
      </c>
      <c r="I1175" s="6" t="e">
        <f>VLOOKUP('Customer Info'!A1167,'Customer Info'!A1167:I1666,5,FALSE)</f>
        <v>#N/A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362</v>
      </c>
      <c r="R1175" s="2" t="s">
        <v>28</v>
      </c>
      <c r="S1175" s="9">
        <f t="shared" si="94"/>
        <v>0.02</v>
      </c>
    </row>
    <row r="1176" spans="1:19" x14ac:dyDescent="0.25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e">
        <f>VLOOKUP('Customer Info'!A1168,'Customer Info'!A1168:I1667,2,FALSE)</f>
        <v>#N/A</v>
      </c>
      <c r="H1176" s="6" t="e">
        <f>VLOOKUP('Customer Info'!A1168,'Customer Info'!A1168:I1668,3,FALSE)</f>
        <v>#N/A</v>
      </c>
      <c r="I1176" s="6" t="e">
        <f>VLOOKUP('Customer Info'!A1168,'Customer Info'!A1168:I1667,5,FALSE)</f>
        <v>#N/A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3603</v>
      </c>
      <c r="R1176" s="2" t="s">
        <v>26</v>
      </c>
      <c r="S1176" s="9">
        <f t="shared" si="94"/>
        <v>7.0000000000000007E-2</v>
      </c>
    </row>
    <row r="1177" spans="1:19" x14ac:dyDescent="0.25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e">
        <f>VLOOKUP('Customer Info'!A1169,'Customer Info'!A1169:I1668,2,FALSE)</f>
        <v>#N/A</v>
      </c>
      <c r="H1177" s="6" t="e">
        <f>VLOOKUP('Customer Info'!A1169,'Customer Info'!A1169:I1669,3,FALSE)</f>
        <v>#N/A</v>
      </c>
      <c r="I1177" s="6" t="e">
        <f>VLOOKUP('Customer Info'!A1169,'Customer Info'!A1169:I1668,5,FALSE)</f>
        <v>#N/A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422</v>
      </c>
      <c r="R1177" s="2" t="s">
        <v>28</v>
      </c>
      <c r="S1177" s="9">
        <f t="shared" si="94"/>
        <v>0.05</v>
      </c>
    </row>
    <row r="1178" spans="1:19" x14ac:dyDescent="0.25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e">
        <f>VLOOKUP('Customer Info'!A1170,'Customer Info'!A1170:I1669,2,FALSE)</f>
        <v>#N/A</v>
      </c>
      <c r="H1178" s="6" t="e">
        <f>VLOOKUP('Customer Info'!A1170,'Customer Info'!A1170:I1670,3,FALSE)</f>
        <v>#N/A</v>
      </c>
      <c r="I1178" s="6" t="e">
        <f>VLOOKUP('Customer Info'!A1170,'Customer Info'!A1170:I1669,5,FALSE)</f>
        <v>#N/A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611</v>
      </c>
      <c r="R1178" s="2" t="s">
        <v>28</v>
      </c>
      <c r="S1178" s="9">
        <f t="shared" si="94"/>
        <v>0.05</v>
      </c>
    </row>
    <row r="1179" spans="1:19" x14ac:dyDescent="0.25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e">
        <f>VLOOKUP('Customer Info'!A1171,'Customer Info'!A1171:I1670,2,FALSE)</f>
        <v>#N/A</v>
      </c>
      <c r="H1179" s="6" t="e">
        <f>VLOOKUP('Customer Info'!A1171,'Customer Info'!A1171:I1671,3,FALSE)</f>
        <v>#N/A</v>
      </c>
      <c r="I1179" s="6" t="e">
        <f>VLOOKUP('Customer Info'!A1171,'Customer Info'!A1171:I1670,5,FALSE)</f>
        <v>#N/A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1194</v>
      </c>
      <c r="R1179" s="2" t="s">
        <v>28</v>
      </c>
      <c r="S1179" s="9">
        <f t="shared" si="94"/>
        <v>0.05</v>
      </c>
    </row>
    <row r="1180" spans="1:19" x14ac:dyDescent="0.25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e">
        <f>VLOOKUP('Customer Info'!A1172,'Customer Info'!A1172:I1671,2,FALSE)</f>
        <v>#N/A</v>
      </c>
      <c r="H1180" s="6" t="e">
        <f>VLOOKUP('Customer Info'!A1172,'Customer Info'!A1172:I1672,3,FALSE)</f>
        <v>#N/A</v>
      </c>
      <c r="I1180" s="6" t="e">
        <f>VLOOKUP('Customer Info'!A1172,'Customer Info'!A1172:I1671,5,FALSE)</f>
        <v>#N/A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201</v>
      </c>
      <c r="R1180" s="2" t="s">
        <v>50</v>
      </c>
      <c r="S1180" s="9">
        <f t="shared" si="94"/>
        <v>0.02</v>
      </c>
    </row>
    <row r="1181" spans="1:19" x14ac:dyDescent="0.25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e">
        <f>VLOOKUP('Customer Info'!A1173,'Customer Info'!A1173:I1672,2,FALSE)</f>
        <v>#N/A</v>
      </c>
      <c r="H1181" s="6" t="e">
        <f>VLOOKUP('Customer Info'!A1173,'Customer Info'!A1173:I1673,3,FALSE)</f>
        <v>#N/A</v>
      </c>
      <c r="I1181" s="6" t="e">
        <f>VLOOKUP('Customer Info'!A1173,'Customer Info'!A1173:I1672,5,FALSE)</f>
        <v>#N/A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145</v>
      </c>
      <c r="R1181" s="2" t="s">
        <v>28</v>
      </c>
      <c r="S1181" s="9">
        <f t="shared" si="94"/>
        <v>0.02</v>
      </c>
    </row>
    <row r="1182" spans="1:19" x14ac:dyDescent="0.25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e">
        <f>VLOOKUP('Customer Info'!A1174,'Customer Info'!A1174:I1673,2,FALSE)</f>
        <v>#N/A</v>
      </c>
      <c r="H1182" s="6" t="e">
        <f>VLOOKUP('Customer Info'!A1174,'Customer Info'!A1174:I1674,3,FALSE)</f>
        <v>#N/A</v>
      </c>
      <c r="I1182" s="6" t="e">
        <f>VLOOKUP('Customer Info'!A1174,'Customer Info'!A1174:I1673,5,FALSE)</f>
        <v>#N/A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48</v>
      </c>
      <c r="R1182" s="2" t="s">
        <v>50</v>
      </c>
      <c r="S1182" s="9">
        <f t="shared" si="94"/>
        <v>0.02</v>
      </c>
    </row>
    <row r="1183" spans="1:19" x14ac:dyDescent="0.25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e">
        <f>VLOOKUP('Customer Info'!A1175,'Customer Info'!A1175:I1674,2,FALSE)</f>
        <v>#N/A</v>
      </c>
      <c r="H1183" s="6" t="e">
        <f>VLOOKUP('Customer Info'!A1175,'Customer Info'!A1175:I1675,3,FALSE)</f>
        <v>#N/A</v>
      </c>
      <c r="I1183" s="6" t="e">
        <f>VLOOKUP('Customer Info'!A1175,'Customer Info'!A1175:I1674,5,FALSE)</f>
        <v>#N/A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456</v>
      </c>
      <c r="R1183" s="2" t="s">
        <v>56</v>
      </c>
      <c r="S1183" s="9">
        <f t="shared" si="94"/>
        <v>0.05</v>
      </c>
    </row>
    <row r="1184" spans="1:19" x14ac:dyDescent="0.25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e">
        <f>VLOOKUP('Customer Info'!A1176,'Customer Info'!A1176:I1675,2,FALSE)</f>
        <v>#N/A</v>
      </c>
      <c r="H1184" s="6" t="e">
        <f>VLOOKUP('Customer Info'!A1176,'Customer Info'!A1176:I1676,3,FALSE)</f>
        <v>#N/A</v>
      </c>
      <c r="I1184" s="6" t="e">
        <f>VLOOKUP('Customer Info'!A1176,'Customer Info'!A1176:I1675,5,FALSE)</f>
        <v>#N/A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95</v>
      </c>
      <c r="R1184" s="2" t="s">
        <v>50</v>
      </c>
      <c r="S1184" s="9">
        <f t="shared" si="94"/>
        <v>0.02</v>
      </c>
    </row>
    <row r="1185" spans="1:19" x14ac:dyDescent="0.25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e">
        <f>VLOOKUP('Customer Info'!A1177,'Customer Info'!A1177:I1676,2,FALSE)</f>
        <v>#N/A</v>
      </c>
      <c r="H1185" s="6" t="e">
        <f>VLOOKUP('Customer Info'!A1177,'Customer Info'!A1177:I1677,3,FALSE)</f>
        <v>#N/A</v>
      </c>
      <c r="I1185" s="6" t="e">
        <f>VLOOKUP('Customer Info'!A1177,'Customer Info'!A1177:I1676,5,FALSE)</f>
        <v>#N/A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31</v>
      </c>
      <c r="R1185" s="2" t="s">
        <v>56</v>
      </c>
      <c r="S1185" s="9">
        <f t="shared" si="94"/>
        <v>0.02</v>
      </c>
    </row>
    <row r="1186" spans="1:19" x14ac:dyDescent="0.25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e">
        <f>VLOOKUP('Customer Info'!A1178,'Customer Info'!A1178:I1677,2,FALSE)</f>
        <v>#N/A</v>
      </c>
      <c r="H1186" s="6" t="e">
        <f>VLOOKUP('Customer Info'!A1178,'Customer Info'!A1178:I1678,3,FALSE)</f>
        <v>#N/A</v>
      </c>
      <c r="I1186" s="6" t="e">
        <f>VLOOKUP('Customer Info'!A1178,'Customer Info'!A1178:I1677,5,FALSE)</f>
        <v>#N/A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437</v>
      </c>
      <c r="R1186" s="2" t="s">
        <v>50</v>
      </c>
      <c r="S1186" s="9">
        <f t="shared" si="94"/>
        <v>0.02</v>
      </c>
    </row>
    <row r="1187" spans="1:19" x14ac:dyDescent="0.25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e">
        <f>VLOOKUP('Customer Info'!A1179,'Customer Info'!A1179:I1678,2,FALSE)</f>
        <v>#N/A</v>
      </c>
      <c r="H1187" s="6" t="e">
        <f>VLOOKUP('Customer Info'!A1179,'Customer Info'!A1179:I1679,3,FALSE)</f>
        <v>#N/A</v>
      </c>
      <c r="I1187" s="6" t="e">
        <f>VLOOKUP('Customer Info'!A1179,'Customer Info'!A1179:I1678,5,FALSE)</f>
        <v>#N/A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618</v>
      </c>
      <c r="R1187" s="2" t="s">
        <v>28</v>
      </c>
      <c r="S1187" s="9">
        <f t="shared" si="94"/>
        <v>0.02</v>
      </c>
    </row>
    <row r="1188" spans="1:19" x14ac:dyDescent="0.25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e">
        <f>VLOOKUP('Customer Info'!A1180,'Customer Info'!A1180:I1679,2,FALSE)</f>
        <v>#N/A</v>
      </c>
      <c r="H1188" s="6" t="e">
        <f>VLOOKUP('Customer Info'!A1180,'Customer Info'!A1180:I1680,3,FALSE)</f>
        <v>#N/A</v>
      </c>
      <c r="I1188" s="6" t="e">
        <f>VLOOKUP('Customer Info'!A1180,'Customer Info'!A1180:I1679,5,FALSE)</f>
        <v>#N/A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1035</v>
      </c>
      <c r="R1188" s="2" t="s">
        <v>50</v>
      </c>
      <c r="S1188" s="9">
        <f t="shared" si="94"/>
        <v>0.05</v>
      </c>
    </row>
    <row r="1189" spans="1:19" x14ac:dyDescent="0.25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e">
        <f>VLOOKUP('Customer Info'!A1181,'Customer Info'!A1181:I1680,2,FALSE)</f>
        <v>#N/A</v>
      </c>
      <c r="H1189" s="6" t="e">
        <f>VLOOKUP('Customer Info'!A1181,'Customer Info'!A1181:I1681,3,FALSE)</f>
        <v>#N/A</v>
      </c>
      <c r="I1189" s="6" t="e">
        <f>VLOOKUP('Customer Info'!A1181,'Customer Info'!A1181:I1680,5,FALSE)</f>
        <v>#N/A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74</v>
      </c>
      <c r="R1189" s="2" t="s">
        <v>50</v>
      </c>
      <c r="S1189" s="9">
        <f t="shared" si="94"/>
        <v>0.02</v>
      </c>
    </row>
    <row r="1190" spans="1:19" x14ac:dyDescent="0.25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e">
        <f>VLOOKUP('Customer Info'!A1182,'Customer Info'!A1182:I1681,2,FALSE)</f>
        <v>#N/A</v>
      </c>
      <c r="H1190" s="6" t="e">
        <f>VLOOKUP('Customer Info'!A1182,'Customer Info'!A1182:I1682,3,FALSE)</f>
        <v>#N/A</v>
      </c>
      <c r="I1190" s="6" t="e">
        <f>VLOOKUP('Customer Info'!A1182,'Customer Info'!A1182:I1681,5,FALSE)</f>
        <v>#N/A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640</v>
      </c>
      <c r="R1190" s="2" t="s">
        <v>56</v>
      </c>
      <c r="S1190" s="9">
        <f t="shared" si="94"/>
        <v>0.05</v>
      </c>
    </row>
    <row r="1191" spans="1:19" x14ac:dyDescent="0.25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e">
        <f>VLOOKUP('Customer Info'!A1183,'Customer Info'!A1183:I1682,2,FALSE)</f>
        <v>#N/A</v>
      </c>
      <c r="H1191" s="6" t="e">
        <f>VLOOKUP('Customer Info'!A1183,'Customer Info'!A1183:I1683,3,FALSE)</f>
        <v>#N/A</v>
      </c>
      <c r="I1191" s="6" t="e">
        <f>VLOOKUP('Customer Info'!A1183,'Customer Info'!A1183:I1682,5,FALSE)</f>
        <v>#N/A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177</v>
      </c>
      <c r="R1191" s="2" t="s">
        <v>50</v>
      </c>
      <c r="S1191" s="9">
        <f t="shared" si="94"/>
        <v>0.02</v>
      </c>
    </row>
    <row r="1192" spans="1:19" x14ac:dyDescent="0.25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e">
        <f>VLOOKUP('Customer Info'!A1184,'Customer Info'!A1184:I1683,2,FALSE)</f>
        <v>#N/A</v>
      </c>
      <c r="H1192" s="6" t="e">
        <f>VLOOKUP('Customer Info'!A1184,'Customer Info'!A1184:I1684,3,FALSE)</f>
        <v>#N/A</v>
      </c>
      <c r="I1192" s="6" t="e">
        <f>VLOOKUP('Customer Info'!A1184,'Customer Info'!A1184:I1683,5,FALSE)</f>
        <v>#N/A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43</v>
      </c>
      <c r="R1192" s="2" t="s">
        <v>28</v>
      </c>
      <c r="S1192" s="9">
        <f t="shared" si="94"/>
        <v>0.02</v>
      </c>
    </row>
    <row r="1193" spans="1:19" x14ac:dyDescent="0.25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e">
        <f>VLOOKUP('Customer Info'!A1185,'Customer Info'!A1185:I1684,2,FALSE)</f>
        <v>#N/A</v>
      </c>
      <c r="H1193" s="6" t="e">
        <f>VLOOKUP('Customer Info'!A1185,'Customer Info'!A1185:I1685,3,FALSE)</f>
        <v>#N/A</v>
      </c>
      <c r="I1193" s="6" t="e">
        <f>VLOOKUP('Customer Info'!A1185,'Customer Info'!A1185:I1684,5,FALSE)</f>
        <v>#N/A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209</v>
      </c>
      <c r="R1193" s="2" t="s">
        <v>28</v>
      </c>
      <c r="S1193" s="9">
        <f t="shared" si="94"/>
        <v>0.02</v>
      </c>
    </row>
    <row r="1194" spans="1:19" x14ac:dyDescent="0.25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e">
        <f>VLOOKUP('Customer Info'!A1186,'Customer Info'!A1186:I1685,2,FALSE)</f>
        <v>#N/A</v>
      </c>
      <c r="H1194" s="6" t="e">
        <f>VLOOKUP('Customer Info'!A1186,'Customer Info'!A1186:I1686,3,FALSE)</f>
        <v>#N/A</v>
      </c>
      <c r="I1194" s="6" t="e">
        <f>VLOOKUP('Customer Info'!A1186,'Customer Info'!A1186:I1685,5,FALSE)</f>
        <v>#N/A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248</v>
      </c>
      <c r="R1194" s="2" t="s">
        <v>50</v>
      </c>
      <c r="S1194" s="9">
        <f t="shared" si="94"/>
        <v>0.02</v>
      </c>
    </row>
    <row r="1195" spans="1:19" x14ac:dyDescent="0.25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e">
        <f>VLOOKUP('Customer Info'!A1187,'Customer Info'!A1187:I1686,2,FALSE)</f>
        <v>#N/A</v>
      </c>
      <c r="H1195" s="6" t="e">
        <f>VLOOKUP('Customer Info'!A1187,'Customer Info'!A1187:I1687,3,FALSE)</f>
        <v>#N/A</v>
      </c>
      <c r="I1195" s="6" t="e">
        <f>VLOOKUP('Customer Info'!A1187,'Customer Info'!A1187:I1686,5,FALSE)</f>
        <v>#N/A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134</v>
      </c>
      <c r="R1195" s="2" t="s">
        <v>28</v>
      </c>
      <c r="S1195" s="9">
        <f t="shared" si="94"/>
        <v>0.02</v>
      </c>
    </row>
    <row r="1196" spans="1:19" x14ac:dyDescent="0.25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e">
        <f>VLOOKUP('Customer Info'!A1188,'Customer Info'!A1188:I1687,2,FALSE)</f>
        <v>#N/A</v>
      </c>
      <c r="H1196" s="6" t="e">
        <f>VLOOKUP('Customer Info'!A1188,'Customer Info'!A1188:I1688,3,FALSE)</f>
        <v>#N/A</v>
      </c>
      <c r="I1196" s="6" t="e">
        <f>VLOOKUP('Customer Info'!A1188,'Customer Info'!A1188:I1687,5,FALSE)</f>
        <v>#N/A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1053</v>
      </c>
      <c r="R1196" s="2" t="s">
        <v>28</v>
      </c>
      <c r="S1196" s="9">
        <f t="shared" si="94"/>
        <v>0.05</v>
      </c>
    </row>
    <row r="1197" spans="1:19" x14ac:dyDescent="0.25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e">
        <f>VLOOKUP('Customer Info'!A1189,'Customer Info'!A1189:I1688,2,FALSE)</f>
        <v>#N/A</v>
      </c>
      <c r="H1197" s="6" t="e">
        <f>VLOOKUP('Customer Info'!A1189,'Customer Info'!A1189:I1689,3,FALSE)</f>
        <v>#N/A</v>
      </c>
      <c r="I1197" s="6" t="e">
        <f>VLOOKUP('Customer Info'!A1189,'Customer Info'!A1189:I1688,5,FALSE)</f>
        <v>#N/A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403</v>
      </c>
      <c r="R1197" s="2" t="s">
        <v>50</v>
      </c>
      <c r="S1197" s="9">
        <f t="shared" si="94"/>
        <v>0.05</v>
      </c>
    </row>
    <row r="1198" spans="1:19" x14ac:dyDescent="0.25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e">
        <f>VLOOKUP('Customer Info'!A1190,'Customer Info'!A1190:I1689,2,FALSE)</f>
        <v>#N/A</v>
      </c>
      <c r="H1198" s="6" t="e">
        <f>VLOOKUP('Customer Info'!A1190,'Customer Info'!A1190:I1690,3,FALSE)</f>
        <v>#N/A</v>
      </c>
      <c r="I1198" s="6" t="e">
        <f>VLOOKUP('Customer Info'!A1190,'Customer Info'!A1190:I1689,5,FALSE)</f>
        <v>#N/A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2771</v>
      </c>
      <c r="R1198" s="2" t="s">
        <v>28</v>
      </c>
      <c r="S1198" s="9">
        <f t="shared" si="94"/>
        <v>7.0000000000000007E-2</v>
      </c>
    </row>
    <row r="1199" spans="1:19" x14ac:dyDescent="0.25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e">
        <f>VLOOKUP('Customer Info'!A1191,'Customer Info'!A1191:I1690,2,FALSE)</f>
        <v>#N/A</v>
      </c>
      <c r="H1199" s="6" t="e">
        <f>VLOOKUP('Customer Info'!A1191,'Customer Info'!A1191:I1691,3,FALSE)</f>
        <v>#N/A</v>
      </c>
      <c r="I1199" s="6" t="e">
        <f>VLOOKUP('Customer Info'!A1191,'Customer Info'!A1191:I1690,5,FALSE)</f>
        <v>#N/A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671</v>
      </c>
      <c r="R1199" s="2" t="s">
        <v>50</v>
      </c>
      <c r="S1199" s="9">
        <f t="shared" si="94"/>
        <v>0.05</v>
      </c>
    </row>
    <row r="1200" spans="1:19" x14ac:dyDescent="0.25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e">
        <f>VLOOKUP('Customer Info'!A1192,'Customer Info'!A1192:I1691,2,FALSE)</f>
        <v>#N/A</v>
      </c>
      <c r="H1200" s="6" t="e">
        <f>VLOOKUP('Customer Info'!A1192,'Customer Info'!A1192:I1692,3,FALSE)</f>
        <v>#N/A</v>
      </c>
      <c r="I1200" s="6" t="e">
        <f>VLOOKUP('Customer Info'!A1192,'Customer Info'!A1192:I1691,5,FALSE)</f>
        <v>#N/A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293</v>
      </c>
      <c r="R1200" s="2" t="s">
        <v>28</v>
      </c>
      <c r="S1200" s="9">
        <f t="shared" si="94"/>
        <v>0.05</v>
      </c>
    </row>
    <row r="1201" spans="1:19" x14ac:dyDescent="0.25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e">
        <f>VLOOKUP('Customer Info'!A1193,'Customer Info'!A1193:I1692,2,FALSE)</f>
        <v>#N/A</v>
      </c>
      <c r="H1201" s="6" t="e">
        <f>VLOOKUP('Customer Info'!A1193,'Customer Info'!A1193:I1693,3,FALSE)</f>
        <v>#N/A</v>
      </c>
      <c r="I1201" s="6" t="e">
        <f>VLOOKUP('Customer Info'!A1193,'Customer Info'!A1193:I1692,5,FALSE)</f>
        <v>#N/A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618</v>
      </c>
      <c r="R1201" s="2" t="s">
        <v>50</v>
      </c>
      <c r="S1201" s="9">
        <f t="shared" si="94"/>
        <v>0.05</v>
      </c>
    </row>
    <row r="1202" spans="1:19" x14ac:dyDescent="0.25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e">
        <f>VLOOKUP('Customer Info'!A1194,'Customer Info'!A1194:I1693,2,FALSE)</f>
        <v>#N/A</v>
      </c>
      <c r="H1202" s="6" t="e">
        <f>VLOOKUP('Customer Info'!A1194,'Customer Info'!A1194:I1694,3,FALSE)</f>
        <v>#N/A</v>
      </c>
      <c r="I1202" s="6" t="e">
        <f>VLOOKUP('Customer Info'!A1194,'Customer Info'!A1194:I1693,5,FALSE)</f>
        <v>#N/A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50</v>
      </c>
      <c r="R1202" s="2" t="s">
        <v>28</v>
      </c>
      <c r="S1202" s="9">
        <f t="shared" si="94"/>
        <v>0.02</v>
      </c>
    </row>
    <row r="1203" spans="1:19" x14ac:dyDescent="0.25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e">
        <f>VLOOKUP('Customer Info'!A1195,'Customer Info'!A1195:I1694,2,FALSE)</f>
        <v>#N/A</v>
      </c>
      <c r="H1203" s="6" t="e">
        <f>VLOOKUP('Customer Info'!A1195,'Customer Info'!A1195:I1695,3,FALSE)</f>
        <v>#N/A</v>
      </c>
      <c r="I1203" s="6" t="e">
        <f>VLOOKUP('Customer Info'!A1195,'Customer Info'!A1195:I1694,5,FALSE)</f>
        <v>#N/A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1246</v>
      </c>
      <c r="R1203" s="2" t="s">
        <v>28</v>
      </c>
      <c r="S1203" s="9">
        <f t="shared" si="94"/>
        <v>0.05</v>
      </c>
    </row>
    <row r="1204" spans="1:19" x14ac:dyDescent="0.25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e">
        <f>VLOOKUP('Customer Info'!A1196,'Customer Info'!A1196:I1695,2,FALSE)</f>
        <v>#N/A</v>
      </c>
      <c r="H1204" s="6" t="e">
        <f>VLOOKUP('Customer Info'!A1196,'Customer Info'!A1196:I1696,3,FALSE)</f>
        <v>#N/A</v>
      </c>
      <c r="I1204" s="6" t="e">
        <f>VLOOKUP('Customer Info'!A1196,'Customer Info'!A1196:I1695,5,FALSE)</f>
        <v>#N/A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680</v>
      </c>
      <c r="R1204" s="2" t="s">
        <v>28</v>
      </c>
      <c r="S1204" s="9">
        <f t="shared" si="94"/>
        <v>0.05</v>
      </c>
    </row>
    <row r="1205" spans="1:19" x14ac:dyDescent="0.25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e">
        <f>VLOOKUP('Customer Info'!A1197,'Customer Info'!A1197:I1696,2,FALSE)</f>
        <v>#N/A</v>
      </c>
      <c r="H1205" s="6" t="e">
        <f>VLOOKUP('Customer Info'!A1197,'Customer Info'!A1197:I1697,3,FALSE)</f>
        <v>#N/A</v>
      </c>
      <c r="I1205" s="6" t="e">
        <f>VLOOKUP('Customer Info'!A1197,'Customer Info'!A1197:I1696,5,FALSE)</f>
        <v>#N/A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1118</v>
      </c>
      <c r="R1205" s="2" t="s">
        <v>50</v>
      </c>
      <c r="S1205" s="9">
        <f t="shared" si="94"/>
        <v>0.05</v>
      </c>
    </row>
    <row r="1206" spans="1:19" x14ac:dyDescent="0.25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e">
        <f>VLOOKUP('Customer Info'!A1198,'Customer Info'!A1198:I1697,2,FALSE)</f>
        <v>#N/A</v>
      </c>
      <c r="H1206" s="6" t="e">
        <f>VLOOKUP('Customer Info'!A1198,'Customer Info'!A1198:I1698,3,FALSE)</f>
        <v>#N/A</v>
      </c>
      <c r="I1206" s="6" t="e">
        <f>VLOOKUP('Customer Info'!A1198,'Customer Info'!A1198:I1697,5,FALSE)</f>
        <v>#N/A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1222</v>
      </c>
      <c r="R1206" s="2" t="s">
        <v>50</v>
      </c>
      <c r="S1206" s="9">
        <f t="shared" si="94"/>
        <v>0.05</v>
      </c>
    </row>
    <row r="1207" spans="1:19" x14ac:dyDescent="0.25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e">
        <f>VLOOKUP('Customer Info'!A1199,'Customer Info'!A1199:I1698,2,FALSE)</f>
        <v>#N/A</v>
      </c>
      <c r="H1207" s="6" t="e">
        <f>VLOOKUP('Customer Info'!A1199,'Customer Info'!A1199:I1699,3,FALSE)</f>
        <v>#N/A</v>
      </c>
      <c r="I1207" s="6" t="e">
        <f>VLOOKUP('Customer Info'!A1199,'Customer Info'!A1199:I1698,5,FALSE)</f>
        <v>#N/A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660</v>
      </c>
      <c r="R1207" s="2" t="s">
        <v>50</v>
      </c>
      <c r="S1207" s="9">
        <f t="shared" si="94"/>
        <v>0.05</v>
      </c>
    </row>
    <row r="1208" spans="1:19" x14ac:dyDescent="0.25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e">
        <f>VLOOKUP('Customer Info'!A1200,'Customer Info'!A1200:I1699,2,FALSE)</f>
        <v>#N/A</v>
      </c>
      <c r="H1208" s="6" t="e">
        <f>VLOOKUP('Customer Info'!A1200,'Customer Info'!A1200:I1700,3,FALSE)</f>
        <v>#N/A</v>
      </c>
      <c r="I1208" s="6" t="e">
        <f>VLOOKUP('Customer Info'!A1200,'Customer Info'!A1200:I1699,5,FALSE)</f>
        <v>#N/A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516</v>
      </c>
      <c r="R1208" s="2" t="s">
        <v>28</v>
      </c>
      <c r="S1208" s="9">
        <f t="shared" si="94"/>
        <v>0.05</v>
      </c>
    </row>
    <row r="1209" spans="1:19" x14ac:dyDescent="0.25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e">
        <f>VLOOKUP('Customer Info'!A1201,'Customer Info'!A1201:I1700,2,FALSE)</f>
        <v>#N/A</v>
      </c>
      <c r="H1209" s="6" t="e">
        <f>VLOOKUP('Customer Info'!A1201,'Customer Info'!A1201:I1701,3,FALSE)</f>
        <v>#N/A</v>
      </c>
      <c r="I1209" s="6" t="e">
        <f>VLOOKUP('Customer Info'!A1201,'Customer Info'!A1201:I1700,5,FALSE)</f>
        <v>#N/A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192</v>
      </c>
      <c r="R1209" s="2" t="s">
        <v>50</v>
      </c>
      <c r="S1209" s="9">
        <f t="shared" si="94"/>
        <v>0.02</v>
      </c>
    </row>
    <row r="1210" spans="1:19" x14ac:dyDescent="0.25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e">
        <f>VLOOKUP('Customer Info'!A1202,'Customer Info'!A1202:I1701,2,FALSE)</f>
        <v>#N/A</v>
      </c>
      <c r="H1210" s="6" t="e">
        <f>VLOOKUP('Customer Info'!A1202,'Customer Info'!A1202:I1702,3,FALSE)</f>
        <v>#N/A</v>
      </c>
      <c r="I1210" s="6" t="e">
        <f>VLOOKUP('Customer Info'!A1202,'Customer Info'!A1202:I1701,5,FALSE)</f>
        <v>#N/A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267</v>
      </c>
      <c r="R1210" s="2" t="s">
        <v>50</v>
      </c>
      <c r="S1210" s="9">
        <f t="shared" si="94"/>
        <v>0.02</v>
      </c>
    </row>
    <row r="1211" spans="1:19" x14ac:dyDescent="0.25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e">
        <f>VLOOKUP('Customer Info'!A1203,'Customer Info'!A1203:I1702,2,FALSE)</f>
        <v>#N/A</v>
      </c>
      <c r="H1211" s="6" t="e">
        <f>VLOOKUP('Customer Info'!A1203,'Customer Info'!A1203:I1703,3,FALSE)</f>
        <v>#N/A</v>
      </c>
      <c r="I1211" s="6" t="e">
        <f>VLOOKUP('Customer Info'!A1203,'Customer Info'!A1203:I1702,5,FALSE)</f>
        <v>#N/A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149</v>
      </c>
      <c r="R1211" s="2" t="s">
        <v>56</v>
      </c>
      <c r="S1211" s="9">
        <f t="shared" si="94"/>
        <v>0.02</v>
      </c>
    </row>
    <row r="1212" spans="1:19" x14ac:dyDescent="0.25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e">
        <f>VLOOKUP('Customer Info'!A1204,'Customer Info'!A1204:I1703,2,FALSE)</f>
        <v>#N/A</v>
      </c>
      <c r="H1212" s="6" t="e">
        <f>VLOOKUP('Customer Info'!A1204,'Customer Info'!A1204:I1704,3,FALSE)</f>
        <v>#N/A</v>
      </c>
      <c r="I1212" s="6" t="e">
        <f>VLOOKUP('Customer Info'!A1204,'Customer Info'!A1204:I1703,5,FALSE)</f>
        <v>#N/A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167</v>
      </c>
      <c r="R1212" s="2" t="s">
        <v>28</v>
      </c>
      <c r="S1212" s="9">
        <f t="shared" si="94"/>
        <v>0.05</v>
      </c>
    </row>
    <row r="1213" spans="1:19" x14ac:dyDescent="0.25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e">
        <f>VLOOKUP('Customer Info'!A1205,'Customer Info'!A1205:I1704,2,FALSE)</f>
        <v>#N/A</v>
      </c>
      <c r="H1213" s="6" t="e">
        <f>VLOOKUP('Customer Info'!A1205,'Customer Info'!A1205:I1705,3,FALSE)</f>
        <v>#N/A</v>
      </c>
      <c r="I1213" s="6" t="e">
        <f>VLOOKUP('Customer Info'!A1205,'Customer Info'!A1205:I1704,5,FALSE)</f>
        <v>#N/A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1180</v>
      </c>
      <c r="R1213" s="2" t="s">
        <v>28</v>
      </c>
      <c r="S1213" s="9">
        <f t="shared" si="94"/>
        <v>0.05</v>
      </c>
    </row>
    <row r="1214" spans="1:19" x14ac:dyDescent="0.25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e">
        <f>VLOOKUP('Customer Info'!A1206,'Customer Info'!A1206:I1705,2,FALSE)</f>
        <v>#N/A</v>
      </c>
      <c r="H1214" s="6" t="e">
        <f>VLOOKUP('Customer Info'!A1206,'Customer Info'!A1206:I1706,3,FALSE)</f>
        <v>#N/A</v>
      </c>
      <c r="I1214" s="6" t="e">
        <f>VLOOKUP('Customer Info'!A1206,'Customer Info'!A1206:I1705,5,FALSE)</f>
        <v>#N/A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3602</v>
      </c>
      <c r="R1214" s="2" t="s">
        <v>28</v>
      </c>
      <c r="S1214" s="9">
        <f t="shared" si="94"/>
        <v>7.0000000000000007E-2</v>
      </c>
    </row>
    <row r="1215" spans="1:19" x14ac:dyDescent="0.25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e">
        <f>VLOOKUP('Customer Info'!A1207,'Customer Info'!A1207:I1706,2,FALSE)</f>
        <v>#N/A</v>
      </c>
      <c r="H1215" s="6" t="e">
        <f>VLOOKUP('Customer Info'!A1207,'Customer Info'!A1207:I1707,3,FALSE)</f>
        <v>#N/A</v>
      </c>
      <c r="I1215" s="6" t="e">
        <f>VLOOKUP('Customer Info'!A1207,'Customer Info'!A1207:I1706,5,FALSE)</f>
        <v>#N/A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481</v>
      </c>
      <c r="R1215" s="2" t="s">
        <v>28</v>
      </c>
      <c r="S1215" s="9">
        <f t="shared" si="94"/>
        <v>0.05</v>
      </c>
    </row>
    <row r="1216" spans="1:19" x14ac:dyDescent="0.25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e">
        <f>VLOOKUP('Customer Info'!A1208,'Customer Info'!A1208:I1707,2,FALSE)</f>
        <v>#N/A</v>
      </c>
      <c r="H1216" s="6" t="e">
        <f>VLOOKUP('Customer Info'!A1208,'Customer Info'!A1208:I1708,3,FALSE)</f>
        <v>#N/A</v>
      </c>
      <c r="I1216" s="6" t="e">
        <f>VLOOKUP('Customer Info'!A1208,'Customer Info'!A1208:I1707,5,FALSE)</f>
        <v>#N/A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88</v>
      </c>
      <c r="R1216" s="2" t="s">
        <v>50</v>
      </c>
      <c r="S1216" s="9">
        <f t="shared" si="94"/>
        <v>0.02</v>
      </c>
    </row>
    <row r="1217" spans="1:19" x14ac:dyDescent="0.25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e">
        <f>VLOOKUP('Customer Info'!A1209,'Customer Info'!A1209:I1708,2,FALSE)</f>
        <v>#N/A</v>
      </c>
      <c r="H1217" s="6" t="e">
        <f>VLOOKUP('Customer Info'!A1209,'Customer Info'!A1209:I1709,3,FALSE)</f>
        <v>#N/A</v>
      </c>
      <c r="I1217" s="6" t="e">
        <f>VLOOKUP('Customer Info'!A1209,'Customer Info'!A1209:I1708,5,FALSE)</f>
        <v>#N/A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124</v>
      </c>
      <c r="R1217" s="2" t="s">
        <v>26</v>
      </c>
      <c r="S1217" s="9">
        <f t="shared" si="94"/>
        <v>0.02</v>
      </c>
    </row>
    <row r="1218" spans="1:19" x14ac:dyDescent="0.25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e">
        <f>VLOOKUP('Customer Info'!A1210,'Customer Info'!A1210:I1709,2,FALSE)</f>
        <v>#N/A</v>
      </c>
      <c r="H1218" s="6" t="e">
        <f>VLOOKUP('Customer Info'!A1210,'Customer Info'!A1210:I1710,3,FALSE)</f>
        <v>#N/A</v>
      </c>
      <c r="I1218" s="6" t="e">
        <f>VLOOKUP('Customer Info'!A1210,'Customer Info'!A1210:I1709,5,FALSE)</f>
        <v>#N/A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26</v>
      </c>
      <c r="R1218" s="2" t="s">
        <v>50</v>
      </c>
      <c r="S1218" s="9">
        <f t="shared" si="94"/>
        <v>0.02</v>
      </c>
    </row>
    <row r="1219" spans="1:19" x14ac:dyDescent="0.25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e">
        <f>VLOOKUP('Customer Info'!A1211,'Customer Info'!A1211:I1710,2,FALSE)</f>
        <v>#N/A</v>
      </c>
      <c r="H1219" s="6" t="e">
        <f>VLOOKUP('Customer Info'!A1211,'Customer Info'!A1211:I1711,3,FALSE)</f>
        <v>#N/A</v>
      </c>
      <c r="I1219" s="6" t="e">
        <f>VLOOKUP('Customer Info'!A1211,'Customer Info'!A1211:I1710,5,FALSE)</f>
        <v>#N/A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296</v>
      </c>
      <c r="R1219" s="2" t="s">
        <v>28</v>
      </c>
      <c r="S1219" s="9">
        <f t="shared" si="94"/>
        <v>0.02</v>
      </c>
    </row>
    <row r="1220" spans="1:19" x14ac:dyDescent="0.25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e">
        <f>VLOOKUP('Customer Info'!A1212,'Customer Info'!A1212:I1711,2,FALSE)</f>
        <v>#N/A</v>
      </c>
      <c r="H1220" s="6" t="e">
        <f>VLOOKUP('Customer Info'!A1212,'Customer Info'!A1212:I1712,3,FALSE)</f>
        <v>#N/A</v>
      </c>
      <c r="I1220" s="6" t="e">
        <f>VLOOKUP('Customer Info'!A1212,'Customer Info'!A1212:I1711,5,FALSE)</f>
        <v>#N/A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1499</v>
      </c>
      <c r="R1220" s="2" t="s">
        <v>28</v>
      </c>
      <c r="S1220" s="9">
        <f t="shared" si="94"/>
        <v>7.0000000000000007E-2</v>
      </c>
    </row>
    <row r="1221" spans="1:19" x14ac:dyDescent="0.25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e">
        <f>VLOOKUP('Customer Info'!A1213,'Customer Info'!A1213:I1712,2,FALSE)</f>
        <v>#N/A</v>
      </c>
      <c r="H1221" s="6" t="e">
        <f>VLOOKUP('Customer Info'!A1213,'Customer Info'!A1213:I1713,3,FALSE)</f>
        <v>#N/A</v>
      </c>
      <c r="I1221" s="6" t="e">
        <f>VLOOKUP('Customer Info'!A1213,'Customer Info'!A1213:I1712,5,FALSE)</f>
        <v>#N/A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70</v>
      </c>
      <c r="R1221" s="2" t="s">
        <v>50</v>
      </c>
      <c r="S1221" s="9">
        <f t="shared" si="94"/>
        <v>0.02</v>
      </c>
    </row>
    <row r="1222" spans="1:19" x14ac:dyDescent="0.25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e">
        <f>VLOOKUP('Customer Info'!A1214,'Customer Info'!A1214:I1713,2,FALSE)</f>
        <v>#N/A</v>
      </c>
      <c r="H1222" s="6" t="e">
        <f>VLOOKUP('Customer Info'!A1214,'Customer Info'!A1214:I1714,3,FALSE)</f>
        <v>#N/A</v>
      </c>
      <c r="I1222" s="6" t="e">
        <f>VLOOKUP('Customer Info'!A1214,'Customer Info'!A1214:I1713,5,FALSE)</f>
        <v>#N/A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924</v>
      </c>
      <c r="R1222" s="2" t="s">
        <v>26</v>
      </c>
      <c r="S1222" s="9">
        <f t="shared" si="94"/>
        <v>0.05</v>
      </c>
    </row>
    <row r="1223" spans="1:19" x14ac:dyDescent="0.25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e">
        <f>VLOOKUP('Customer Info'!A1215,'Customer Info'!A1215:I1714,2,FALSE)</f>
        <v>#N/A</v>
      </c>
      <c r="H1223" s="6" t="e">
        <f>VLOOKUP('Customer Info'!A1215,'Customer Info'!A1215:I1715,3,FALSE)</f>
        <v>#N/A</v>
      </c>
      <c r="I1223" s="6" t="e">
        <f>VLOOKUP('Customer Info'!A1215,'Customer Info'!A1215:I1714,5,FALSE)</f>
        <v>#N/A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129</v>
      </c>
      <c r="R1223" s="2" t="s">
        <v>50</v>
      </c>
      <c r="S1223" s="9">
        <f t="shared" si="94"/>
        <v>0.02</v>
      </c>
    </row>
    <row r="1224" spans="1:19" x14ac:dyDescent="0.25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e">
        <f>VLOOKUP('Customer Info'!A1216,'Customer Info'!A1216:I1715,2,FALSE)</f>
        <v>#N/A</v>
      </c>
      <c r="H1224" s="6" t="e">
        <f>VLOOKUP('Customer Info'!A1216,'Customer Info'!A1216:I1716,3,FALSE)</f>
        <v>#N/A</v>
      </c>
      <c r="I1224" s="6" t="e">
        <f>VLOOKUP('Customer Info'!A1216,'Customer Info'!A1216:I1715,5,FALSE)</f>
        <v>#N/A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82</v>
      </c>
      <c r="R1224" s="2" t="s">
        <v>50</v>
      </c>
      <c r="S1224" s="9">
        <f t="shared" si="94"/>
        <v>0.02</v>
      </c>
    </row>
    <row r="1225" spans="1:19" x14ac:dyDescent="0.25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e">
        <f>VLOOKUP('Customer Info'!A1217,'Customer Info'!A1217:I1716,2,FALSE)</f>
        <v>#N/A</v>
      </c>
      <c r="H1225" s="6" t="e">
        <f>VLOOKUP('Customer Info'!A1217,'Customer Info'!A1217:I1717,3,FALSE)</f>
        <v>#N/A</v>
      </c>
      <c r="I1225" s="6" t="e">
        <f>VLOOKUP('Customer Info'!A1217,'Customer Info'!A1217:I1716,5,FALSE)</f>
        <v>#N/A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18</v>
      </c>
      <c r="R1225" s="2" t="s">
        <v>26</v>
      </c>
      <c r="S1225" s="9">
        <f t="shared" si="94"/>
        <v>0.02</v>
      </c>
    </row>
    <row r="1226" spans="1:19" x14ac:dyDescent="0.25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e">
        <f>VLOOKUP('Customer Info'!A1218,'Customer Info'!A1218:I1717,2,FALSE)</f>
        <v>#N/A</v>
      </c>
      <c r="H1226" s="6" t="e">
        <f>VLOOKUP('Customer Info'!A1218,'Customer Info'!A1218:I1718,3,FALSE)</f>
        <v>#N/A</v>
      </c>
      <c r="I1226" s="6" t="e">
        <f>VLOOKUP('Customer Info'!A1218,'Customer Info'!A1218:I1717,5,FALSE)</f>
        <v>#N/A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46</v>
      </c>
      <c r="R1226" s="2" t="s">
        <v>50</v>
      </c>
      <c r="S1226" s="9">
        <f t="shared" si="94"/>
        <v>0.02</v>
      </c>
    </row>
    <row r="1227" spans="1:19" x14ac:dyDescent="0.25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e">
        <f>VLOOKUP('Customer Info'!A1219,'Customer Info'!A1219:I1718,2,FALSE)</f>
        <v>#N/A</v>
      </c>
      <c r="H1227" s="6" t="e">
        <f>VLOOKUP('Customer Info'!A1219,'Customer Info'!A1219:I1719,3,FALSE)</f>
        <v>#N/A</v>
      </c>
      <c r="I1227" s="6" t="e">
        <f>VLOOKUP('Customer Info'!A1219,'Customer Info'!A1219:I1718,5,FALSE)</f>
        <v>#N/A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8">
        <f t="shared" ref="P1227:P1290" si="97">N1227+O1227</f>
        <v>1455</v>
      </c>
      <c r="Q1227" s="8">
        <f t="shared" ref="Q1227:Q1290" si="98">P1227-M1227</f>
        <v>147</v>
      </c>
      <c r="R1227" s="2" t="s">
        <v>50</v>
      </c>
      <c r="S1227" s="9">
        <f t="shared" ref="S1227:S1290" si="99">VLOOKUP(P1227,$T$2:$U$7,2,TRUE)</f>
        <v>0.02</v>
      </c>
    </row>
    <row r="1228" spans="1:19" x14ac:dyDescent="0.25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e">
        <f>VLOOKUP('Customer Info'!A1220,'Customer Info'!A1220:I1719,2,FALSE)</f>
        <v>#N/A</v>
      </c>
      <c r="H1228" s="6" t="e">
        <f>VLOOKUP('Customer Info'!A1220,'Customer Info'!A1220:I1720,3,FALSE)</f>
        <v>#N/A</v>
      </c>
      <c r="I1228" s="6" t="e">
        <f>VLOOKUP('Customer Info'!A1220,'Customer Info'!A1220:I1719,5,FALSE)</f>
        <v>#N/A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174</v>
      </c>
      <c r="R1228" s="2" t="s">
        <v>28</v>
      </c>
      <c r="S1228" s="9">
        <f t="shared" si="99"/>
        <v>0.02</v>
      </c>
    </row>
    <row r="1229" spans="1:19" x14ac:dyDescent="0.25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e">
        <f>VLOOKUP('Customer Info'!A1221,'Customer Info'!A1221:I1720,2,FALSE)</f>
        <v>#N/A</v>
      </c>
      <c r="H1229" s="6" t="e">
        <f>VLOOKUP('Customer Info'!A1221,'Customer Info'!A1221:I1721,3,FALSE)</f>
        <v>#N/A</v>
      </c>
      <c r="I1229" s="6" t="e">
        <f>VLOOKUP('Customer Info'!A1221,'Customer Info'!A1221:I1720,5,FALSE)</f>
        <v>#N/A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48</v>
      </c>
      <c r="R1229" s="2" t="s">
        <v>28</v>
      </c>
      <c r="S1229" s="9">
        <f t="shared" si="99"/>
        <v>0.02</v>
      </c>
    </row>
    <row r="1230" spans="1:19" x14ac:dyDescent="0.25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e">
        <f>VLOOKUP('Customer Info'!A1222,'Customer Info'!A1222:I1721,2,FALSE)</f>
        <v>#N/A</v>
      </c>
      <c r="H1230" s="6" t="e">
        <f>VLOOKUP('Customer Info'!A1222,'Customer Info'!A1222:I1722,3,FALSE)</f>
        <v>#N/A</v>
      </c>
      <c r="I1230" s="6" t="e">
        <f>VLOOKUP('Customer Info'!A1222,'Customer Info'!A1222:I1721,5,FALSE)</f>
        <v>#N/A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366</v>
      </c>
      <c r="R1230" s="2" t="s">
        <v>26</v>
      </c>
      <c r="S1230" s="9">
        <f t="shared" si="99"/>
        <v>0.05</v>
      </c>
    </row>
    <row r="1231" spans="1:19" x14ac:dyDescent="0.25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e">
        <f>VLOOKUP('Customer Info'!A1223,'Customer Info'!A1223:I1722,2,FALSE)</f>
        <v>#N/A</v>
      </c>
      <c r="H1231" s="6" t="e">
        <f>VLOOKUP('Customer Info'!A1223,'Customer Info'!A1223:I1723,3,FALSE)</f>
        <v>#N/A</v>
      </c>
      <c r="I1231" s="6" t="e">
        <f>VLOOKUP('Customer Info'!A1223,'Customer Info'!A1223:I1722,5,FALSE)</f>
        <v>#N/A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645</v>
      </c>
      <c r="R1231" s="2" t="s">
        <v>28</v>
      </c>
      <c r="S1231" s="9">
        <f t="shared" si="99"/>
        <v>0.05</v>
      </c>
    </row>
    <row r="1232" spans="1:19" x14ac:dyDescent="0.25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e">
        <f>VLOOKUP('Customer Info'!A1224,'Customer Info'!A1224:I1723,2,FALSE)</f>
        <v>#N/A</v>
      </c>
      <c r="H1232" s="6" t="e">
        <f>VLOOKUP('Customer Info'!A1224,'Customer Info'!A1224:I1724,3,FALSE)</f>
        <v>#N/A</v>
      </c>
      <c r="I1232" s="6" t="e">
        <f>VLOOKUP('Customer Info'!A1224,'Customer Info'!A1224:I1723,5,FALSE)</f>
        <v>#N/A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50</v>
      </c>
      <c r="R1232" s="2" t="s">
        <v>28</v>
      </c>
      <c r="S1232" s="9">
        <f t="shared" si="99"/>
        <v>0.02</v>
      </c>
    </row>
    <row r="1233" spans="1:19" x14ac:dyDescent="0.25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e">
        <f>VLOOKUP('Customer Info'!A1225,'Customer Info'!A1225:I1724,2,FALSE)</f>
        <v>#N/A</v>
      </c>
      <c r="H1233" s="6" t="e">
        <f>VLOOKUP('Customer Info'!A1225,'Customer Info'!A1225:I1725,3,FALSE)</f>
        <v>#N/A</v>
      </c>
      <c r="I1233" s="6" t="e">
        <f>VLOOKUP('Customer Info'!A1225,'Customer Info'!A1225:I1724,5,FALSE)</f>
        <v>#N/A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80</v>
      </c>
      <c r="R1233" s="2" t="s">
        <v>56</v>
      </c>
      <c r="S1233" s="9">
        <f t="shared" si="99"/>
        <v>0.02</v>
      </c>
    </row>
    <row r="1234" spans="1:19" x14ac:dyDescent="0.25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e">
        <f>VLOOKUP('Customer Info'!A1226,'Customer Info'!A1226:I1725,2,FALSE)</f>
        <v>#N/A</v>
      </c>
      <c r="H1234" s="6" t="e">
        <f>VLOOKUP('Customer Info'!A1226,'Customer Info'!A1226:I1726,3,FALSE)</f>
        <v>#N/A</v>
      </c>
      <c r="I1234" s="6" t="e">
        <f>VLOOKUP('Customer Info'!A1226,'Customer Info'!A1226:I1725,5,FALSE)</f>
        <v>#N/A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48</v>
      </c>
      <c r="R1234" s="2" t="s">
        <v>28</v>
      </c>
      <c r="S1234" s="9">
        <f t="shared" si="99"/>
        <v>0.02</v>
      </c>
    </row>
    <row r="1235" spans="1:19" x14ac:dyDescent="0.25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e">
        <f>VLOOKUP('Customer Info'!A1227,'Customer Info'!A1227:I1726,2,FALSE)</f>
        <v>#N/A</v>
      </c>
      <c r="H1235" s="6" t="e">
        <f>VLOOKUP('Customer Info'!A1227,'Customer Info'!A1227:I1727,3,FALSE)</f>
        <v>#N/A</v>
      </c>
      <c r="I1235" s="6" t="e">
        <f>VLOOKUP('Customer Info'!A1227,'Customer Info'!A1227:I1726,5,FALSE)</f>
        <v>#N/A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776</v>
      </c>
      <c r="R1235" s="2" t="s">
        <v>50</v>
      </c>
      <c r="S1235" s="9">
        <f t="shared" si="99"/>
        <v>0.05</v>
      </c>
    </row>
    <row r="1236" spans="1:19" x14ac:dyDescent="0.25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e">
        <f>VLOOKUP('Customer Info'!A1228,'Customer Info'!A1228:I1727,2,FALSE)</f>
        <v>#N/A</v>
      </c>
      <c r="H1236" s="6" t="e">
        <f>VLOOKUP('Customer Info'!A1228,'Customer Info'!A1228:I1728,3,FALSE)</f>
        <v>#N/A</v>
      </c>
      <c r="I1236" s="6" t="e">
        <f>VLOOKUP('Customer Info'!A1228,'Customer Info'!A1228:I1727,5,FALSE)</f>
        <v>#N/A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2103</v>
      </c>
      <c r="R1236" s="2" t="s">
        <v>28</v>
      </c>
      <c r="S1236" s="9">
        <f t="shared" si="99"/>
        <v>0.05</v>
      </c>
    </row>
    <row r="1237" spans="1:19" x14ac:dyDescent="0.25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e">
        <f>VLOOKUP('Customer Info'!A1229,'Customer Info'!A1229:I1728,2,FALSE)</f>
        <v>#N/A</v>
      </c>
      <c r="H1237" s="6" t="e">
        <f>VLOOKUP('Customer Info'!A1229,'Customer Info'!A1229:I1729,3,FALSE)</f>
        <v>#N/A</v>
      </c>
      <c r="I1237" s="6" t="e">
        <f>VLOOKUP('Customer Info'!A1229,'Customer Info'!A1229:I1728,5,FALSE)</f>
        <v>#N/A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836</v>
      </c>
      <c r="R1237" s="2" t="s">
        <v>28</v>
      </c>
      <c r="S1237" s="9">
        <f t="shared" si="99"/>
        <v>0.05</v>
      </c>
    </row>
    <row r="1238" spans="1:19" x14ac:dyDescent="0.25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e">
        <f>VLOOKUP('Customer Info'!A1230,'Customer Info'!A1230:I1729,2,FALSE)</f>
        <v>#N/A</v>
      </c>
      <c r="H1238" s="6" t="e">
        <f>VLOOKUP('Customer Info'!A1230,'Customer Info'!A1230:I1730,3,FALSE)</f>
        <v>#N/A</v>
      </c>
      <c r="I1238" s="6" t="e">
        <f>VLOOKUP('Customer Info'!A1230,'Customer Info'!A1230:I1729,5,FALSE)</f>
        <v>#N/A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416</v>
      </c>
      <c r="R1238" s="2" t="s">
        <v>28</v>
      </c>
      <c r="S1238" s="9">
        <f t="shared" si="99"/>
        <v>0.02</v>
      </c>
    </row>
    <row r="1239" spans="1:19" x14ac:dyDescent="0.25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e">
        <f>VLOOKUP('Customer Info'!A1231,'Customer Info'!A1231:I1730,2,FALSE)</f>
        <v>#N/A</v>
      </c>
      <c r="H1239" s="6" t="e">
        <f>VLOOKUP('Customer Info'!A1231,'Customer Info'!A1231:I1731,3,FALSE)</f>
        <v>#N/A</v>
      </c>
      <c r="I1239" s="6" t="e">
        <f>VLOOKUP('Customer Info'!A1231,'Customer Info'!A1231:I1730,5,FALSE)</f>
        <v>#N/A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150</v>
      </c>
      <c r="R1239" s="2" t="s">
        <v>26</v>
      </c>
      <c r="S1239" s="9">
        <f t="shared" si="99"/>
        <v>0.02</v>
      </c>
    </row>
    <row r="1240" spans="1:19" x14ac:dyDescent="0.25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e">
        <f>VLOOKUP('Customer Info'!A1232,'Customer Info'!A1232:I1731,2,FALSE)</f>
        <v>#N/A</v>
      </c>
      <c r="H1240" s="6" t="e">
        <f>VLOOKUP('Customer Info'!A1232,'Customer Info'!A1232:I1732,3,FALSE)</f>
        <v>#N/A</v>
      </c>
      <c r="I1240" s="6" t="e">
        <f>VLOOKUP('Customer Info'!A1232,'Customer Info'!A1232:I1731,5,FALSE)</f>
        <v>#N/A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179</v>
      </c>
      <c r="R1240" s="2" t="s">
        <v>28</v>
      </c>
      <c r="S1240" s="9">
        <f t="shared" si="99"/>
        <v>0.02</v>
      </c>
    </row>
    <row r="1241" spans="1:19" x14ac:dyDescent="0.25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e">
        <f>VLOOKUP('Customer Info'!A1233,'Customer Info'!A1233:I1732,2,FALSE)</f>
        <v>#N/A</v>
      </c>
      <c r="H1241" s="6" t="e">
        <f>VLOOKUP('Customer Info'!A1233,'Customer Info'!A1233:I1733,3,FALSE)</f>
        <v>#N/A</v>
      </c>
      <c r="I1241" s="6" t="e">
        <f>VLOOKUP('Customer Info'!A1233,'Customer Info'!A1233:I1732,5,FALSE)</f>
        <v>#N/A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947</v>
      </c>
      <c r="R1241" s="2" t="s">
        <v>28</v>
      </c>
      <c r="S1241" s="9">
        <f t="shared" si="99"/>
        <v>7.0000000000000007E-2</v>
      </c>
    </row>
    <row r="1242" spans="1:19" x14ac:dyDescent="0.25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e">
        <f>VLOOKUP('Customer Info'!A1234,'Customer Info'!A1234:I1733,2,FALSE)</f>
        <v>#N/A</v>
      </c>
      <c r="H1242" s="6" t="e">
        <f>VLOOKUP('Customer Info'!A1234,'Customer Info'!A1234:I1734,3,FALSE)</f>
        <v>#N/A</v>
      </c>
      <c r="I1242" s="6" t="e">
        <f>VLOOKUP('Customer Info'!A1234,'Customer Info'!A1234:I1733,5,FALSE)</f>
        <v>#N/A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175</v>
      </c>
      <c r="R1242" s="2" t="s">
        <v>28</v>
      </c>
      <c r="S1242" s="9">
        <f t="shared" si="99"/>
        <v>0.02</v>
      </c>
    </row>
    <row r="1243" spans="1:19" x14ac:dyDescent="0.25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e">
        <f>VLOOKUP('Customer Info'!A1235,'Customer Info'!A1235:I1734,2,FALSE)</f>
        <v>#N/A</v>
      </c>
      <c r="H1243" s="6" t="e">
        <f>VLOOKUP('Customer Info'!A1235,'Customer Info'!A1235:I1735,3,FALSE)</f>
        <v>#N/A</v>
      </c>
      <c r="I1243" s="6" t="e">
        <f>VLOOKUP('Customer Info'!A1235,'Customer Info'!A1235:I1734,5,FALSE)</f>
        <v>#N/A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334</v>
      </c>
      <c r="R1243" s="2" t="s">
        <v>28</v>
      </c>
      <c r="S1243" s="9">
        <f t="shared" si="99"/>
        <v>0.05</v>
      </c>
    </row>
    <row r="1244" spans="1:19" x14ac:dyDescent="0.25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e">
        <f>VLOOKUP('Customer Info'!A1236,'Customer Info'!A1236:I1735,2,FALSE)</f>
        <v>#N/A</v>
      </c>
      <c r="H1244" s="6" t="e">
        <f>VLOOKUP('Customer Info'!A1236,'Customer Info'!A1236:I1736,3,FALSE)</f>
        <v>#N/A</v>
      </c>
      <c r="I1244" s="6" t="e">
        <f>VLOOKUP('Customer Info'!A1236,'Customer Info'!A1236:I1735,5,FALSE)</f>
        <v>#N/A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30</v>
      </c>
      <c r="R1244" s="2" t="s">
        <v>50</v>
      </c>
      <c r="S1244" s="9">
        <f t="shared" si="99"/>
        <v>0.02</v>
      </c>
    </row>
    <row r="1245" spans="1:19" x14ac:dyDescent="0.25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e">
        <f>VLOOKUP('Customer Info'!A1237,'Customer Info'!A1237:I1736,2,FALSE)</f>
        <v>#N/A</v>
      </c>
      <c r="H1245" s="6" t="e">
        <f>VLOOKUP('Customer Info'!A1237,'Customer Info'!A1237:I1737,3,FALSE)</f>
        <v>#N/A</v>
      </c>
      <c r="I1245" s="6" t="e">
        <f>VLOOKUP('Customer Info'!A1237,'Customer Info'!A1237:I1736,5,FALSE)</f>
        <v>#N/A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2045</v>
      </c>
      <c r="R1245" s="2" t="s">
        <v>50</v>
      </c>
      <c r="S1245" s="9">
        <f t="shared" si="99"/>
        <v>7.0000000000000007E-2</v>
      </c>
    </row>
    <row r="1246" spans="1:19" x14ac:dyDescent="0.25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e">
        <f>VLOOKUP('Customer Info'!A1238,'Customer Info'!A1238:I1737,2,FALSE)</f>
        <v>#N/A</v>
      </c>
      <c r="H1246" s="6" t="e">
        <f>VLOOKUP('Customer Info'!A1238,'Customer Info'!A1238:I1738,3,FALSE)</f>
        <v>#N/A</v>
      </c>
      <c r="I1246" s="6" t="e">
        <f>VLOOKUP('Customer Info'!A1238,'Customer Info'!A1238:I1737,5,FALSE)</f>
        <v>#N/A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256</v>
      </c>
      <c r="R1246" s="2" t="s">
        <v>28</v>
      </c>
      <c r="S1246" s="9">
        <f t="shared" si="99"/>
        <v>0.02</v>
      </c>
    </row>
    <row r="1247" spans="1:19" x14ac:dyDescent="0.25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e">
        <f>VLOOKUP('Customer Info'!A1239,'Customer Info'!A1239:I1738,2,FALSE)</f>
        <v>#N/A</v>
      </c>
      <c r="H1247" s="6" t="e">
        <f>VLOOKUP('Customer Info'!A1239,'Customer Info'!A1239:I1739,3,FALSE)</f>
        <v>#N/A</v>
      </c>
      <c r="I1247" s="6" t="e">
        <f>VLOOKUP('Customer Info'!A1239,'Customer Info'!A1239:I1738,5,FALSE)</f>
        <v>#N/A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42</v>
      </c>
      <c r="R1247" s="2" t="s">
        <v>28</v>
      </c>
      <c r="S1247" s="9">
        <f t="shared" si="99"/>
        <v>0.02</v>
      </c>
    </row>
    <row r="1248" spans="1:19" x14ac:dyDescent="0.25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e">
        <f>VLOOKUP('Customer Info'!A1240,'Customer Info'!A1240:I1739,2,FALSE)</f>
        <v>#N/A</v>
      </c>
      <c r="H1248" s="6" t="e">
        <f>VLOOKUP('Customer Info'!A1240,'Customer Info'!A1240:I1740,3,FALSE)</f>
        <v>#N/A</v>
      </c>
      <c r="I1248" s="6" t="e">
        <f>VLOOKUP('Customer Info'!A1240,'Customer Info'!A1240:I1739,5,FALSE)</f>
        <v>#N/A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388</v>
      </c>
      <c r="R1248" s="2" t="s">
        <v>50</v>
      </c>
      <c r="S1248" s="9">
        <f t="shared" si="99"/>
        <v>0.02</v>
      </c>
    </row>
    <row r="1249" spans="1:19" x14ac:dyDescent="0.25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e">
        <f>VLOOKUP('Customer Info'!A1241,'Customer Info'!A1241:I1740,2,FALSE)</f>
        <v>#N/A</v>
      </c>
      <c r="H1249" s="6" t="e">
        <f>VLOOKUP('Customer Info'!A1241,'Customer Info'!A1241:I1741,3,FALSE)</f>
        <v>#N/A</v>
      </c>
      <c r="I1249" s="6" t="e">
        <f>VLOOKUP('Customer Info'!A1241,'Customer Info'!A1241:I1740,5,FALSE)</f>
        <v>#N/A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81</v>
      </c>
      <c r="R1249" s="2" t="s">
        <v>50</v>
      </c>
      <c r="S1249" s="9">
        <f t="shared" si="99"/>
        <v>0.02</v>
      </c>
    </row>
    <row r="1250" spans="1:19" x14ac:dyDescent="0.25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e">
        <f>VLOOKUP('Customer Info'!A1242,'Customer Info'!A1242:I1741,2,FALSE)</f>
        <v>#N/A</v>
      </c>
      <c r="H1250" s="6" t="e">
        <f>VLOOKUP('Customer Info'!A1242,'Customer Info'!A1242:I1742,3,FALSE)</f>
        <v>#N/A</v>
      </c>
      <c r="I1250" s="6" t="e">
        <f>VLOOKUP('Customer Info'!A1242,'Customer Info'!A1242:I1741,5,FALSE)</f>
        <v>#N/A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372</v>
      </c>
      <c r="R1250" s="2" t="s">
        <v>50</v>
      </c>
      <c r="S1250" s="9">
        <f t="shared" si="99"/>
        <v>0.05</v>
      </c>
    </row>
    <row r="1251" spans="1:19" x14ac:dyDescent="0.25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e">
        <f>VLOOKUP('Customer Info'!A1243,'Customer Info'!A1243:I1742,2,FALSE)</f>
        <v>#N/A</v>
      </c>
      <c r="H1251" s="6" t="e">
        <f>VLOOKUP('Customer Info'!A1243,'Customer Info'!A1243:I1743,3,FALSE)</f>
        <v>#N/A</v>
      </c>
      <c r="I1251" s="6" t="e">
        <f>VLOOKUP('Customer Info'!A1243,'Customer Info'!A1243:I1742,5,FALSE)</f>
        <v>#N/A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370</v>
      </c>
      <c r="R1251" s="2" t="s">
        <v>50</v>
      </c>
      <c r="S1251" s="9">
        <f t="shared" si="99"/>
        <v>0.02</v>
      </c>
    </row>
    <row r="1252" spans="1:19" x14ac:dyDescent="0.25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e">
        <f>VLOOKUP('Customer Info'!A1244,'Customer Info'!A1244:I1743,2,FALSE)</f>
        <v>#N/A</v>
      </c>
      <c r="H1252" s="6" t="e">
        <f>VLOOKUP('Customer Info'!A1244,'Customer Info'!A1244:I1744,3,FALSE)</f>
        <v>#N/A</v>
      </c>
      <c r="I1252" s="6" t="e">
        <f>VLOOKUP('Customer Info'!A1244,'Customer Info'!A1244:I1743,5,FALSE)</f>
        <v>#N/A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318</v>
      </c>
      <c r="R1252" s="2" t="s">
        <v>26</v>
      </c>
      <c r="S1252" s="9">
        <f t="shared" si="99"/>
        <v>0.02</v>
      </c>
    </row>
    <row r="1253" spans="1:19" x14ac:dyDescent="0.25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e">
        <f>VLOOKUP('Customer Info'!A1245,'Customer Info'!A1245:I1744,2,FALSE)</f>
        <v>#N/A</v>
      </c>
      <c r="H1253" s="6" t="e">
        <f>VLOOKUP('Customer Info'!A1245,'Customer Info'!A1245:I1745,3,FALSE)</f>
        <v>#N/A</v>
      </c>
      <c r="I1253" s="6" t="e">
        <f>VLOOKUP('Customer Info'!A1245,'Customer Info'!A1245:I1744,5,FALSE)</f>
        <v>#N/A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15</v>
      </c>
      <c r="R1253" s="2" t="s">
        <v>28</v>
      </c>
      <c r="S1253" s="9">
        <f t="shared" si="99"/>
        <v>0.02</v>
      </c>
    </row>
    <row r="1254" spans="1:19" x14ac:dyDescent="0.25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e">
        <f>VLOOKUP('Customer Info'!A1246,'Customer Info'!A1246:I1745,2,FALSE)</f>
        <v>#N/A</v>
      </c>
      <c r="H1254" s="6" t="e">
        <f>VLOOKUP('Customer Info'!A1246,'Customer Info'!A1246:I1746,3,FALSE)</f>
        <v>#N/A</v>
      </c>
      <c r="I1254" s="6" t="e">
        <f>VLOOKUP('Customer Info'!A1246,'Customer Info'!A1246:I1745,5,FALSE)</f>
        <v>#N/A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15</v>
      </c>
      <c r="R1254" s="2" t="s">
        <v>28</v>
      </c>
      <c r="S1254" s="9">
        <f t="shared" si="99"/>
        <v>0.02</v>
      </c>
    </row>
    <row r="1255" spans="1:19" x14ac:dyDescent="0.25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e">
        <f>VLOOKUP('Customer Info'!A1247,'Customer Info'!A1247:I1746,2,FALSE)</f>
        <v>#N/A</v>
      </c>
      <c r="H1255" s="6" t="e">
        <f>VLOOKUP('Customer Info'!A1247,'Customer Info'!A1247:I1747,3,FALSE)</f>
        <v>#N/A</v>
      </c>
      <c r="I1255" s="6" t="e">
        <f>VLOOKUP('Customer Info'!A1247,'Customer Info'!A1247:I1746,5,FALSE)</f>
        <v>#N/A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272</v>
      </c>
      <c r="R1255" s="2" t="s">
        <v>28</v>
      </c>
      <c r="S1255" s="9">
        <f t="shared" si="99"/>
        <v>0.02</v>
      </c>
    </row>
    <row r="1256" spans="1:19" x14ac:dyDescent="0.25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e">
        <f>VLOOKUP('Customer Info'!A1248,'Customer Info'!A1248:I1747,2,FALSE)</f>
        <v>#N/A</v>
      </c>
      <c r="H1256" s="6" t="e">
        <f>VLOOKUP('Customer Info'!A1248,'Customer Info'!A1248:I1748,3,FALSE)</f>
        <v>#N/A</v>
      </c>
      <c r="I1256" s="6" t="e">
        <f>VLOOKUP('Customer Info'!A1248,'Customer Info'!A1248:I1747,5,FALSE)</f>
        <v>#N/A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2119</v>
      </c>
      <c r="R1256" s="2" t="s">
        <v>28</v>
      </c>
      <c r="S1256" s="9">
        <f t="shared" si="99"/>
        <v>7.0000000000000007E-2</v>
      </c>
    </row>
    <row r="1257" spans="1:19" x14ac:dyDescent="0.25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e">
        <f>VLOOKUP('Customer Info'!A1249,'Customer Info'!A1249:I1748,2,FALSE)</f>
        <v>#N/A</v>
      </c>
      <c r="H1257" s="6" t="e">
        <f>VLOOKUP('Customer Info'!A1249,'Customer Info'!A1249:I1749,3,FALSE)</f>
        <v>#N/A</v>
      </c>
      <c r="I1257" s="6" t="e">
        <f>VLOOKUP('Customer Info'!A1249,'Customer Info'!A1249:I1748,5,FALSE)</f>
        <v>#N/A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184</v>
      </c>
      <c r="R1257" s="2" t="s">
        <v>50</v>
      </c>
      <c r="S1257" s="9">
        <f t="shared" si="99"/>
        <v>0.02</v>
      </c>
    </row>
    <row r="1258" spans="1:19" x14ac:dyDescent="0.25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e">
        <f>VLOOKUP('Customer Info'!A1250,'Customer Info'!A1250:I1749,2,FALSE)</f>
        <v>#N/A</v>
      </c>
      <c r="H1258" s="6" t="e">
        <f>VLOOKUP('Customer Info'!A1250,'Customer Info'!A1250:I1750,3,FALSE)</f>
        <v>#N/A</v>
      </c>
      <c r="I1258" s="6" t="e">
        <f>VLOOKUP('Customer Info'!A1250,'Customer Info'!A1250:I1749,5,FALSE)</f>
        <v>#N/A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187</v>
      </c>
      <c r="R1258" s="2" t="s">
        <v>50</v>
      </c>
      <c r="S1258" s="9">
        <f t="shared" si="99"/>
        <v>0.02</v>
      </c>
    </row>
    <row r="1259" spans="1:19" x14ac:dyDescent="0.25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e">
        <f>VLOOKUP('Customer Info'!A1251,'Customer Info'!A1251:I1750,2,FALSE)</f>
        <v>#N/A</v>
      </c>
      <c r="H1259" s="6" t="e">
        <f>VLOOKUP('Customer Info'!A1251,'Customer Info'!A1251:I1751,3,FALSE)</f>
        <v>#N/A</v>
      </c>
      <c r="I1259" s="6" t="e">
        <f>VLOOKUP('Customer Info'!A1251,'Customer Info'!A1251:I1750,5,FALSE)</f>
        <v>#N/A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102</v>
      </c>
      <c r="R1259" s="2" t="s">
        <v>28</v>
      </c>
      <c r="S1259" s="9">
        <f t="shared" si="99"/>
        <v>0.02</v>
      </c>
    </row>
    <row r="1260" spans="1:19" x14ac:dyDescent="0.25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e">
        <f>VLOOKUP('Customer Info'!A1252,'Customer Info'!A1252:I1751,2,FALSE)</f>
        <v>#N/A</v>
      </c>
      <c r="H1260" s="6" t="e">
        <f>VLOOKUP('Customer Info'!A1252,'Customer Info'!A1252:I1752,3,FALSE)</f>
        <v>#N/A</v>
      </c>
      <c r="I1260" s="6" t="e">
        <f>VLOOKUP('Customer Info'!A1252,'Customer Info'!A1252:I1751,5,FALSE)</f>
        <v>#N/A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150</v>
      </c>
      <c r="R1260" s="2" t="s">
        <v>50</v>
      </c>
      <c r="S1260" s="9">
        <f t="shared" si="99"/>
        <v>0.02</v>
      </c>
    </row>
    <row r="1261" spans="1:19" x14ac:dyDescent="0.25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e">
        <f>VLOOKUP('Customer Info'!A1253,'Customer Info'!A1253:I1752,2,FALSE)</f>
        <v>#N/A</v>
      </c>
      <c r="H1261" s="6" t="e">
        <f>VLOOKUP('Customer Info'!A1253,'Customer Info'!A1253:I1753,3,FALSE)</f>
        <v>#N/A</v>
      </c>
      <c r="I1261" s="6" t="e">
        <f>VLOOKUP('Customer Info'!A1253,'Customer Info'!A1253:I1752,5,FALSE)</f>
        <v>#N/A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225</v>
      </c>
      <c r="R1261" s="2" t="s">
        <v>28</v>
      </c>
      <c r="S1261" s="9">
        <f t="shared" si="99"/>
        <v>0.02</v>
      </c>
    </row>
    <row r="1262" spans="1:19" x14ac:dyDescent="0.25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e">
        <f>VLOOKUP('Customer Info'!A1254,'Customer Info'!A1254:I1753,2,FALSE)</f>
        <v>#N/A</v>
      </c>
      <c r="H1262" s="6" t="e">
        <f>VLOOKUP('Customer Info'!A1254,'Customer Info'!A1254:I1754,3,FALSE)</f>
        <v>#N/A</v>
      </c>
      <c r="I1262" s="6" t="e">
        <f>VLOOKUP('Customer Info'!A1254,'Customer Info'!A1254:I1753,5,FALSE)</f>
        <v>#N/A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359</v>
      </c>
      <c r="R1262" s="2" t="s">
        <v>28</v>
      </c>
      <c r="S1262" s="9">
        <f t="shared" si="99"/>
        <v>0.05</v>
      </c>
    </row>
    <row r="1263" spans="1:19" x14ac:dyDescent="0.25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e">
        <f>VLOOKUP('Customer Info'!A1255,'Customer Info'!A1255:I1754,2,FALSE)</f>
        <v>#N/A</v>
      </c>
      <c r="H1263" s="6" t="e">
        <f>VLOOKUP('Customer Info'!A1255,'Customer Info'!A1255:I1755,3,FALSE)</f>
        <v>#N/A</v>
      </c>
      <c r="I1263" s="6" t="e">
        <f>VLOOKUP('Customer Info'!A1255,'Customer Info'!A1255:I1754,5,FALSE)</f>
        <v>#N/A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778</v>
      </c>
      <c r="R1263" s="2" t="s">
        <v>26</v>
      </c>
      <c r="S1263" s="9">
        <f t="shared" si="99"/>
        <v>0.05</v>
      </c>
    </row>
    <row r="1264" spans="1:19" x14ac:dyDescent="0.25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e">
        <f>VLOOKUP('Customer Info'!A1256,'Customer Info'!A1256:I1755,2,FALSE)</f>
        <v>#N/A</v>
      </c>
      <c r="H1264" s="6" t="e">
        <f>VLOOKUP('Customer Info'!A1256,'Customer Info'!A1256:I1756,3,FALSE)</f>
        <v>#N/A</v>
      </c>
      <c r="I1264" s="6" t="e">
        <f>VLOOKUP('Customer Info'!A1256,'Customer Info'!A1256:I1755,5,FALSE)</f>
        <v>#N/A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158</v>
      </c>
      <c r="R1264" s="2" t="s">
        <v>26</v>
      </c>
      <c r="S1264" s="9">
        <f t="shared" si="99"/>
        <v>0.02</v>
      </c>
    </row>
    <row r="1265" spans="1:19" x14ac:dyDescent="0.25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e">
        <f>VLOOKUP('Customer Info'!A1257,'Customer Info'!A1257:I1756,2,FALSE)</f>
        <v>#N/A</v>
      </c>
      <c r="H1265" s="6" t="e">
        <f>VLOOKUP('Customer Info'!A1257,'Customer Info'!A1257:I1757,3,FALSE)</f>
        <v>#N/A</v>
      </c>
      <c r="I1265" s="6" t="e">
        <f>VLOOKUP('Customer Info'!A1257,'Customer Info'!A1257:I1756,5,FALSE)</f>
        <v>#N/A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352</v>
      </c>
      <c r="R1265" s="2" t="s">
        <v>26</v>
      </c>
      <c r="S1265" s="9">
        <f t="shared" si="99"/>
        <v>0.02</v>
      </c>
    </row>
    <row r="1266" spans="1:19" x14ac:dyDescent="0.25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e">
        <f>VLOOKUP('Customer Info'!A1258,'Customer Info'!A1258:I1757,2,FALSE)</f>
        <v>#N/A</v>
      </c>
      <c r="H1266" s="6" t="e">
        <f>VLOOKUP('Customer Info'!A1258,'Customer Info'!A1258:I1758,3,FALSE)</f>
        <v>#N/A</v>
      </c>
      <c r="I1266" s="6" t="e">
        <f>VLOOKUP('Customer Info'!A1258,'Customer Info'!A1258:I1757,5,FALSE)</f>
        <v>#N/A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312</v>
      </c>
      <c r="R1266" s="2" t="s">
        <v>50</v>
      </c>
      <c r="S1266" s="9">
        <f t="shared" si="99"/>
        <v>0.02</v>
      </c>
    </row>
    <row r="1267" spans="1:19" x14ac:dyDescent="0.25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e">
        <f>VLOOKUP('Customer Info'!A1259,'Customer Info'!A1259:I1758,2,FALSE)</f>
        <v>#N/A</v>
      </c>
      <c r="H1267" s="6" t="e">
        <f>VLOOKUP('Customer Info'!A1259,'Customer Info'!A1259:I1759,3,FALSE)</f>
        <v>#N/A</v>
      </c>
      <c r="I1267" s="6" t="e">
        <f>VLOOKUP('Customer Info'!A1259,'Customer Info'!A1259:I1758,5,FALSE)</f>
        <v>#N/A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560</v>
      </c>
      <c r="R1267" s="2" t="s">
        <v>28</v>
      </c>
      <c r="S1267" s="9">
        <f t="shared" si="99"/>
        <v>0.05</v>
      </c>
    </row>
    <row r="1268" spans="1:19" x14ac:dyDescent="0.25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e">
        <f>VLOOKUP('Customer Info'!A1260,'Customer Info'!A1260:I1759,2,FALSE)</f>
        <v>#N/A</v>
      </c>
      <c r="H1268" s="6" t="e">
        <f>VLOOKUP('Customer Info'!A1260,'Customer Info'!A1260:I1760,3,FALSE)</f>
        <v>#N/A</v>
      </c>
      <c r="I1268" s="6" t="e">
        <f>VLOOKUP('Customer Info'!A1260,'Customer Info'!A1260:I1759,5,FALSE)</f>
        <v>#N/A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12064</v>
      </c>
      <c r="R1268" s="2" t="s">
        <v>28</v>
      </c>
      <c r="S1268" s="9">
        <f t="shared" si="99"/>
        <v>0.12</v>
      </c>
    </row>
    <row r="1269" spans="1:19" x14ac:dyDescent="0.25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e">
        <f>VLOOKUP('Customer Info'!A1261,'Customer Info'!A1261:I1760,2,FALSE)</f>
        <v>#N/A</v>
      </c>
      <c r="H1269" s="6" t="e">
        <f>VLOOKUP('Customer Info'!A1261,'Customer Info'!A1261:I1761,3,FALSE)</f>
        <v>#N/A</v>
      </c>
      <c r="I1269" s="6" t="e">
        <f>VLOOKUP('Customer Info'!A1261,'Customer Info'!A1261:I1760,5,FALSE)</f>
        <v>#N/A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89</v>
      </c>
      <c r="R1269" s="2" t="s">
        <v>28</v>
      </c>
      <c r="S1269" s="9">
        <f t="shared" si="99"/>
        <v>0.02</v>
      </c>
    </row>
    <row r="1270" spans="1:19" x14ac:dyDescent="0.25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e">
        <f>VLOOKUP('Customer Info'!A1262,'Customer Info'!A1262:I1761,2,FALSE)</f>
        <v>#N/A</v>
      </c>
      <c r="H1270" s="6" t="e">
        <f>VLOOKUP('Customer Info'!A1262,'Customer Info'!A1262:I1762,3,FALSE)</f>
        <v>#N/A</v>
      </c>
      <c r="I1270" s="6" t="e">
        <f>VLOOKUP('Customer Info'!A1262,'Customer Info'!A1262:I1761,5,FALSE)</f>
        <v>#N/A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264</v>
      </c>
      <c r="R1270" s="2" t="s">
        <v>28</v>
      </c>
      <c r="S1270" s="9">
        <f t="shared" si="99"/>
        <v>0.02</v>
      </c>
    </row>
    <row r="1271" spans="1:19" x14ac:dyDescent="0.25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e">
        <f>VLOOKUP('Customer Info'!A1263,'Customer Info'!A1263:I1762,2,FALSE)</f>
        <v>#N/A</v>
      </c>
      <c r="H1271" s="6" t="e">
        <f>VLOOKUP('Customer Info'!A1263,'Customer Info'!A1263:I1763,3,FALSE)</f>
        <v>#N/A</v>
      </c>
      <c r="I1271" s="6" t="e">
        <f>VLOOKUP('Customer Info'!A1263,'Customer Info'!A1263:I1762,5,FALSE)</f>
        <v>#N/A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310</v>
      </c>
      <c r="R1271" s="2" t="s">
        <v>28</v>
      </c>
      <c r="S1271" s="9">
        <f t="shared" si="99"/>
        <v>0.02</v>
      </c>
    </row>
    <row r="1272" spans="1:19" x14ac:dyDescent="0.25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e">
        <f>VLOOKUP('Customer Info'!A1264,'Customer Info'!A1264:I1763,2,FALSE)</f>
        <v>#N/A</v>
      </c>
      <c r="H1272" s="6" t="e">
        <f>VLOOKUP('Customer Info'!A1264,'Customer Info'!A1264:I1764,3,FALSE)</f>
        <v>#N/A</v>
      </c>
      <c r="I1272" s="6" t="e">
        <f>VLOOKUP('Customer Info'!A1264,'Customer Info'!A1264:I1763,5,FALSE)</f>
        <v>#N/A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1738</v>
      </c>
      <c r="R1272" s="2" t="s">
        <v>50</v>
      </c>
      <c r="S1272" s="9">
        <f t="shared" si="99"/>
        <v>7.0000000000000007E-2</v>
      </c>
    </row>
    <row r="1273" spans="1:19" x14ac:dyDescent="0.25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e">
        <f>VLOOKUP('Customer Info'!A1265,'Customer Info'!A1265:I1764,2,FALSE)</f>
        <v>#N/A</v>
      </c>
      <c r="H1273" s="6" t="e">
        <f>VLOOKUP('Customer Info'!A1265,'Customer Info'!A1265:I1765,3,FALSE)</f>
        <v>#N/A</v>
      </c>
      <c r="I1273" s="6" t="e">
        <f>VLOOKUP('Customer Info'!A1265,'Customer Info'!A1265:I1764,5,FALSE)</f>
        <v>#N/A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368</v>
      </c>
      <c r="R1273" s="2" t="s">
        <v>28</v>
      </c>
      <c r="S1273" s="9">
        <f t="shared" si="99"/>
        <v>0.02</v>
      </c>
    </row>
    <row r="1274" spans="1:19" x14ac:dyDescent="0.25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e">
        <f>VLOOKUP('Customer Info'!A1266,'Customer Info'!A1266:I1765,2,FALSE)</f>
        <v>#N/A</v>
      </c>
      <c r="H1274" s="6" t="e">
        <f>VLOOKUP('Customer Info'!A1266,'Customer Info'!A1266:I1766,3,FALSE)</f>
        <v>#N/A</v>
      </c>
      <c r="I1274" s="6" t="e">
        <f>VLOOKUP('Customer Info'!A1266,'Customer Info'!A1266:I1765,5,FALSE)</f>
        <v>#N/A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315</v>
      </c>
      <c r="R1274" s="2" t="s">
        <v>50</v>
      </c>
      <c r="S1274" s="9">
        <f t="shared" si="99"/>
        <v>0.02</v>
      </c>
    </row>
    <row r="1275" spans="1:19" x14ac:dyDescent="0.25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e">
        <f>VLOOKUP('Customer Info'!A1267,'Customer Info'!A1267:I1766,2,FALSE)</f>
        <v>#N/A</v>
      </c>
      <c r="H1275" s="6" t="e">
        <f>VLOOKUP('Customer Info'!A1267,'Customer Info'!A1267:I1767,3,FALSE)</f>
        <v>#N/A</v>
      </c>
      <c r="I1275" s="6" t="e">
        <f>VLOOKUP('Customer Info'!A1267,'Customer Info'!A1267:I1766,5,FALSE)</f>
        <v>#N/A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737</v>
      </c>
      <c r="R1275" s="2" t="s">
        <v>28</v>
      </c>
      <c r="S1275" s="9">
        <f t="shared" si="99"/>
        <v>0.05</v>
      </c>
    </row>
    <row r="1276" spans="1:19" x14ac:dyDescent="0.25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e">
        <f>VLOOKUP('Customer Info'!A1268,'Customer Info'!A1268:I1767,2,FALSE)</f>
        <v>#N/A</v>
      </c>
      <c r="H1276" s="6" t="e">
        <f>VLOOKUP('Customer Info'!A1268,'Customer Info'!A1268:I1768,3,FALSE)</f>
        <v>#N/A</v>
      </c>
      <c r="I1276" s="6" t="e">
        <f>VLOOKUP('Customer Info'!A1268,'Customer Info'!A1268:I1767,5,FALSE)</f>
        <v>#N/A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351</v>
      </c>
      <c r="R1276" s="2" t="s">
        <v>50</v>
      </c>
      <c r="S1276" s="9">
        <f t="shared" si="99"/>
        <v>0.05</v>
      </c>
    </row>
    <row r="1277" spans="1:19" x14ac:dyDescent="0.25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e">
        <f>VLOOKUP('Customer Info'!A1269,'Customer Info'!A1269:I1768,2,FALSE)</f>
        <v>#N/A</v>
      </c>
      <c r="H1277" s="6" t="e">
        <f>VLOOKUP('Customer Info'!A1269,'Customer Info'!A1269:I1769,3,FALSE)</f>
        <v>#N/A</v>
      </c>
      <c r="I1277" s="6" t="e">
        <f>VLOOKUP('Customer Info'!A1269,'Customer Info'!A1269:I1768,5,FALSE)</f>
        <v>#N/A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40</v>
      </c>
      <c r="R1277" s="2" t="s">
        <v>50</v>
      </c>
      <c r="S1277" s="9">
        <f t="shared" si="99"/>
        <v>0.02</v>
      </c>
    </row>
    <row r="1278" spans="1:19" x14ac:dyDescent="0.25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e">
        <f>VLOOKUP('Customer Info'!A1270,'Customer Info'!A1270:I1769,2,FALSE)</f>
        <v>#N/A</v>
      </c>
      <c r="H1278" s="6" t="e">
        <f>VLOOKUP('Customer Info'!A1270,'Customer Info'!A1270:I1770,3,FALSE)</f>
        <v>#N/A</v>
      </c>
      <c r="I1278" s="6" t="e">
        <f>VLOOKUP('Customer Info'!A1270,'Customer Info'!A1270:I1769,5,FALSE)</f>
        <v>#N/A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169</v>
      </c>
      <c r="R1278" s="2" t="s">
        <v>50</v>
      </c>
      <c r="S1278" s="9">
        <f t="shared" si="99"/>
        <v>0.02</v>
      </c>
    </row>
    <row r="1279" spans="1:19" x14ac:dyDescent="0.25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e">
        <f>VLOOKUP('Customer Info'!A1271,'Customer Info'!A1271:I1770,2,FALSE)</f>
        <v>#N/A</v>
      </c>
      <c r="H1279" s="6" t="e">
        <f>VLOOKUP('Customer Info'!A1271,'Customer Info'!A1271:I1771,3,FALSE)</f>
        <v>#N/A</v>
      </c>
      <c r="I1279" s="6" t="e">
        <f>VLOOKUP('Customer Info'!A1271,'Customer Info'!A1271:I1770,5,FALSE)</f>
        <v>#N/A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1652</v>
      </c>
      <c r="R1279" s="2" t="s">
        <v>28</v>
      </c>
      <c r="S1279" s="9">
        <f t="shared" si="99"/>
        <v>7.0000000000000007E-2</v>
      </c>
    </row>
    <row r="1280" spans="1:19" x14ac:dyDescent="0.25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e">
        <f>VLOOKUP('Customer Info'!A1272,'Customer Info'!A1272:I1771,2,FALSE)</f>
        <v>#N/A</v>
      </c>
      <c r="H1280" s="6" t="e">
        <f>VLOOKUP('Customer Info'!A1272,'Customer Info'!A1272:I1772,3,FALSE)</f>
        <v>#N/A</v>
      </c>
      <c r="I1280" s="6" t="e">
        <f>VLOOKUP('Customer Info'!A1272,'Customer Info'!A1272:I1771,5,FALSE)</f>
        <v>#N/A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46</v>
      </c>
      <c r="R1280" s="2" t="s">
        <v>56</v>
      </c>
      <c r="S1280" s="9">
        <f t="shared" si="99"/>
        <v>0.02</v>
      </c>
    </row>
    <row r="1281" spans="1:19" x14ac:dyDescent="0.25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e">
        <f>VLOOKUP('Customer Info'!A1273,'Customer Info'!A1273:I1772,2,FALSE)</f>
        <v>#N/A</v>
      </c>
      <c r="H1281" s="6" t="e">
        <f>VLOOKUP('Customer Info'!A1273,'Customer Info'!A1273:I1773,3,FALSE)</f>
        <v>#N/A</v>
      </c>
      <c r="I1281" s="6" t="e">
        <f>VLOOKUP('Customer Info'!A1273,'Customer Info'!A1273:I1772,5,FALSE)</f>
        <v>#N/A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102</v>
      </c>
      <c r="R1281" s="2" t="s">
        <v>50</v>
      </c>
      <c r="S1281" s="9">
        <f t="shared" si="99"/>
        <v>0.02</v>
      </c>
    </row>
    <row r="1282" spans="1:19" x14ac:dyDescent="0.25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e">
        <f>VLOOKUP('Customer Info'!A1274,'Customer Info'!A1274:I1773,2,FALSE)</f>
        <v>#N/A</v>
      </c>
      <c r="H1282" s="6" t="e">
        <f>VLOOKUP('Customer Info'!A1274,'Customer Info'!A1274:I1774,3,FALSE)</f>
        <v>#N/A</v>
      </c>
      <c r="I1282" s="6" t="e">
        <f>VLOOKUP('Customer Info'!A1274,'Customer Info'!A1274:I1773,5,FALSE)</f>
        <v>#N/A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9882</v>
      </c>
      <c r="R1282" s="2" t="s">
        <v>28</v>
      </c>
      <c r="S1282" s="9">
        <f t="shared" si="99"/>
        <v>0.12</v>
      </c>
    </row>
    <row r="1283" spans="1:19" x14ac:dyDescent="0.25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e">
        <f>VLOOKUP('Customer Info'!A1275,'Customer Info'!A1275:I1774,2,FALSE)</f>
        <v>#N/A</v>
      </c>
      <c r="H1283" s="6" t="e">
        <f>VLOOKUP('Customer Info'!A1275,'Customer Info'!A1275:I1775,3,FALSE)</f>
        <v>#N/A</v>
      </c>
      <c r="I1283" s="6" t="e">
        <f>VLOOKUP('Customer Info'!A1275,'Customer Info'!A1275:I1774,5,FALSE)</f>
        <v>#N/A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966</v>
      </c>
      <c r="R1283" s="2" t="s">
        <v>28</v>
      </c>
      <c r="S1283" s="9">
        <f t="shared" si="99"/>
        <v>0.05</v>
      </c>
    </row>
    <row r="1284" spans="1:19" x14ac:dyDescent="0.25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e">
        <f>VLOOKUP('Customer Info'!A1276,'Customer Info'!A1276:I1775,2,FALSE)</f>
        <v>#N/A</v>
      </c>
      <c r="H1284" s="6" t="e">
        <f>VLOOKUP('Customer Info'!A1276,'Customer Info'!A1276:I1776,3,FALSE)</f>
        <v>#N/A</v>
      </c>
      <c r="I1284" s="6" t="e">
        <f>VLOOKUP('Customer Info'!A1276,'Customer Info'!A1276:I1775,5,FALSE)</f>
        <v>#N/A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873</v>
      </c>
      <c r="R1284" s="2" t="s">
        <v>28</v>
      </c>
      <c r="S1284" s="9">
        <f t="shared" si="99"/>
        <v>0.05</v>
      </c>
    </row>
    <row r="1285" spans="1:19" x14ac:dyDescent="0.25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e">
        <f>VLOOKUP('Customer Info'!A1277,'Customer Info'!A1277:I1776,2,FALSE)</f>
        <v>#N/A</v>
      </c>
      <c r="H1285" s="6" t="e">
        <f>VLOOKUP('Customer Info'!A1277,'Customer Info'!A1277:I1777,3,FALSE)</f>
        <v>#N/A</v>
      </c>
      <c r="I1285" s="6" t="e">
        <f>VLOOKUP('Customer Info'!A1277,'Customer Info'!A1277:I1776,5,FALSE)</f>
        <v>#N/A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214</v>
      </c>
      <c r="R1285" s="2" t="s">
        <v>50</v>
      </c>
      <c r="S1285" s="9">
        <f t="shared" si="99"/>
        <v>0.02</v>
      </c>
    </row>
    <row r="1286" spans="1:19" x14ac:dyDescent="0.25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e">
        <f>VLOOKUP('Customer Info'!A1278,'Customer Info'!A1278:I1777,2,FALSE)</f>
        <v>#N/A</v>
      </c>
      <c r="H1286" s="6" t="e">
        <f>VLOOKUP('Customer Info'!A1278,'Customer Info'!A1278:I1778,3,FALSE)</f>
        <v>#N/A</v>
      </c>
      <c r="I1286" s="6" t="e">
        <f>VLOOKUP('Customer Info'!A1278,'Customer Info'!A1278:I1777,5,FALSE)</f>
        <v>#N/A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332</v>
      </c>
      <c r="R1286" s="2" t="s">
        <v>28</v>
      </c>
      <c r="S1286" s="9">
        <f t="shared" si="99"/>
        <v>0.02</v>
      </c>
    </row>
    <row r="1287" spans="1:19" x14ac:dyDescent="0.25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e">
        <f>VLOOKUP('Customer Info'!A1279,'Customer Info'!A1279:I1778,2,FALSE)</f>
        <v>#N/A</v>
      </c>
      <c r="H1287" s="6" t="e">
        <f>VLOOKUP('Customer Info'!A1279,'Customer Info'!A1279:I1779,3,FALSE)</f>
        <v>#N/A</v>
      </c>
      <c r="I1287" s="6" t="e">
        <f>VLOOKUP('Customer Info'!A1279,'Customer Info'!A1279:I1778,5,FALSE)</f>
        <v>#N/A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1397</v>
      </c>
      <c r="R1287" s="2" t="s">
        <v>56</v>
      </c>
      <c r="S1287" s="9">
        <f t="shared" si="99"/>
        <v>0.05</v>
      </c>
    </row>
    <row r="1288" spans="1:19" x14ac:dyDescent="0.25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e">
        <f>VLOOKUP('Customer Info'!A1280,'Customer Info'!A1280:I1779,2,FALSE)</f>
        <v>#N/A</v>
      </c>
      <c r="H1288" s="6" t="e">
        <f>VLOOKUP('Customer Info'!A1280,'Customer Info'!A1280:I1780,3,FALSE)</f>
        <v>#N/A</v>
      </c>
      <c r="I1288" s="6" t="e">
        <f>VLOOKUP('Customer Info'!A1280,'Customer Info'!A1280:I1779,5,FALSE)</f>
        <v>#N/A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383</v>
      </c>
      <c r="R1288" s="2" t="s">
        <v>28</v>
      </c>
      <c r="S1288" s="9">
        <f t="shared" si="99"/>
        <v>0.05</v>
      </c>
    </row>
    <row r="1289" spans="1:19" x14ac:dyDescent="0.25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e">
        <f>VLOOKUP('Customer Info'!A1281,'Customer Info'!A1281:I1780,2,FALSE)</f>
        <v>#N/A</v>
      </c>
      <c r="H1289" s="6" t="e">
        <f>VLOOKUP('Customer Info'!A1281,'Customer Info'!A1281:I1781,3,FALSE)</f>
        <v>#N/A</v>
      </c>
      <c r="I1289" s="6" t="e">
        <f>VLOOKUP('Customer Info'!A1281,'Customer Info'!A1281:I1780,5,FALSE)</f>
        <v>#N/A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360</v>
      </c>
      <c r="R1289" s="2" t="s">
        <v>28</v>
      </c>
      <c r="S1289" s="9">
        <f t="shared" si="99"/>
        <v>0.02</v>
      </c>
    </row>
    <row r="1290" spans="1:19" x14ac:dyDescent="0.25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e">
        <f>VLOOKUP('Customer Info'!A1282,'Customer Info'!A1282:I1781,2,FALSE)</f>
        <v>#N/A</v>
      </c>
      <c r="H1290" s="6" t="e">
        <f>VLOOKUP('Customer Info'!A1282,'Customer Info'!A1282:I1782,3,FALSE)</f>
        <v>#N/A</v>
      </c>
      <c r="I1290" s="6" t="e">
        <f>VLOOKUP('Customer Info'!A1282,'Customer Info'!A1282:I1781,5,FALSE)</f>
        <v>#N/A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329</v>
      </c>
      <c r="R1290" s="2" t="s">
        <v>28</v>
      </c>
      <c r="S1290" s="9">
        <f t="shared" si="99"/>
        <v>0.02</v>
      </c>
    </row>
    <row r="1291" spans="1:19" x14ac:dyDescent="0.25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e">
        <f>VLOOKUP('Customer Info'!A1283,'Customer Info'!A1283:I1782,2,FALSE)</f>
        <v>#N/A</v>
      </c>
      <c r="H1291" s="6" t="e">
        <f>VLOOKUP('Customer Info'!A1283,'Customer Info'!A1283:I1783,3,FALSE)</f>
        <v>#N/A</v>
      </c>
      <c r="I1291" s="6" t="e">
        <f>VLOOKUP('Customer Info'!A1283,'Customer Info'!A1283:I1782,5,FALSE)</f>
        <v>#N/A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8">
        <f t="shared" ref="P1291:P1354" si="102">N1291+O1291</f>
        <v>5118</v>
      </c>
      <c r="Q1291" s="8">
        <f t="shared" ref="Q1291:Q1354" si="103">P1291-M1291</f>
        <v>324</v>
      </c>
      <c r="R1291" s="2" t="s">
        <v>28</v>
      </c>
      <c r="S1291" s="9">
        <f t="shared" ref="S1291:S1354" si="104">VLOOKUP(P1291,$T$2:$U$7,2,TRUE)</f>
        <v>0.05</v>
      </c>
    </row>
    <row r="1292" spans="1:19" x14ac:dyDescent="0.25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e">
        <f>VLOOKUP('Customer Info'!A1284,'Customer Info'!A1284:I1783,2,FALSE)</f>
        <v>#N/A</v>
      </c>
      <c r="H1292" s="6" t="e">
        <f>VLOOKUP('Customer Info'!A1284,'Customer Info'!A1284:I1784,3,FALSE)</f>
        <v>#N/A</v>
      </c>
      <c r="I1292" s="6" t="e">
        <f>VLOOKUP('Customer Info'!A1284,'Customer Info'!A1284:I1783,5,FALSE)</f>
        <v>#N/A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278</v>
      </c>
      <c r="R1292" s="2" t="s">
        <v>28</v>
      </c>
      <c r="S1292" s="9">
        <f t="shared" si="104"/>
        <v>0.05</v>
      </c>
    </row>
    <row r="1293" spans="1:19" x14ac:dyDescent="0.25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e">
        <f>VLOOKUP('Customer Info'!A1285,'Customer Info'!A1285:I1784,2,FALSE)</f>
        <v>#N/A</v>
      </c>
      <c r="H1293" s="6" t="e">
        <f>VLOOKUP('Customer Info'!A1285,'Customer Info'!A1285:I1785,3,FALSE)</f>
        <v>#N/A</v>
      </c>
      <c r="I1293" s="6" t="e">
        <f>VLOOKUP('Customer Info'!A1285,'Customer Info'!A1285:I1784,5,FALSE)</f>
        <v>#N/A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3732</v>
      </c>
      <c r="R1293" s="2" t="s">
        <v>26</v>
      </c>
      <c r="S1293" s="9">
        <f t="shared" si="104"/>
        <v>7.0000000000000007E-2</v>
      </c>
    </row>
    <row r="1294" spans="1:19" x14ac:dyDescent="0.25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e">
        <f>VLOOKUP('Customer Info'!A1286,'Customer Info'!A1286:I1785,2,FALSE)</f>
        <v>#N/A</v>
      </c>
      <c r="H1294" s="6" t="e">
        <f>VLOOKUP('Customer Info'!A1286,'Customer Info'!A1286:I1786,3,FALSE)</f>
        <v>#N/A</v>
      </c>
      <c r="I1294" s="6" t="e">
        <f>VLOOKUP('Customer Info'!A1286,'Customer Info'!A1286:I1785,5,FALSE)</f>
        <v>#N/A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154</v>
      </c>
      <c r="R1294" s="2" t="s">
        <v>28</v>
      </c>
      <c r="S1294" s="9">
        <f t="shared" si="104"/>
        <v>0.05</v>
      </c>
    </row>
    <row r="1295" spans="1:19" x14ac:dyDescent="0.25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e">
        <f>VLOOKUP('Customer Info'!A1287,'Customer Info'!A1287:I1786,2,FALSE)</f>
        <v>#N/A</v>
      </c>
      <c r="H1295" s="6" t="e">
        <f>VLOOKUP('Customer Info'!A1287,'Customer Info'!A1287:I1787,3,FALSE)</f>
        <v>#N/A</v>
      </c>
      <c r="I1295" s="6" t="e">
        <f>VLOOKUP('Customer Info'!A1287,'Customer Info'!A1287:I1786,5,FALSE)</f>
        <v>#N/A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75</v>
      </c>
      <c r="R1295" s="2" t="s">
        <v>28</v>
      </c>
      <c r="S1295" s="9">
        <f t="shared" si="104"/>
        <v>0.02</v>
      </c>
    </row>
    <row r="1296" spans="1:19" x14ac:dyDescent="0.25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e">
        <f>VLOOKUP('Customer Info'!A1288,'Customer Info'!A1288:I1787,2,FALSE)</f>
        <v>#N/A</v>
      </c>
      <c r="H1296" s="6" t="e">
        <f>VLOOKUP('Customer Info'!A1288,'Customer Info'!A1288:I1788,3,FALSE)</f>
        <v>#N/A</v>
      </c>
      <c r="I1296" s="6" t="e">
        <f>VLOOKUP('Customer Info'!A1288,'Customer Info'!A1288:I1787,5,FALSE)</f>
        <v>#N/A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1042</v>
      </c>
      <c r="R1296" s="2" t="s">
        <v>26</v>
      </c>
      <c r="S1296" s="9">
        <f t="shared" si="104"/>
        <v>7.0000000000000007E-2</v>
      </c>
    </row>
    <row r="1297" spans="1:19" x14ac:dyDescent="0.25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e">
        <f>VLOOKUP('Customer Info'!A1289,'Customer Info'!A1289:I1788,2,FALSE)</f>
        <v>#N/A</v>
      </c>
      <c r="H1297" s="6" t="e">
        <f>VLOOKUP('Customer Info'!A1289,'Customer Info'!A1289:I1789,3,FALSE)</f>
        <v>#N/A</v>
      </c>
      <c r="I1297" s="6" t="e">
        <f>VLOOKUP('Customer Info'!A1289,'Customer Info'!A1289:I1788,5,FALSE)</f>
        <v>#N/A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2038</v>
      </c>
      <c r="R1297" s="2" t="s">
        <v>50</v>
      </c>
      <c r="S1297" s="9">
        <f t="shared" si="104"/>
        <v>7.0000000000000007E-2</v>
      </c>
    </row>
    <row r="1298" spans="1:19" x14ac:dyDescent="0.25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e">
        <f>VLOOKUP('Customer Info'!A1290,'Customer Info'!A1290:I1789,2,FALSE)</f>
        <v>#N/A</v>
      </c>
      <c r="H1298" s="6" t="e">
        <f>VLOOKUP('Customer Info'!A1290,'Customer Info'!A1290:I1790,3,FALSE)</f>
        <v>#N/A</v>
      </c>
      <c r="I1298" s="6" t="e">
        <f>VLOOKUP('Customer Info'!A1290,'Customer Info'!A1290:I1789,5,FALSE)</f>
        <v>#N/A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384</v>
      </c>
      <c r="R1298" s="2" t="s">
        <v>28</v>
      </c>
      <c r="S1298" s="9">
        <f t="shared" si="104"/>
        <v>0.02</v>
      </c>
    </row>
    <row r="1299" spans="1:19" x14ac:dyDescent="0.25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e">
        <f>VLOOKUP('Customer Info'!A1291,'Customer Info'!A1291:I1790,2,FALSE)</f>
        <v>#N/A</v>
      </c>
      <c r="H1299" s="6" t="e">
        <f>VLOOKUP('Customer Info'!A1291,'Customer Info'!A1291:I1791,3,FALSE)</f>
        <v>#N/A</v>
      </c>
      <c r="I1299" s="6" t="e">
        <f>VLOOKUP('Customer Info'!A1291,'Customer Info'!A1291:I1790,5,FALSE)</f>
        <v>#N/A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193</v>
      </c>
      <c r="R1299" s="2" t="s">
        <v>28</v>
      </c>
      <c r="S1299" s="9">
        <f t="shared" si="104"/>
        <v>0.02</v>
      </c>
    </row>
    <row r="1300" spans="1:19" x14ac:dyDescent="0.25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e">
        <f>VLOOKUP('Customer Info'!A1292,'Customer Info'!A1292:I1791,2,FALSE)</f>
        <v>#N/A</v>
      </c>
      <c r="H1300" s="6" t="e">
        <f>VLOOKUP('Customer Info'!A1292,'Customer Info'!A1292:I1792,3,FALSE)</f>
        <v>#N/A</v>
      </c>
      <c r="I1300" s="6" t="e">
        <f>VLOOKUP('Customer Info'!A1292,'Customer Info'!A1292:I1791,5,FALSE)</f>
        <v>#N/A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458</v>
      </c>
      <c r="R1300" s="2" t="s">
        <v>50</v>
      </c>
      <c r="S1300" s="9">
        <f t="shared" si="104"/>
        <v>0.05</v>
      </c>
    </row>
    <row r="1301" spans="1:19" x14ac:dyDescent="0.25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e">
        <f>VLOOKUP('Customer Info'!A1293,'Customer Info'!A1293:I1792,2,FALSE)</f>
        <v>#N/A</v>
      </c>
      <c r="H1301" s="6" t="e">
        <f>VLOOKUP('Customer Info'!A1293,'Customer Info'!A1293:I1793,3,FALSE)</f>
        <v>#N/A</v>
      </c>
      <c r="I1301" s="6" t="e">
        <f>VLOOKUP('Customer Info'!A1293,'Customer Info'!A1293:I1792,5,FALSE)</f>
        <v>#N/A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268</v>
      </c>
      <c r="R1301" s="2" t="s">
        <v>50</v>
      </c>
      <c r="S1301" s="9">
        <f t="shared" si="104"/>
        <v>0.02</v>
      </c>
    </row>
    <row r="1302" spans="1:19" x14ac:dyDescent="0.25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e">
        <f>VLOOKUP('Customer Info'!A1294,'Customer Info'!A1294:I1793,2,FALSE)</f>
        <v>#N/A</v>
      </c>
      <c r="H1302" s="6" t="e">
        <f>VLOOKUP('Customer Info'!A1294,'Customer Info'!A1294:I1794,3,FALSE)</f>
        <v>#N/A</v>
      </c>
      <c r="I1302" s="6" t="e">
        <f>VLOOKUP('Customer Info'!A1294,'Customer Info'!A1294:I1793,5,FALSE)</f>
        <v>#N/A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105</v>
      </c>
      <c r="R1302" s="2" t="s">
        <v>28</v>
      </c>
      <c r="S1302" s="9">
        <f t="shared" si="104"/>
        <v>0.02</v>
      </c>
    </row>
    <row r="1303" spans="1:19" x14ac:dyDescent="0.25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e">
        <f>VLOOKUP('Customer Info'!A1295,'Customer Info'!A1295:I1794,2,FALSE)</f>
        <v>#N/A</v>
      </c>
      <c r="H1303" s="6" t="e">
        <f>VLOOKUP('Customer Info'!A1295,'Customer Info'!A1295:I1795,3,FALSE)</f>
        <v>#N/A</v>
      </c>
      <c r="I1303" s="6" t="e">
        <f>VLOOKUP('Customer Info'!A1295,'Customer Info'!A1295:I1794,5,FALSE)</f>
        <v>#N/A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670</v>
      </c>
      <c r="R1303" s="2" t="s">
        <v>50</v>
      </c>
      <c r="S1303" s="9">
        <f t="shared" si="104"/>
        <v>0.05</v>
      </c>
    </row>
    <row r="1304" spans="1:19" x14ac:dyDescent="0.25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e">
        <f>VLOOKUP('Customer Info'!A1296,'Customer Info'!A1296:I1795,2,FALSE)</f>
        <v>#N/A</v>
      </c>
      <c r="H1304" s="6" t="e">
        <f>VLOOKUP('Customer Info'!A1296,'Customer Info'!A1296:I1796,3,FALSE)</f>
        <v>#N/A</v>
      </c>
      <c r="I1304" s="6" t="e">
        <f>VLOOKUP('Customer Info'!A1296,'Customer Info'!A1296:I1795,5,FALSE)</f>
        <v>#N/A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188</v>
      </c>
      <c r="R1304" s="2" t="s">
        <v>28</v>
      </c>
      <c r="S1304" s="9">
        <f t="shared" si="104"/>
        <v>0.02</v>
      </c>
    </row>
    <row r="1305" spans="1:19" x14ac:dyDescent="0.25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e">
        <f>VLOOKUP('Customer Info'!A1297,'Customer Info'!A1297:I1796,2,FALSE)</f>
        <v>#N/A</v>
      </c>
      <c r="H1305" s="6" t="e">
        <f>VLOOKUP('Customer Info'!A1297,'Customer Info'!A1297:I1797,3,FALSE)</f>
        <v>#N/A</v>
      </c>
      <c r="I1305" s="6" t="e">
        <f>VLOOKUP('Customer Info'!A1297,'Customer Info'!A1297:I1796,5,FALSE)</f>
        <v>#N/A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4192</v>
      </c>
      <c r="R1305" s="2" t="s">
        <v>28</v>
      </c>
      <c r="S1305" s="9">
        <f t="shared" si="104"/>
        <v>0.09</v>
      </c>
    </row>
    <row r="1306" spans="1:19" x14ac:dyDescent="0.25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e">
        <f>VLOOKUP('Customer Info'!A1298,'Customer Info'!A1298:I1797,2,FALSE)</f>
        <v>#N/A</v>
      </c>
      <c r="H1306" s="6" t="e">
        <f>VLOOKUP('Customer Info'!A1298,'Customer Info'!A1298:I1798,3,FALSE)</f>
        <v>#N/A</v>
      </c>
      <c r="I1306" s="6" t="e">
        <f>VLOOKUP('Customer Info'!A1298,'Customer Info'!A1298:I1797,5,FALSE)</f>
        <v>#N/A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8178</v>
      </c>
      <c r="R1306" s="2" t="s">
        <v>26</v>
      </c>
      <c r="S1306" s="9">
        <f t="shared" si="104"/>
        <v>0.12</v>
      </c>
    </row>
    <row r="1307" spans="1:19" x14ac:dyDescent="0.25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e">
        <f>VLOOKUP('Customer Info'!A1299,'Customer Info'!A1299:I1798,2,FALSE)</f>
        <v>#N/A</v>
      </c>
      <c r="H1307" s="6" t="e">
        <f>VLOOKUP('Customer Info'!A1299,'Customer Info'!A1299:I1799,3,FALSE)</f>
        <v>#N/A</v>
      </c>
      <c r="I1307" s="6" t="e">
        <f>VLOOKUP('Customer Info'!A1299,'Customer Info'!A1299:I1798,5,FALSE)</f>
        <v>#N/A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700</v>
      </c>
      <c r="R1307" s="2" t="s">
        <v>28</v>
      </c>
      <c r="S1307" s="9">
        <f t="shared" si="104"/>
        <v>0.05</v>
      </c>
    </row>
    <row r="1308" spans="1:19" x14ac:dyDescent="0.25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e">
        <f>VLOOKUP('Customer Info'!A1300,'Customer Info'!A1300:I1799,2,FALSE)</f>
        <v>#N/A</v>
      </c>
      <c r="H1308" s="6" t="e">
        <f>VLOOKUP('Customer Info'!A1300,'Customer Info'!A1300:I1800,3,FALSE)</f>
        <v>#N/A</v>
      </c>
      <c r="I1308" s="6" t="e">
        <f>VLOOKUP('Customer Info'!A1300,'Customer Info'!A1300:I1799,5,FALSE)</f>
        <v>#N/A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22</v>
      </c>
      <c r="R1308" s="2" t="s">
        <v>56</v>
      </c>
      <c r="S1308" s="9">
        <f t="shared" si="104"/>
        <v>0.02</v>
      </c>
    </row>
    <row r="1309" spans="1:19" x14ac:dyDescent="0.25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e">
        <f>VLOOKUP('Customer Info'!A1301,'Customer Info'!A1301:I1800,2,FALSE)</f>
        <v>#N/A</v>
      </c>
      <c r="H1309" s="6" t="e">
        <f>VLOOKUP('Customer Info'!A1301,'Customer Info'!A1301:I1801,3,FALSE)</f>
        <v>#N/A</v>
      </c>
      <c r="I1309" s="6" t="e">
        <f>VLOOKUP('Customer Info'!A1301,'Customer Info'!A1301:I1800,5,FALSE)</f>
        <v>#N/A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78</v>
      </c>
      <c r="R1309" s="2" t="s">
        <v>26</v>
      </c>
      <c r="S1309" s="9">
        <f t="shared" si="104"/>
        <v>0.02</v>
      </c>
    </row>
    <row r="1310" spans="1:19" x14ac:dyDescent="0.25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e">
        <f>VLOOKUP('Customer Info'!A1302,'Customer Info'!A1302:I1801,2,FALSE)</f>
        <v>#N/A</v>
      </c>
      <c r="H1310" s="6" t="e">
        <f>VLOOKUP('Customer Info'!A1302,'Customer Info'!A1302:I1802,3,FALSE)</f>
        <v>#N/A</v>
      </c>
      <c r="I1310" s="6" t="e">
        <f>VLOOKUP('Customer Info'!A1302,'Customer Info'!A1302:I1801,5,FALSE)</f>
        <v>#N/A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111</v>
      </c>
      <c r="R1310" s="2" t="s">
        <v>50</v>
      </c>
      <c r="S1310" s="9">
        <f t="shared" si="104"/>
        <v>0.02</v>
      </c>
    </row>
    <row r="1311" spans="1:19" x14ac:dyDescent="0.25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e">
        <f>VLOOKUP('Customer Info'!A1303,'Customer Info'!A1303:I1802,2,FALSE)</f>
        <v>#N/A</v>
      </c>
      <c r="H1311" s="6" t="e">
        <f>VLOOKUP('Customer Info'!A1303,'Customer Info'!A1303:I1803,3,FALSE)</f>
        <v>#N/A</v>
      </c>
      <c r="I1311" s="6" t="e">
        <f>VLOOKUP('Customer Info'!A1303,'Customer Info'!A1303:I1802,5,FALSE)</f>
        <v>#N/A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513</v>
      </c>
      <c r="R1311" s="2" t="s">
        <v>26</v>
      </c>
      <c r="S1311" s="9">
        <f t="shared" si="104"/>
        <v>0.05</v>
      </c>
    </row>
    <row r="1312" spans="1:19" x14ac:dyDescent="0.25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e">
        <f>VLOOKUP('Customer Info'!A1304,'Customer Info'!A1304:I1803,2,FALSE)</f>
        <v>#N/A</v>
      </c>
      <c r="H1312" s="6" t="e">
        <f>VLOOKUP('Customer Info'!A1304,'Customer Info'!A1304:I1804,3,FALSE)</f>
        <v>#N/A</v>
      </c>
      <c r="I1312" s="6" t="e">
        <f>VLOOKUP('Customer Info'!A1304,'Customer Info'!A1304:I1803,5,FALSE)</f>
        <v>#N/A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128</v>
      </c>
      <c r="R1312" s="2" t="s">
        <v>28</v>
      </c>
      <c r="S1312" s="9">
        <f t="shared" si="104"/>
        <v>0.02</v>
      </c>
    </row>
    <row r="1313" spans="1:19" x14ac:dyDescent="0.25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e">
        <f>VLOOKUP('Customer Info'!A1305,'Customer Info'!A1305:I1804,2,FALSE)</f>
        <v>#N/A</v>
      </c>
      <c r="H1313" s="6" t="e">
        <f>VLOOKUP('Customer Info'!A1305,'Customer Info'!A1305:I1805,3,FALSE)</f>
        <v>#N/A</v>
      </c>
      <c r="I1313" s="6" t="e">
        <f>VLOOKUP('Customer Info'!A1305,'Customer Info'!A1305:I1804,5,FALSE)</f>
        <v>#N/A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945</v>
      </c>
      <c r="R1313" s="2" t="s">
        <v>28</v>
      </c>
      <c r="S1313" s="9">
        <f t="shared" si="104"/>
        <v>0.05</v>
      </c>
    </row>
    <row r="1314" spans="1:19" x14ac:dyDescent="0.25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e">
        <f>VLOOKUP('Customer Info'!A1306,'Customer Info'!A1306:I1805,2,FALSE)</f>
        <v>#N/A</v>
      </c>
      <c r="H1314" s="6" t="e">
        <f>VLOOKUP('Customer Info'!A1306,'Customer Info'!A1306:I1806,3,FALSE)</f>
        <v>#N/A</v>
      </c>
      <c r="I1314" s="6" t="e">
        <f>VLOOKUP('Customer Info'!A1306,'Customer Info'!A1306:I1805,5,FALSE)</f>
        <v>#N/A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174</v>
      </c>
      <c r="R1314" s="2" t="s">
        <v>50</v>
      </c>
      <c r="S1314" s="9">
        <f t="shared" si="104"/>
        <v>0.02</v>
      </c>
    </row>
    <row r="1315" spans="1:19" x14ac:dyDescent="0.25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e">
        <f>VLOOKUP('Customer Info'!A1307,'Customer Info'!A1307:I1806,2,FALSE)</f>
        <v>#N/A</v>
      </c>
      <c r="H1315" s="6" t="e">
        <f>VLOOKUP('Customer Info'!A1307,'Customer Info'!A1307:I1807,3,FALSE)</f>
        <v>#N/A</v>
      </c>
      <c r="I1315" s="6" t="e">
        <f>VLOOKUP('Customer Info'!A1307,'Customer Info'!A1307:I1806,5,FALSE)</f>
        <v>#N/A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2611</v>
      </c>
      <c r="R1315" s="2" t="s">
        <v>50</v>
      </c>
      <c r="S1315" s="9">
        <f t="shared" si="104"/>
        <v>0.09</v>
      </c>
    </row>
    <row r="1316" spans="1:19" x14ac:dyDescent="0.25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e">
        <f>VLOOKUP('Customer Info'!A1308,'Customer Info'!A1308:I1807,2,FALSE)</f>
        <v>#N/A</v>
      </c>
      <c r="H1316" s="6" t="e">
        <f>VLOOKUP('Customer Info'!A1308,'Customer Info'!A1308:I1808,3,FALSE)</f>
        <v>#N/A</v>
      </c>
      <c r="I1316" s="6" t="e">
        <f>VLOOKUP('Customer Info'!A1308,'Customer Info'!A1308:I1807,5,FALSE)</f>
        <v>#N/A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234</v>
      </c>
      <c r="R1316" s="2" t="s">
        <v>50</v>
      </c>
      <c r="S1316" s="9">
        <f t="shared" si="104"/>
        <v>0.05</v>
      </c>
    </row>
    <row r="1317" spans="1:19" x14ac:dyDescent="0.25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e">
        <f>VLOOKUP('Customer Info'!A1309,'Customer Info'!A1309:I1808,2,FALSE)</f>
        <v>#N/A</v>
      </c>
      <c r="H1317" s="6" t="e">
        <f>VLOOKUP('Customer Info'!A1309,'Customer Info'!A1309:I1809,3,FALSE)</f>
        <v>#N/A</v>
      </c>
      <c r="I1317" s="6" t="e">
        <f>VLOOKUP('Customer Info'!A1309,'Customer Info'!A1309:I1808,5,FALSE)</f>
        <v>#N/A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143</v>
      </c>
      <c r="R1317" s="2" t="s">
        <v>50</v>
      </c>
      <c r="S1317" s="9">
        <f t="shared" si="104"/>
        <v>0.02</v>
      </c>
    </row>
    <row r="1318" spans="1:19" x14ac:dyDescent="0.25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e">
        <f>VLOOKUP('Customer Info'!A1310,'Customer Info'!A1310:I1809,2,FALSE)</f>
        <v>#N/A</v>
      </c>
      <c r="H1318" s="6" t="e">
        <f>VLOOKUP('Customer Info'!A1310,'Customer Info'!A1310:I1810,3,FALSE)</f>
        <v>#N/A</v>
      </c>
      <c r="I1318" s="6" t="e">
        <f>VLOOKUP('Customer Info'!A1310,'Customer Info'!A1310:I1809,5,FALSE)</f>
        <v>#N/A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35</v>
      </c>
      <c r="R1318" s="2" t="s">
        <v>28</v>
      </c>
      <c r="S1318" s="9">
        <f t="shared" si="104"/>
        <v>0.02</v>
      </c>
    </row>
    <row r="1319" spans="1:19" x14ac:dyDescent="0.25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e">
        <f>VLOOKUP('Customer Info'!A1311,'Customer Info'!A1311:I1810,2,FALSE)</f>
        <v>#N/A</v>
      </c>
      <c r="H1319" s="6" t="e">
        <f>VLOOKUP('Customer Info'!A1311,'Customer Info'!A1311:I1811,3,FALSE)</f>
        <v>#N/A</v>
      </c>
      <c r="I1319" s="6" t="e">
        <f>VLOOKUP('Customer Info'!A1311,'Customer Info'!A1311:I1810,5,FALSE)</f>
        <v>#N/A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150</v>
      </c>
      <c r="R1319" s="2" t="s">
        <v>28</v>
      </c>
      <c r="S1319" s="9">
        <f t="shared" si="104"/>
        <v>0.02</v>
      </c>
    </row>
    <row r="1320" spans="1:19" x14ac:dyDescent="0.25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e">
        <f>VLOOKUP('Customer Info'!A1312,'Customer Info'!A1312:I1811,2,FALSE)</f>
        <v>#N/A</v>
      </c>
      <c r="H1320" s="6" t="e">
        <f>VLOOKUP('Customer Info'!A1312,'Customer Info'!A1312:I1812,3,FALSE)</f>
        <v>#N/A</v>
      </c>
      <c r="I1320" s="6" t="e">
        <f>VLOOKUP('Customer Info'!A1312,'Customer Info'!A1312:I1811,5,FALSE)</f>
        <v>#N/A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36</v>
      </c>
      <c r="R1320" s="2" t="s">
        <v>50</v>
      </c>
      <c r="S1320" s="9">
        <f t="shared" si="104"/>
        <v>0.05</v>
      </c>
    </row>
    <row r="1321" spans="1:19" x14ac:dyDescent="0.25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e">
        <f>VLOOKUP('Customer Info'!A1313,'Customer Info'!A1313:I1812,2,FALSE)</f>
        <v>#N/A</v>
      </c>
      <c r="H1321" s="6" t="e">
        <f>VLOOKUP('Customer Info'!A1313,'Customer Info'!A1313:I1813,3,FALSE)</f>
        <v>#N/A</v>
      </c>
      <c r="I1321" s="6" t="e">
        <f>VLOOKUP('Customer Info'!A1313,'Customer Info'!A1313:I1812,5,FALSE)</f>
        <v>#N/A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25</v>
      </c>
      <c r="R1321" s="2" t="s">
        <v>50</v>
      </c>
      <c r="S1321" s="9">
        <f t="shared" si="104"/>
        <v>0.02</v>
      </c>
    </row>
    <row r="1322" spans="1:19" x14ac:dyDescent="0.25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e">
        <f>VLOOKUP('Customer Info'!A1314,'Customer Info'!A1314:I1813,2,FALSE)</f>
        <v>#N/A</v>
      </c>
      <c r="H1322" s="6" t="e">
        <f>VLOOKUP('Customer Info'!A1314,'Customer Info'!A1314:I1814,3,FALSE)</f>
        <v>#N/A</v>
      </c>
      <c r="I1322" s="6" t="e">
        <f>VLOOKUP('Customer Info'!A1314,'Customer Info'!A1314:I1813,5,FALSE)</f>
        <v>#N/A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38</v>
      </c>
      <c r="R1322" s="2" t="s">
        <v>50</v>
      </c>
      <c r="S1322" s="9">
        <f t="shared" si="104"/>
        <v>0.02</v>
      </c>
    </row>
    <row r="1323" spans="1:19" x14ac:dyDescent="0.25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e">
        <f>VLOOKUP('Customer Info'!A1315,'Customer Info'!A1315:I1814,2,FALSE)</f>
        <v>#N/A</v>
      </c>
      <c r="H1323" s="6" t="e">
        <f>VLOOKUP('Customer Info'!A1315,'Customer Info'!A1315:I1815,3,FALSE)</f>
        <v>#N/A</v>
      </c>
      <c r="I1323" s="6" t="e">
        <f>VLOOKUP('Customer Info'!A1315,'Customer Info'!A1315:I1814,5,FALSE)</f>
        <v>#N/A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184</v>
      </c>
      <c r="R1323" s="2" t="s">
        <v>28</v>
      </c>
      <c r="S1323" s="9">
        <f t="shared" si="104"/>
        <v>0.02</v>
      </c>
    </row>
    <row r="1324" spans="1:19" x14ac:dyDescent="0.25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e">
        <f>VLOOKUP('Customer Info'!A1316,'Customer Info'!A1316:I1815,2,FALSE)</f>
        <v>#N/A</v>
      </c>
      <c r="H1324" s="6" t="e">
        <f>VLOOKUP('Customer Info'!A1316,'Customer Info'!A1316:I1816,3,FALSE)</f>
        <v>#N/A</v>
      </c>
      <c r="I1324" s="6" t="e">
        <f>VLOOKUP('Customer Info'!A1316,'Customer Info'!A1316:I1815,5,FALSE)</f>
        <v>#N/A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576</v>
      </c>
      <c r="R1324" s="2" t="s">
        <v>26</v>
      </c>
      <c r="S1324" s="9">
        <f t="shared" si="104"/>
        <v>0.05</v>
      </c>
    </row>
    <row r="1325" spans="1:19" x14ac:dyDescent="0.25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e">
        <f>VLOOKUP('Customer Info'!A1317,'Customer Info'!A1317:I1816,2,FALSE)</f>
        <v>#N/A</v>
      </c>
      <c r="H1325" s="6" t="e">
        <f>VLOOKUP('Customer Info'!A1317,'Customer Info'!A1317:I1817,3,FALSE)</f>
        <v>#N/A</v>
      </c>
      <c r="I1325" s="6" t="e">
        <f>VLOOKUP('Customer Info'!A1317,'Customer Info'!A1317:I1816,5,FALSE)</f>
        <v>#N/A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205</v>
      </c>
      <c r="R1325" s="2" t="s">
        <v>50</v>
      </c>
      <c r="S1325" s="9">
        <f t="shared" si="104"/>
        <v>0.02</v>
      </c>
    </row>
    <row r="1326" spans="1:19" x14ac:dyDescent="0.25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e">
        <f>VLOOKUP('Customer Info'!A1318,'Customer Info'!A1318:I1817,2,FALSE)</f>
        <v>#N/A</v>
      </c>
      <c r="H1326" s="6" t="e">
        <f>VLOOKUP('Customer Info'!A1318,'Customer Info'!A1318:I1818,3,FALSE)</f>
        <v>#N/A</v>
      </c>
      <c r="I1326" s="6" t="e">
        <f>VLOOKUP('Customer Info'!A1318,'Customer Info'!A1318:I1817,5,FALSE)</f>
        <v>#N/A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291</v>
      </c>
      <c r="R1326" s="2" t="s">
        <v>50</v>
      </c>
      <c r="S1326" s="9">
        <f t="shared" si="104"/>
        <v>0.02</v>
      </c>
    </row>
    <row r="1327" spans="1:19" x14ac:dyDescent="0.25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e">
        <f>VLOOKUP('Customer Info'!A1319,'Customer Info'!A1319:I1818,2,FALSE)</f>
        <v>#N/A</v>
      </c>
      <c r="H1327" s="6" t="e">
        <f>VLOOKUP('Customer Info'!A1319,'Customer Info'!A1319:I1819,3,FALSE)</f>
        <v>#N/A</v>
      </c>
      <c r="I1327" s="6" t="e">
        <f>VLOOKUP('Customer Info'!A1319,'Customer Info'!A1319:I1818,5,FALSE)</f>
        <v>#N/A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423</v>
      </c>
      <c r="R1327" s="2" t="s">
        <v>28</v>
      </c>
      <c r="S1327" s="9">
        <f t="shared" si="104"/>
        <v>0.02</v>
      </c>
    </row>
    <row r="1328" spans="1:19" x14ac:dyDescent="0.25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e">
        <f>VLOOKUP('Customer Info'!A1320,'Customer Info'!A1320:I1819,2,FALSE)</f>
        <v>#N/A</v>
      </c>
      <c r="H1328" s="6" t="e">
        <f>VLOOKUP('Customer Info'!A1320,'Customer Info'!A1320:I1820,3,FALSE)</f>
        <v>#N/A</v>
      </c>
      <c r="I1328" s="6" t="e">
        <f>VLOOKUP('Customer Info'!A1320,'Customer Info'!A1320:I1819,5,FALSE)</f>
        <v>#N/A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441</v>
      </c>
      <c r="R1328" s="2" t="s">
        <v>26</v>
      </c>
      <c r="S1328" s="9">
        <f t="shared" si="104"/>
        <v>0.02</v>
      </c>
    </row>
    <row r="1329" spans="1:19" x14ac:dyDescent="0.25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e">
        <f>VLOOKUP('Customer Info'!A1321,'Customer Info'!A1321:I1820,2,FALSE)</f>
        <v>#N/A</v>
      </c>
      <c r="H1329" s="6" t="e">
        <f>VLOOKUP('Customer Info'!A1321,'Customer Info'!A1321:I1821,3,FALSE)</f>
        <v>#N/A</v>
      </c>
      <c r="I1329" s="6" t="e">
        <f>VLOOKUP('Customer Info'!A1321,'Customer Info'!A1321:I1820,5,FALSE)</f>
        <v>#N/A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1053</v>
      </c>
      <c r="R1329" s="2" t="s">
        <v>50</v>
      </c>
      <c r="S1329" s="9">
        <f t="shared" si="104"/>
        <v>0.05</v>
      </c>
    </row>
    <row r="1330" spans="1:19" x14ac:dyDescent="0.25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e">
        <f>VLOOKUP('Customer Info'!A1322,'Customer Info'!A1322:I1821,2,FALSE)</f>
        <v>#N/A</v>
      </c>
      <c r="H1330" s="6" t="e">
        <f>VLOOKUP('Customer Info'!A1322,'Customer Info'!A1322:I1822,3,FALSE)</f>
        <v>#N/A</v>
      </c>
      <c r="I1330" s="6" t="e">
        <f>VLOOKUP('Customer Info'!A1322,'Customer Info'!A1322:I1821,5,FALSE)</f>
        <v>#N/A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811</v>
      </c>
      <c r="R1330" s="2" t="s">
        <v>28</v>
      </c>
      <c r="S1330" s="9">
        <f t="shared" si="104"/>
        <v>0.05</v>
      </c>
    </row>
    <row r="1331" spans="1:19" x14ac:dyDescent="0.25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e">
        <f>VLOOKUP('Customer Info'!A1323,'Customer Info'!A1323:I1822,2,FALSE)</f>
        <v>#N/A</v>
      </c>
      <c r="H1331" s="6" t="e">
        <f>VLOOKUP('Customer Info'!A1323,'Customer Info'!A1323:I1823,3,FALSE)</f>
        <v>#N/A</v>
      </c>
      <c r="I1331" s="6" t="e">
        <f>VLOOKUP('Customer Info'!A1323,'Customer Info'!A1323:I1822,5,FALSE)</f>
        <v>#N/A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640</v>
      </c>
      <c r="R1331" s="2" t="s">
        <v>26</v>
      </c>
      <c r="S1331" s="9">
        <f t="shared" si="104"/>
        <v>0.05</v>
      </c>
    </row>
    <row r="1332" spans="1:19" x14ac:dyDescent="0.25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e">
        <f>VLOOKUP('Customer Info'!A1324,'Customer Info'!A1324:I1823,2,FALSE)</f>
        <v>#N/A</v>
      </c>
      <c r="H1332" s="6" t="e">
        <f>VLOOKUP('Customer Info'!A1324,'Customer Info'!A1324:I1824,3,FALSE)</f>
        <v>#N/A</v>
      </c>
      <c r="I1332" s="6" t="e">
        <f>VLOOKUP('Customer Info'!A1324,'Customer Info'!A1324:I1823,5,FALSE)</f>
        <v>#N/A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346</v>
      </c>
      <c r="R1332" s="2" t="s">
        <v>28</v>
      </c>
      <c r="S1332" s="9">
        <f t="shared" si="104"/>
        <v>0.02</v>
      </c>
    </row>
    <row r="1333" spans="1:19" x14ac:dyDescent="0.25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e">
        <f>VLOOKUP('Customer Info'!A1325,'Customer Info'!A1325:I1824,2,FALSE)</f>
        <v>#N/A</v>
      </c>
      <c r="H1333" s="6" t="e">
        <f>VLOOKUP('Customer Info'!A1325,'Customer Info'!A1325:I1825,3,FALSE)</f>
        <v>#N/A</v>
      </c>
      <c r="I1333" s="6" t="e">
        <f>VLOOKUP('Customer Info'!A1325,'Customer Info'!A1325:I1824,5,FALSE)</f>
        <v>#N/A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475</v>
      </c>
      <c r="R1333" s="2" t="s">
        <v>28</v>
      </c>
      <c r="S1333" s="9">
        <f t="shared" si="104"/>
        <v>0.02</v>
      </c>
    </row>
    <row r="1334" spans="1:19" x14ac:dyDescent="0.25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e">
        <f>VLOOKUP('Customer Info'!A1326,'Customer Info'!A1326:I1825,2,FALSE)</f>
        <v>#N/A</v>
      </c>
      <c r="H1334" s="6" t="e">
        <f>VLOOKUP('Customer Info'!A1326,'Customer Info'!A1326:I1826,3,FALSE)</f>
        <v>#N/A</v>
      </c>
      <c r="I1334" s="6" t="e">
        <f>VLOOKUP('Customer Info'!A1326,'Customer Info'!A1326:I1825,5,FALSE)</f>
        <v>#N/A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283</v>
      </c>
      <c r="R1334" s="2" t="s">
        <v>50</v>
      </c>
      <c r="S1334" s="9">
        <f t="shared" si="104"/>
        <v>0.05</v>
      </c>
    </row>
    <row r="1335" spans="1:19" x14ac:dyDescent="0.25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e">
        <f>VLOOKUP('Customer Info'!A1327,'Customer Info'!A1327:I1826,2,FALSE)</f>
        <v>#N/A</v>
      </c>
      <c r="H1335" s="6" t="e">
        <f>VLOOKUP('Customer Info'!A1327,'Customer Info'!A1327:I1827,3,FALSE)</f>
        <v>#N/A</v>
      </c>
      <c r="I1335" s="6" t="e">
        <f>VLOOKUP('Customer Info'!A1327,'Customer Info'!A1327:I1826,5,FALSE)</f>
        <v>#N/A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762</v>
      </c>
      <c r="R1335" s="2" t="s">
        <v>28</v>
      </c>
      <c r="S1335" s="9">
        <f t="shared" si="104"/>
        <v>0.05</v>
      </c>
    </row>
    <row r="1336" spans="1:19" x14ac:dyDescent="0.25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e">
        <f>VLOOKUP('Customer Info'!A1328,'Customer Info'!A1328:I1827,2,FALSE)</f>
        <v>#N/A</v>
      </c>
      <c r="H1336" s="6" t="e">
        <f>VLOOKUP('Customer Info'!A1328,'Customer Info'!A1328:I1828,3,FALSE)</f>
        <v>#N/A</v>
      </c>
      <c r="I1336" s="6" t="e">
        <f>VLOOKUP('Customer Info'!A1328,'Customer Info'!A1328:I1827,5,FALSE)</f>
        <v>#N/A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496</v>
      </c>
      <c r="R1336" s="2" t="s">
        <v>56</v>
      </c>
      <c r="S1336" s="9">
        <f t="shared" si="104"/>
        <v>0.02</v>
      </c>
    </row>
    <row r="1337" spans="1:19" x14ac:dyDescent="0.25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e">
        <f>VLOOKUP('Customer Info'!A1329,'Customer Info'!A1329:I1828,2,FALSE)</f>
        <v>#N/A</v>
      </c>
      <c r="H1337" s="6" t="e">
        <f>VLOOKUP('Customer Info'!A1329,'Customer Info'!A1329:I1829,3,FALSE)</f>
        <v>#N/A</v>
      </c>
      <c r="I1337" s="6" t="e">
        <f>VLOOKUP('Customer Info'!A1329,'Customer Info'!A1329:I1828,5,FALSE)</f>
        <v>#N/A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436</v>
      </c>
      <c r="R1337" s="2" t="s">
        <v>28</v>
      </c>
      <c r="S1337" s="9">
        <f t="shared" si="104"/>
        <v>0.02</v>
      </c>
    </row>
    <row r="1338" spans="1:19" x14ac:dyDescent="0.25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e">
        <f>VLOOKUP('Customer Info'!A1330,'Customer Info'!A1330:I1829,2,FALSE)</f>
        <v>#N/A</v>
      </c>
      <c r="H1338" s="6" t="e">
        <f>VLOOKUP('Customer Info'!A1330,'Customer Info'!A1330:I1830,3,FALSE)</f>
        <v>#N/A</v>
      </c>
      <c r="I1338" s="6" t="e">
        <f>VLOOKUP('Customer Info'!A1330,'Customer Info'!A1330:I1829,5,FALSE)</f>
        <v>#N/A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15</v>
      </c>
      <c r="R1338" s="2" t="s">
        <v>28</v>
      </c>
      <c r="S1338" s="9">
        <f t="shared" si="104"/>
        <v>0.02</v>
      </c>
    </row>
    <row r="1339" spans="1:19" x14ac:dyDescent="0.25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e">
        <f>VLOOKUP('Customer Info'!A1331,'Customer Info'!A1331:I1830,2,FALSE)</f>
        <v>#N/A</v>
      </c>
      <c r="H1339" s="6" t="e">
        <f>VLOOKUP('Customer Info'!A1331,'Customer Info'!A1331:I1831,3,FALSE)</f>
        <v>#N/A</v>
      </c>
      <c r="I1339" s="6" t="e">
        <f>VLOOKUP('Customer Info'!A1331,'Customer Info'!A1331:I1830,5,FALSE)</f>
        <v>#N/A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715</v>
      </c>
      <c r="R1339" s="2" t="s">
        <v>26</v>
      </c>
      <c r="S1339" s="9">
        <f t="shared" si="104"/>
        <v>0.05</v>
      </c>
    </row>
    <row r="1340" spans="1:19" x14ac:dyDescent="0.25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e">
        <f>VLOOKUP('Customer Info'!A1332,'Customer Info'!A1332:I1831,2,FALSE)</f>
        <v>#N/A</v>
      </c>
      <c r="H1340" s="6" t="e">
        <f>VLOOKUP('Customer Info'!A1332,'Customer Info'!A1332:I1832,3,FALSE)</f>
        <v>#N/A</v>
      </c>
      <c r="I1340" s="6" t="e">
        <f>VLOOKUP('Customer Info'!A1332,'Customer Info'!A1332:I1831,5,FALSE)</f>
        <v>#N/A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225</v>
      </c>
      <c r="R1340" s="2" t="s">
        <v>50</v>
      </c>
      <c r="S1340" s="9">
        <f t="shared" si="104"/>
        <v>0.05</v>
      </c>
    </row>
    <row r="1341" spans="1:19" x14ac:dyDescent="0.25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e">
        <f>VLOOKUP('Customer Info'!A1333,'Customer Info'!A1333:I1832,2,FALSE)</f>
        <v>#N/A</v>
      </c>
      <c r="H1341" s="6" t="e">
        <f>VLOOKUP('Customer Info'!A1333,'Customer Info'!A1333:I1833,3,FALSE)</f>
        <v>#N/A</v>
      </c>
      <c r="I1341" s="6" t="e">
        <f>VLOOKUP('Customer Info'!A1333,'Customer Info'!A1333:I1832,5,FALSE)</f>
        <v>#N/A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40</v>
      </c>
      <c r="R1341" s="2" t="s">
        <v>28</v>
      </c>
      <c r="S1341" s="9">
        <f t="shared" si="104"/>
        <v>0.02</v>
      </c>
    </row>
    <row r="1342" spans="1:19" x14ac:dyDescent="0.25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e">
        <f>VLOOKUP('Customer Info'!A1334,'Customer Info'!A1334:I1833,2,FALSE)</f>
        <v>#N/A</v>
      </c>
      <c r="H1342" s="6" t="e">
        <f>VLOOKUP('Customer Info'!A1334,'Customer Info'!A1334:I1834,3,FALSE)</f>
        <v>#N/A</v>
      </c>
      <c r="I1342" s="6" t="e">
        <f>VLOOKUP('Customer Info'!A1334,'Customer Info'!A1334:I1833,5,FALSE)</f>
        <v>#N/A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767</v>
      </c>
      <c r="R1342" s="2" t="s">
        <v>50</v>
      </c>
      <c r="S1342" s="9">
        <f t="shared" si="104"/>
        <v>0.05</v>
      </c>
    </row>
    <row r="1343" spans="1:19" x14ac:dyDescent="0.25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e">
        <f>VLOOKUP('Customer Info'!A1335,'Customer Info'!A1335:I1834,2,FALSE)</f>
        <v>#N/A</v>
      </c>
      <c r="H1343" s="6" t="e">
        <f>VLOOKUP('Customer Info'!A1335,'Customer Info'!A1335:I1835,3,FALSE)</f>
        <v>#N/A</v>
      </c>
      <c r="I1343" s="6" t="e">
        <f>VLOOKUP('Customer Info'!A1335,'Customer Info'!A1335:I1834,5,FALSE)</f>
        <v>#N/A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566</v>
      </c>
      <c r="R1343" s="2" t="s">
        <v>28</v>
      </c>
      <c r="S1343" s="9">
        <f t="shared" si="104"/>
        <v>0.05</v>
      </c>
    </row>
    <row r="1344" spans="1:19" x14ac:dyDescent="0.25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e">
        <f>VLOOKUP('Customer Info'!A1336,'Customer Info'!A1336:I1835,2,FALSE)</f>
        <v>#N/A</v>
      </c>
      <c r="H1344" s="6" t="e">
        <f>VLOOKUP('Customer Info'!A1336,'Customer Info'!A1336:I1836,3,FALSE)</f>
        <v>#N/A</v>
      </c>
      <c r="I1344" s="6" t="e">
        <f>VLOOKUP('Customer Info'!A1336,'Customer Info'!A1336:I1835,5,FALSE)</f>
        <v>#N/A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237</v>
      </c>
      <c r="R1344" s="2" t="s">
        <v>50</v>
      </c>
      <c r="S1344" s="9">
        <f t="shared" si="104"/>
        <v>0.02</v>
      </c>
    </row>
    <row r="1345" spans="1:19" x14ac:dyDescent="0.25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e">
        <f>VLOOKUP('Customer Info'!A1337,'Customer Info'!A1337:I1836,2,FALSE)</f>
        <v>#N/A</v>
      </c>
      <c r="H1345" s="6" t="e">
        <f>VLOOKUP('Customer Info'!A1337,'Customer Info'!A1337:I1837,3,FALSE)</f>
        <v>#N/A</v>
      </c>
      <c r="I1345" s="6" t="e">
        <f>VLOOKUP('Customer Info'!A1337,'Customer Info'!A1337:I1836,5,FALSE)</f>
        <v>#N/A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2894</v>
      </c>
      <c r="R1345" s="2" t="s">
        <v>50</v>
      </c>
      <c r="S1345" s="9">
        <f t="shared" si="104"/>
        <v>7.0000000000000007E-2</v>
      </c>
    </row>
    <row r="1346" spans="1:19" x14ac:dyDescent="0.25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e">
        <f>VLOOKUP('Customer Info'!A1338,'Customer Info'!A1338:I1837,2,FALSE)</f>
        <v>#N/A</v>
      </c>
      <c r="H1346" s="6" t="e">
        <f>VLOOKUP('Customer Info'!A1338,'Customer Info'!A1338:I1838,3,FALSE)</f>
        <v>#N/A</v>
      </c>
      <c r="I1346" s="6" t="e">
        <f>VLOOKUP('Customer Info'!A1338,'Customer Info'!A1338:I1837,5,FALSE)</f>
        <v>#N/A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228</v>
      </c>
      <c r="R1346" s="2" t="s">
        <v>50</v>
      </c>
      <c r="S1346" s="9">
        <f t="shared" si="104"/>
        <v>0.02</v>
      </c>
    </row>
    <row r="1347" spans="1:19" x14ac:dyDescent="0.25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e">
        <f>VLOOKUP('Customer Info'!A1339,'Customer Info'!A1339:I1838,2,FALSE)</f>
        <v>#N/A</v>
      </c>
      <c r="H1347" s="6" t="e">
        <f>VLOOKUP('Customer Info'!A1339,'Customer Info'!A1339:I1839,3,FALSE)</f>
        <v>#N/A</v>
      </c>
      <c r="I1347" s="6" t="e">
        <f>VLOOKUP('Customer Info'!A1339,'Customer Info'!A1339:I1838,5,FALSE)</f>
        <v>#N/A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47</v>
      </c>
      <c r="R1347" s="2" t="s">
        <v>28</v>
      </c>
      <c r="S1347" s="9">
        <f t="shared" si="104"/>
        <v>0.02</v>
      </c>
    </row>
    <row r="1348" spans="1:19" x14ac:dyDescent="0.25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e">
        <f>VLOOKUP('Customer Info'!A1340,'Customer Info'!A1340:I1839,2,FALSE)</f>
        <v>#N/A</v>
      </c>
      <c r="H1348" s="6" t="e">
        <f>VLOOKUP('Customer Info'!A1340,'Customer Info'!A1340:I1840,3,FALSE)</f>
        <v>#N/A</v>
      </c>
      <c r="I1348" s="6" t="e">
        <f>VLOOKUP('Customer Info'!A1340,'Customer Info'!A1340:I1839,5,FALSE)</f>
        <v>#N/A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561</v>
      </c>
      <c r="R1348" s="2" t="s">
        <v>50</v>
      </c>
      <c r="S1348" s="9">
        <f t="shared" si="104"/>
        <v>0.05</v>
      </c>
    </row>
    <row r="1349" spans="1:19" x14ac:dyDescent="0.25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e">
        <f>VLOOKUP('Customer Info'!A1341,'Customer Info'!A1341:I1840,2,FALSE)</f>
        <v>#N/A</v>
      </c>
      <c r="H1349" s="6" t="e">
        <f>VLOOKUP('Customer Info'!A1341,'Customer Info'!A1341:I1841,3,FALSE)</f>
        <v>#N/A</v>
      </c>
      <c r="I1349" s="6" t="e">
        <f>VLOOKUP('Customer Info'!A1341,'Customer Info'!A1341:I1840,5,FALSE)</f>
        <v>#N/A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151</v>
      </c>
      <c r="R1349" s="2" t="s">
        <v>28</v>
      </c>
      <c r="S1349" s="9">
        <f t="shared" si="104"/>
        <v>0.02</v>
      </c>
    </row>
    <row r="1350" spans="1:19" x14ac:dyDescent="0.25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e">
        <f>VLOOKUP('Customer Info'!A1342,'Customer Info'!A1342:I1841,2,FALSE)</f>
        <v>#N/A</v>
      </c>
      <c r="H1350" s="6" t="e">
        <f>VLOOKUP('Customer Info'!A1342,'Customer Info'!A1342:I1842,3,FALSE)</f>
        <v>#N/A</v>
      </c>
      <c r="I1350" s="6" t="e">
        <f>VLOOKUP('Customer Info'!A1342,'Customer Info'!A1342:I1841,5,FALSE)</f>
        <v>#N/A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211</v>
      </c>
      <c r="R1350" s="2" t="s">
        <v>28</v>
      </c>
      <c r="S1350" s="9">
        <f t="shared" si="104"/>
        <v>0.02</v>
      </c>
    </row>
    <row r="1351" spans="1:19" x14ac:dyDescent="0.25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e">
        <f>VLOOKUP('Customer Info'!A1343,'Customer Info'!A1343:I1842,2,FALSE)</f>
        <v>#N/A</v>
      </c>
      <c r="H1351" s="6" t="e">
        <f>VLOOKUP('Customer Info'!A1343,'Customer Info'!A1343:I1843,3,FALSE)</f>
        <v>#N/A</v>
      </c>
      <c r="I1351" s="6" t="e">
        <f>VLOOKUP('Customer Info'!A1343,'Customer Info'!A1343:I1842,5,FALSE)</f>
        <v>#N/A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604</v>
      </c>
      <c r="R1351" s="2" t="s">
        <v>28</v>
      </c>
      <c r="S1351" s="9">
        <f t="shared" si="104"/>
        <v>0.05</v>
      </c>
    </row>
    <row r="1352" spans="1:19" x14ac:dyDescent="0.25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e">
        <f>VLOOKUP('Customer Info'!A1344,'Customer Info'!A1344:I1843,2,FALSE)</f>
        <v>#N/A</v>
      </c>
      <c r="H1352" s="6" t="e">
        <f>VLOOKUP('Customer Info'!A1344,'Customer Info'!A1344:I1844,3,FALSE)</f>
        <v>#N/A</v>
      </c>
      <c r="I1352" s="6" t="e">
        <f>VLOOKUP('Customer Info'!A1344,'Customer Info'!A1344:I1843,5,FALSE)</f>
        <v>#N/A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1314</v>
      </c>
      <c r="R1352" s="2" t="s">
        <v>28</v>
      </c>
      <c r="S1352" s="9">
        <f t="shared" si="104"/>
        <v>0.05</v>
      </c>
    </row>
    <row r="1353" spans="1:19" x14ac:dyDescent="0.25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e">
        <f>VLOOKUP('Customer Info'!A1345,'Customer Info'!A1345:I1844,2,FALSE)</f>
        <v>#N/A</v>
      </c>
      <c r="H1353" s="6" t="e">
        <f>VLOOKUP('Customer Info'!A1345,'Customer Info'!A1345:I1845,3,FALSE)</f>
        <v>#N/A</v>
      </c>
      <c r="I1353" s="6" t="e">
        <f>VLOOKUP('Customer Info'!A1345,'Customer Info'!A1345:I1844,5,FALSE)</f>
        <v>#N/A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1607</v>
      </c>
      <c r="R1353" s="2" t="s">
        <v>50</v>
      </c>
      <c r="S1353" s="9">
        <f t="shared" si="104"/>
        <v>0.05</v>
      </c>
    </row>
    <row r="1354" spans="1:19" x14ac:dyDescent="0.25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e">
        <f>VLOOKUP('Customer Info'!A1346,'Customer Info'!A1346:I1845,2,FALSE)</f>
        <v>#N/A</v>
      </c>
      <c r="H1354" s="6" t="e">
        <f>VLOOKUP('Customer Info'!A1346,'Customer Info'!A1346:I1846,3,FALSE)</f>
        <v>#N/A</v>
      </c>
      <c r="I1354" s="6" t="e">
        <f>VLOOKUP('Customer Info'!A1346,'Customer Info'!A1346:I1845,5,FALSE)</f>
        <v>#N/A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151</v>
      </c>
      <c r="R1354" s="2" t="s">
        <v>28</v>
      </c>
      <c r="S1354" s="9">
        <f t="shared" si="104"/>
        <v>0.02</v>
      </c>
    </row>
    <row r="1355" spans="1:19" x14ac:dyDescent="0.25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e">
        <f>VLOOKUP('Customer Info'!A1347,'Customer Info'!A1347:I1846,2,FALSE)</f>
        <v>#N/A</v>
      </c>
      <c r="H1355" s="6" t="e">
        <f>VLOOKUP('Customer Info'!A1347,'Customer Info'!A1347:I1847,3,FALSE)</f>
        <v>#N/A</v>
      </c>
      <c r="I1355" s="6" t="e">
        <f>VLOOKUP('Customer Info'!A1347,'Customer Info'!A1347:I1846,5,FALSE)</f>
        <v>#N/A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8">
        <f t="shared" ref="P1355:P1418" si="107">N1355+O1355</f>
        <v>2749</v>
      </c>
      <c r="Q1355" s="8">
        <f t="shared" ref="Q1355:Q1418" si="108">P1355-M1355</f>
        <v>235</v>
      </c>
      <c r="R1355" s="2" t="s">
        <v>28</v>
      </c>
      <c r="S1355" s="9">
        <f t="shared" ref="S1355:S1418" si="109">VLOOKUP(P1355,$T$2:$U$7,2,TRUE)</f>
        <v>0.02</v>
      </c>
    </row>
    <row r="1356" spans="1:19" x14ac:dyDescent="0.25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e">
        <f>VLOOKUP('Customer Info'!A1348,'Customer Info'!A1348:I1847,2,FALSE)</f>
        <v>#N/A</v>
      </c>
      <c r="H1356" s="6" t="e">
        <f>VLOOKUP('Customer Info'!A1348,'Customer Info'!A1348:I1848,3,FALSE)</f>
        <v>#N/A</v>
      </c>
      <c r="I1356" s="6" t="e">
        <f>VLOOKUP('Customer Info'!A1348,'Customer Info'!A1348:I1847,5,FALSE)</f>
        <v>#N/A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654</v>
      </c>
      <c r="R1356" s="2" t="s">
        <v>50</v>
      </c>
      <c r="S1356" s="9">
        <f t="shared" si="109"/>
        <v>0.05</v>
      </c>
    </row>
    <row r="1357" spans="1:19" x14ac:dyDescent="0.25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e">
        <f>VLOOKUP('Customer Info'!A1349,'Customer Info'!A1349:I1848,2,FALSE)</f>
        <v>#N/A</v>
      </c>
      <c r="H1357" s="6" t="e">
        <f>VLOOKUP('Customer Info'!A1349,'Customer Info'!A1349:I1849,3,FALSE)</f>
        <v>#N/A</v>
      </c>
      <c r="I1357" s="6" t="e">
        <f>VLOOKUP('Customer Info'!A1349,'Customer Info'!A1349:I1848,5,FALSE)</f>
        <v>#N/A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102</v>
      </c>
      <c r="R1357" s="2" t="s">
        <v>28</v>
      </c>
      <c r="S1357" s="9">
        <f t="shared" si="109"/>
        <v>0.02</v>
      </c>
    </row>
    <row r="1358" spans="1:19" x14ac:dyDescent="0.25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e">
        <f>VLOOKUP('Customer Info'!A1350,'Customer Info'!A1350:I1849,2,FALSE)</f>
        <v>#N/A</v>
      </c>
      <c r="H1358" s="6" t="e">
        <f>VLOOKUP('Customer Info'!A1350,'Customer Info'!A1350:I1850,3,FALSE)</f>
        <v>#N/A</v>
      </c>
      <c r="I1358" s="6" t="e">
        <f>VLOOKUP('Customer Info'!A1350,'Customer Info'!A1350:I1849,5,FALSE)</f>
        <v>#N/A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448</v>
      </c>
      <c r="R1358" s="2" t="s">
        <v>50</v>
      </c>
      <c r="S1358" s="9">
        <f t="shared" si="109"/>
        <v>0.05</v>
      </c>
    </row>
    <row r="1359" spans="1:19" x14ac:dyDescent="0.25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e">
        <f>VLOOKUP('Customer Info'!A1351,'Customer Info'!A1351:I1850,2,FALSE)</f>
        <v>#N/A</v>
      </c>
      <c r="H1359" s="6" t="e">
        <f>VLOOKUP('Customer Info'!A1351,'Customer Info'!A1351:I1851,3,FALSE)</f>
        <v>#N/A</v>
      </c>
      <c r="I1359" s="6" t="e">
        <f>VLOOKUP('Customer Info'!A1351,'Customer Info'!A1351:I1850,5,FALSE)</f>
        <v>#N/A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20</v>
      </c>
      <c r="R1359" s="2" t="s">
        <v>28</v>
      </c>
      <c r="S1359" s="9">
        <f t="shared" si="109"/>
        <v>0.02</v>
      </c>
    </row>
    <row r="1360" spans="1:19" x14ac:dyDescent="0.25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e">
        <f>VLOOKUP('Customer Info'!A1352,'Customer Info'!A1352:I1851,2,FALSE)</f>
        <v>#N/A</v>
      </c>
      <c r="H1360" s="6" t="e">
        <f>VLOOKUP('Customer Info'!A1352,'Customer Info'!A1352:I1852,3,FALSE)</f>
        <v>#N/A</v>
      </c>
      <c r="I1360" s="6" t="e">
        <f>VLOOKUP('Customer Info'!A1352,'Customer Info'!A1352:I1851,5,FALSE)</f>
        <v>#N/A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357</v>
      </c>
      <c r="R1360" s="2" t="s">
        <v>50</v>
      </c>
      <c r="S1360" s="9">
        <f t="shared" si="109"/>
        <v>0.02</v>
      </c>
    </row>
    <row r="1361" spans="1:19" x14ac:dyDescent="0.25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e">
        <f>VLOOKUP('Customer Info'!A1353,'Customer Info'!A1353:I1852,2,FALSE)</f>
        <v>#N/A</v>
      </c>
      <c r="H1361" s="6" t="e">
        <f>VLOOKUP('Customer Info'!A1353,'Customer Info'!A1353:I1853,3,FALSE)</f>
        <v>#N/A</v>
      </c>
      <c r="I1361" s="6" t="e">
        <f>VLOOKUP('Customer Info'!A1353,'Customer Info'!A1353:I1852,5,FALSE)</f>
        <v>#N/A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54</v>
      </c>
      <c r="R1361" s="2" t="s">
        <v>50</v>
      </c>
      <c r="S1361" s="9">
        <f t="shared" si="109"/>
        <v>0.02</v>
      </c>
    </row>
    <row r="1362" spans="1:19" x14ac:dyDescent="0.25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e">
        <f>VLOOKUP('Customer Info'!A1354,'Customer Info'!A1354:I1853,2,FALSE)</f>
        <v>#N/A</v>
      </c>
      <c r="H1362" s="6" t="e">
        <f>VLOOKUP('Customer Info'!A1354,'Customer Info'!A1354:I1854,3,FALSE)</f>
        <v>#N/A</v>
      </c>
      <c r="I1362" s="6" t="e">
        <f>VLOOKUP('Customer Info'!A1354,'Customer Info'!A1354:I1853,5,FALSE)</f>
        <v>#N/A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761</v>
      </c>
      <c r="R1362" s="2" t="s">
        <v>28</v>
      </c>
      <c r="S1362" s="9">
        <f t="shared" si="109"/>
        <v>0.05</v>
      </c>
    </row>
    <row r="1363" spans="1:19" x14ac:dyDescent="0.25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e">
        <f>VLOOKUP('Customer Info'!A1355,'Customer Info'!A1355:I1854,2,FALSE)</f>
        <v>#N/A</v>
      </c>
      <c r="H1363" s="6" t="e">
        <f>VLOOKUP('Customer Info'!A1355,'Customer Info'!A1355:I1855,3,FALSE)</f>
        <v>#N/A</v>
      </c>
      <c r="I1363" s="6" t="e">
        <f>VLOOKUP('Customer Info'!A1355,'Customer Info'!A1355:I1854,5,FALSE)</f>
        <v>#N/A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377</v>
      </c>
      <c r="R1363" s="2" t="s">
        <v>28</v>
      </c>
      <c r="S1363" s="9">
        <f t="shared" si="109"/>
        <v>0.02</v>
      </c>
    </row>
    <row r="1364" spans="1:19" x14ac:dyDescent="0.25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e">
        <f>VLOOKUP('Customer Info'!A1356,'Customer Info'!A1356:I1855,2,FALSE)</f>
        <v>#N/A</v>
      </c>
      <c r="H1364" s="6" t="e">
        <f>VLOOKUP('Customer Info'!A1356,'Customer Info'!A1356:I1856,3,FALSE)</f>
        <v>#N/A</v>
      </c>
      <c r="I1364" s="6" t="e">
        <f>VLOOKUP('Customer Info'!A1356,'Customer Info'!A1356:I1855,5,FALSE)</f>
        <v>#N/A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116</v>
      </c>
      <c r="R1364" s="2" t="s">
        <v>28</v>
      </c>
      <c r="S1364" s="9">
        <f t="shared" si="109"/>
        <v>0.02</v>
      </c>
    </row>
    <row r="1365" spans="1:19" x14ac:dyDescent="0.25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e">
        <f>VLOOKUP('Customer Info'!A1357,'Customer Info'!A1357:I1856,2,FALSE)</f>
        <v>#N/A</v>
      </c>
      <c r="H1365" s="6" t="e">
        <f>VLOOKUP('Customer Info'!A1357,'Customer Info'!A1357:I1857,3,FALSE)</f>
        <v>#N/A</v>
      </c>
      <c r="I1365" s="6" t="e">
        <f>VLOOKUP('Customer Info'!A1357,'Customer Info'!A1357:I1856,5,FALSE)</f>
        <v>#N/A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102</v>
      </c>
      <c r="R1365" s="2" t="s">
        <v>50</v>
      </c>
      <c r="S1365" s="9">
        <f t="shared" si="109"/>
        <v>0.02</v>
      </c>
    </row>
    <row r="1366" spans="1:19" x14ac:dyDescent="0.25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e">
        <f>VLOOKUP('Customer Info'!A1358,'Customer Info'!A1358:I1857,2,FALSE)</f>
        <v>#N/A</v>
      </c>
      <c r="H1366" s="6" t="e">
        <f>VLOOKUP('Customer Info'!A1358,'Customer Info'!A1358:I1858,3,FALSE)</f>
        <v>#N/A</v>
      </c>
      <c r="I1366" s="6" t="e">
        <f>VLOOKUP('Customer Info'!A1358,'Customer Info'!A1358:I1857,5,FALSE)</f>
        <v>#N/A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54</v>
      </c>
      <c r="R1366" s="2" t="s">
        <v>26</v>
      </c>
      <c r="S1366" s="9">
        <f t="shared" si="109"/>
        <v>0.02</v>
      </c>
    </row>
    <row r="1367" spans="1:19" x14ac:dyDescent="0.25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e">
        <f>VLOOKUP('Customer Info'!A1359,'Customer Info'!A1359:I1858,2,FALSE)</f>
        <v>#N/A</v>
      </c>
      <c r="H1367" s="6" t="e">
        <f>VLOOKUP('Customer Info'!A1359,'Customer Info'!A1359:I1859,3,FALSE)</f>
        <v>#N/A</v>
      </c>
      <c r="I1367" s="6" t="e">
        <f>VLOOKUP('Customer Info'!A1359,'Customer Info'!A1359:I1858,5,FALSE)</f>
        <v>#N/A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11353</v>
      </c>
      <c r="R1367" s="2" t="s">
        <v>28</v>
      </c>
      <c r="S1367" s="9">
        <f t="shared" si="109"/>
        <v>0.12</v>
      </c>
    </row>
    <row r="1368" spans="1:19" x14ac:dyDescent="0.25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e">
        <f>VLOOKUP('Customer Info'!A1360,'Customer Info'!A1360:I1859,2,FALSE)</f>
        <v>#N/A</v>
      </c>
      <c r="H1368" s="6" t="e">
        <f>VLOOKUP('Customer Info'!A1360,'Customer Info'!A1360:I1860,3,FALSE)</f>
        <v>#N/A</v>
      </c>
      <c r="I1368" s="6" t="e">
        <f>VLOOKUP('Customer Info'!A1360,'Customer Info'!A1360:I1859,5,FALSE)</f>
        <v>#N/A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907</v>
      </c>
      <c r="R1368" s="2" t="s">
        <v>28</v>
      </c>
      <c r="S1368" s="9">
        <f t="shared" si="109"/>
        <v>0.05</v>
      </c>
    </row>
    <row r="1369" spans="1:19" x14ac:dyDescent="0.25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e">
        <f>VLOOKUP('Customer Info'!A1361,'Customer Info'!A1361:I1860,2,FALSE)</f>
        <v>#N/A</v>
      </c>
      <c r="H1369" s="6" t="e">
        <f>VLOOKUP('Customer Info'!A1361,'Customer Info'!A1361:I1861,3,FALSE)</f>
        <v>#N/A</v>
      </c>
      <c r="I1369" s="6" t="e">
        <f>VLOOKUP('Customer Info'!A1361,'Customer Info'!A1361:I1860,5,FALSE)</f>
        <v>#N/A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94</v>
      </c>
      <c r="R1369" s="2" t="s">
        <v>50</v>
      </c>
      <c r="S1369" s="9">
        <f t="shared" si="109"/>
        <v>0.02</v>
      </c>
    </row>
    <row r="1370" spans="1:19" x14ac:dyDescent="0.25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e">
        <f>VLOOKUP('Customer Info'!A1362,'Customer Info'!A1362:I1861,2,FALSE)</f>
        <v>#N/A</v>
      </c>
      <c r="H1370" s="6" t="e">
        <f>VLOOKUP('Customer Info'!A1362,'Customer Info'!A1362:I1862,3,FALSE)</f>
        <v>#N/A</v>
      </c>
      <c r="I1370" s="6" t="e">
        <f>VLOOKUP('Customer Info'!A1362,'Customer Info'!A1362:I1861,5,FALSE)</f>
        <v>#N/A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133</v>
      </c>
      <c r="R1370" s="2" t="s">
        <v>28</v>
      </c>
      <c r="S1370" s="9">
        <f t="shared" si="109"/>
        <v>0.02</v>
      </c>
    </row>
    <row r="1371" spans="1:19" x14ac:dyDescent="0.25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e">
        <f>VLOOKUP('Customer Info'!A1363,'Customer Info'!A1363:I1862,2,FALSE)</f>
        <v>#N/A</v>
      </c>
      <c r="H1371" s="6" t="e">
        <f>VLOOKUP('Customer Info'!A1363,'Customer Info'!A1363:I1863,3,FALSE)</f>
        <v>#N/A</v>
      </c>
      <c r="I1371" s="6" t="e">
        <f>VLOOKUP('Customer Info'!A1363,'Customer Info'!A1363:I1862,5,FALSE)</f>
        <v>#N/A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102</v>
      </c>
      <c r="R1371" s="2" t="s">
        <v>28</v>
      </c>
      <c r="S1371" s="9">
        <f t="shared" si="109"/>
        <v>0.02</v>
      </c>
    </row>
    <row r="1372" spans="1:19" x14ac:dyDescent="0.25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e">
        <f>VLOOKUP('Customer Info'!A1364,'Customer Info'!A1364:I1863,2,FALSE)</f>
        <v>#N/A</v>
      </c>
      <c r="H1372" s="6" t="e">
        <f>VLOOKUP('Customer Info'!A1364,'Customer Info'!A1364:I1864,3,FALSE)</f>
        <v>#N/A</v>
      </c>
      <c r="I1372" s="6" t="e">
        <f>VLOOKUP('Customer Info'!A1364,'Customer Info'!A1364:I1863,5,FALSE)</f>
        <v>#N/A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952</v>
      </c>
      <c r="R1372" s="2" t="s">
        <v>28</v>
      </c>
      <c r="S1372" s="9">
        <f t="shared" si="109"/>
        <v>0.05</v>
      </c>
    </row>
    <row r="1373" spans="1:19" x14ac:dyDescent="0.25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e">
        <f>VLOOKUP('Customer Info'!A1365,'Customer Info'!A1365:I1864,2,FALSE)</f>
        <v>#N/A</v>
      </c>
      <c r="H1373" s="6" t="e">
        <f>VLOOKUP('Customer Info'!A1365,'Customer Info'!A1365:I1865,3,FALSE)</f>
        <v>#N/A</v>
      </c>
      <c r="I1373" s="6" t="e">
        <f>VLOOKUP('Customer Info'!A1365,'Customer Info'!A1365:I1864,5,FALSE)</f>
        <v>#N/A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64</v>
      </c>
      <c r="R1373" s="2" t="s">
        <v>50</v>
      </c>
      <c r="S1373" s="9">
        <f t="shared" si="109"/>
        <v>0.02</v>
      </c>
    </row>
    <row r="1374" spans="1:19" x14ac:dyDescent="0.25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e">
        <f>VLOOKUP('Customer Info'!A1366,'Customer Info'!A1366:I1865,2,FALSE)</f>
        <v>#N/A</v>
      </c>
      <c r="H1374" s="6" t="e">
        <f>VLOOKUP('Customer Info'!A1366,'Customer Info'!A1366:I1866,3,FALSE)</f>
        <v>#N/A</v>
      </c>
      <c r="I1374" s="6" t="e">
        <f>VLOOKUP('Customer Info'!A1366,'Customer Info'!A1366:I1865,5,FALSE)</f>
        <v>#N/A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523</v>
      </c>
      <c r="R1374" s="2" t="s">
        <v>28</v>
      </c>
      <c r="S1374" s="9">
        <f t="shared" si="109"/>
        <v>0.05</v>
      </c>
    </row>
    <row r="1375" spans="1:19" x14ac:dyDescent="0.25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e">
        <f>VLOOKUP('Customer Info'!A1367,'Customer Info'!A1367:I1866,2,FALSE)</f>
        <v>#N/A</v>
      </c>
      <c r="H1375" s="6" t="e">
        <f>VLOOKUP('Customer Info'!A1367,'Customer Info'!A1367:I1867,3,FALSE)</f>
        <v>#N/A</v>
      </c>
      <c r="I1375" s="6" t="e">
        <f>VLOOKUP('Customer Info'!A1367,'Customer Info'!A1367:I1866,5,FALSE)</f>
        <v>#N/A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688</v>
      </c>
      <c r="R1375" s="2" t="s">
        <v>28</v>
      </c>
      <c r="S1375" s="9">
        <f t="shared" si="109"/>
        <v>0.05</v>
      </c>
    </row>
    <row r="1376" spans="1:19" x14ac:dyDescent="0.25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e">
        <f>VLOOKUP('Customer Info'!A1368,'Customer Info'!A1368:I1867,2,FALSE)</f>
        <v>#N/A</v>
      </c>
      <c r="H1376" s="6" t="e">
        <f>VLOOKUP('Customer Info'!A1368,'Customer Info'!A1368:I1868,3,FALSE)</f>
        <v>#N/A</v>
      </c>
      <c r="I1376" s="6" t="e">
        <f>VLOOKUP('Customer Info'!A1368,'Customer Info'!A1368:I1867,5,FALSE)</f>
        <v>#N/A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1122</v>
      </c>
      <c r="R1376" s="2" t="s">
        <v>28</v>
      </c>
      <c r="S1376" s="9">
        <f t="shared" si="109"/>
        <v>0.05</v>
      </c>
    </row>
    <row r="1377" spans="1:19" x14ac:dyDescent="0.25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e">
        <f>VLOOKUP('Customer Info'!A1369,'Customer Info'!A1369:I1868,2,FALSE)</f>
        <v>#N/A</v>
      </c>
      <c r="H1377" s="6" t="e">
        <f>VLOOKUP('Customer Info'!A1369,'Customer Info'!A1369:I1869,3,FALSE)</f>
        <v>#N/A</v>
      </c>
      <c r="I1377" s="6" t="e">
        <f>VLOOKUP('Customer Info'!A1369,'Customer Info'!A1369:I1868,5,FALSE)</f>
        <v>#N/A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145</v>
      </c>
      <c r="R1377" s="2" t="s">
        <v>50</v>
      </c>
      <c r="S1377" s="9">
        <f t="shared" si="109"/>
        <v>0.02</v>
      </c>
    </row>
    <row r="1378" spans="1:19" x14ac:dyDescent="0.25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e">
        <f>VLOOKUP('Customer Info'!A1370,'Customer Info'!A1370:I1869,2,FALSE)</f>
        <v>#N/A</v>
      </c>
      <c r="H1378" s="6" t="e">
        <f>VLOOKUP('Customer Info'!A1370,'Customer Info'!A1370:I1870,3,FALSE)</f>
        <v>#N/A</v>
      </c>
      <c r="I1378" s="6" t="e">
        <f>VLOOKUP('Customer Info'!A1370,'Customer Info'!A1370:I1869,5,FALSE)</f>
        <v>#N/A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217</v>
      </c>
      <c r="R1378" s="2" t="s">
        <v>28</v>
      </c>
      <c r="S1378" s="9">
        <f t="shared" si="109"/>
        <v>0.02</v>
      </c>
    </row>
    <row r="1379" spans="1:19" x14ac:dyDescent="0.25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e">
        <f>VLOOKUP('Customer Info'!A1371,'Customer Info'!A1371:I1870,2,FALSE)</f>
        <v>#N/A</v>
      </c>
      <c r="H1379" s="6" t="e">
        <f>VLOOKUP('Customer Info'!A1371,'Customer Info'!A1371:I1871,3,FALSE)</f>
        <v>#N/A</v>
      </c>
      <c r="I1379" s="6" t="e">
        <f>VLOOKUP('Customer Info'!A1371,'Customer Info'!A1371:I1870,5,FALSE)</f>
        <v>#N/A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1279</v>
      </c>
      <c r="R1379" s="2" t="s">
        <v>56</v>
      </c>
      <c r="S1379" s="9">
        <f t="shared" si="109"/>
        <v>0.05</v>
      </c>
    </row>
    <row r="1380" spans="1:19" x14ac:dyDescent="0.25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e">
        <f>VLOOKUP('Customer Info'!A1372,'Customer Info'!A1372:I1871,2,FALSE)</f>
        <v>#N/A</v>
      </c>
      <c r="H1380" s="6" t="e">
        <f>VLOOKUP('Customer Info'!A1372,'Customer Info'!A1372:I1872,3,FALSE)</f>
        <v>#N/A</v>
      </c>
      <c r="I1380" s="6" t="e">
        <f>VLOOKUP('Customer Info'!A1372,'Customer Info'!A1372:I1871,5,FALSE)</f>
        <v>#N/A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630</v>
      </c>
      <c r="R1380" s="2" t="s">
        <v>50</v>
      </c>
      <c r="S1380" s="9">
        <f t="shared" si="109"/>
        <v>0.05</v>
      </c>
    </row>
    <row r="1381" spans="1:19" x14ac:dyDescent="0.25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e">
        <f>VLOOKUP('Customer Info'!A1373,'Customer Info'!A1373:I1872,2,FALSE)</f>
        <v>#N/A</v>
      </c>
      <c r="H1381" s="6" t="e">
        <f>VLOOKUP('Customer Info'!A1373,'Customer Info'!A1373:I1873,3,FALSE)</f>
        <v>#N/A</v>
      </c>
      <c r="I1381" s="6" t="e">
        <f>VLOOKUP('Customer Info'!A1373,'Customer Info'!A1373:I1872,5,FALSE)</f>
        <v>#N/A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46</v>
      </c>
      <c r="R1381" s="2" t="s">
        <v>28</v>
      </c>
      <c r="S1381" s="9">
        <f t="shared" si="109"/>
        <v>0.02</v>
      </c>
    </row>
    <row r="1382" spans="1:19" x14ac:dyDescent="0.25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e">
        <f>VLOOKUP('Customer Info'!A1374,'Customer Info'!A1374:I1873,2,FALSE)</f>
        <v>#N/A</v>
      </c>
      <c r="H1382" s="6" t="e">
        <f>VLOOKUP('Customer Info'!A1374,'Customer Info'!A1374:I1874,3,FALSE)</f>
        <v>#N/A</v>
      </c>
      <c r="I1382" s="6" t="e">
        <f>VLOOKUP('Customer Info'!A1374,'Customer Info'!A1374:I1873,5,FALSE)</f>
        <v>#N/A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412</v>
      </c>
      <c r="R1382" s="2" t="s">
        <v>50</v>
      </c>
      <c r="S1382" s="9">
        <f t="shared" si="109"/>
        <v>0.05</v>
      </c>
    </row>
    <row r="1383" spans="1:19" x14ac:dyDescent="0.25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e">
        <f>VLOOKUP('Customer Info'!A1375,'Customer Info'!A1375:I1874,2,FALSE)</f>
        <v>#N/A</v>
      </c>
      <c r="H1383" s="6" t="e">
        <f>VLOOKUP('Customer Info'!A1375,'Customer Info'!A1375:I1875,3,FALSE)</f>
        <v>#N/A</v>
      </c>
      <c r="I1383" s="6" t="e">
        <f>VLOOKUP('Customer Info'!A1375,'Customer Info'!A1375:I1874,5,FALSE)</f>
        <v>#N/A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158</v>
      </c>
      <c r="R1383" s="2" t="s">
        <v>28</v>
      </c>
      <c r="S1383" s="9">
        <f t="shared" si="109"/>
        <v>0.05</v>
      </c>
    </row>
    <row r="1384" spans="1:19" x14ac:dyDescent="0.25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e">
        <f>VLOOKUP('Customer Info'!A1376,'Customer Info'!A1376:I1875,2,FALSE)</f>
        <v>#N/A</v>
      </c>
      <c r="H1384" s="6" t="e">
        <f>VLOOKUP('Customer Info'!A1376,'Customer Info'!A1376:I1876,3,FALSE)</f>
        <v>#N/A</v>
      </c>
      <c r="I1384" s="6" t="e">
        <f>VLOOKUP('Customer Info'!A1376,'Customer Info'!A1376:I1875,5,FALSE)</f>
        <v>#N/A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218</v>
      </c>
      <c r="R1384" s="2" t="s">
        <v>28</v>
      </c>
      <c r="S1384" s="9">
        <f t="shared" si="109"/>
        <v>0.02</v>
      </c>
    </row>
    <row r="1385" spans="1:19" x14ac:dyDescent="0.25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e">
        <f>VLOOKUP('Customer Info'!A1377,'Customer Info'!A1377:I1876,2,FALSE)</f>
        <v>#N/A</v>
      </c>
      <c r="H1385" s="6" t="e">
        <f>VLOOKUP('Customer Info'!A1377,'Customer Info'!A1377:I1877,3,FALSE)</f>
        <v>#N/A</v>
      </c>
      <c r="I1385" s="6" t="e">
        <f>VLOOKUP('Customer Info'!A1377,'Customer Info'!A1377:I1876,5,FALSE)</f>
        <v>#N/A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118</v>
      </c>
      <c r="R1385" s="2" t="s">
        <v>28</v>
      </c>
      <c r="S1385" s="9">
        <f t="shared" si="109"/>
        <v>0.02</v>
      </c>
    </row>
    <row r="1386" spans="1:19" x14ac:dyDescent="0.25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e">
        <f>VLOOKUP('Customer Info'!A1378,'Customer Info'!A1378:I1877,2,FALSE)</f>
        <v>#N/A</v>
      </c>
      <c r="H1386" s="6" t="e">
        <f>VLOOKUP('Customer Info'!A1378,'Customer Info'!A1378:I1878,3,FALSE)</f>
        <v>#N/A</v>
      </c>
      <c r="I1386" s="6" t="e">
        <f>VLOOKUP('Customer Info'!A1378,'Customer Info'!A1378:I1877,5,FALSE)</f>
        <v>#N/A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647</v>
      </c>
      <c r="R1386" s="2" t="s">
        <v>28</v>
      </c>
      <c r="S1386" s="9">
        <f t="shared" si="109"/>
        <v>0.05</v>
      </c>
    </row>
    <row r="1387" spans="1:19" x14ac:dyDescent="0.25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e">
        <f>VLOOKUP('Customer Info'!A1379,'Customer Info'!A1379:I1878,2,FALSE)</f>
        <v>#N/A</v>
      </c>
      <c r="H1387" s="6" t="e">
        <f>VLOOKUP('Customer Info'!A1379,'Customer Info'!A1379:I1879,3,FALSE)</f>
        <v>#N/A</v>
      </c>
      <c r="I1387" s="6" t="e">
        <f>VLOOKUP('Customer Info'!A1379,'Customer Info'!A1379:I1878,5,FALSE)</f>
        <v>#N/A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837</v>
      </c>
      <c r="R1387" s="2" t="s">
        <v>28</v>
      </c>
      <c r="S1387" s="9">
        <f t="shared" si="109"/>
        <v>0.05</v>
      </c>
    </row>
    <row r="1388" spans="1:19" x14ac:dyDescent="0.25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e">
        <f>VLOOKUP('Customer Info'!A1380,'Customer Info'!A1380:I1879,2,FALSE)</f>
        <v>#N/A</v>
      </c>
      <c r="H1388" s="6" t="e">
        <f>VLOOKUP('Customer Info'!A1380,'Customer Info'!A1380:I1880,3,FALSE)</f>
        <v>#N/A</v>
      </c>
      <c r="I1388" s="6" t="e">
        <f>VLOOKUP('Customer Info'!A1380,'Customer Info'!A1380:I1879,5,FALSE)</f>
        <v>#N/A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36</v>
      </c>
      <c r="R1388" s="2" t="s">
        <v>26</v>
      </c>
      <c r="S1388" s="9">
        <f t="shared" si="109"/>
        <v>0.02</v>
      </c>
    </row>
    <row r="1389" spans="1:19" x14ac:dyDescent="0.25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e">
        <f>VLOOKUP('Customer Info'!A1381,'Customer Info'!A1381:I1880,2,FALSE)</f>
        <v>#N/A</v>
      </c>
      <c r="H1389" s="6" t="e">
        <f>VLOOKUP('Customer Info'!A1381,'Customer Info'!A1381:I1881,3,FALSE)</f>
        <v>#N/A</v>
      </c>
      <c r="I1389" s="6" t="e">
        <f>VLOOKUP('Customer Info'!A1381,'Customer Info'!A1381:I1880,5,FALSE)</f>
        <v>#N/A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254</v>
      </c>
      <c r="R1389" s="2" t="s">
        <v>28</v>
      </c>
      <c r="S1389" s="9">
        <f t="shared" si="109"/>
        <v>0.02</v>
      </c>
    </row>
    <row r="1390" spans="1:19" x14ac:dyDescent="0.25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e">
        <f>VLOOKUP('Customer Info'!A1382,'Customer Info'!A1382:I1881,2,FALSE)</f>
        <v>#N/A</v>
      </c>
      <c r="H1390" s="6" t="e">
        <f>VLOOKUP('Customer Info'!A1382,'Customer Info'!A1382:I1882,3,FALSE)</f>
        <v>#N/A</v>
      </c>
      <c r="I1390" s="6" t="e">
        <f>VLOOKUP('Customer Info'!A1382,'Customer Info'!A1382:I1881,5,FALSE)</f>
        <v>#N/A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296</v>
      </c>
      <c r="R1390" s="2" t="s">
        <v>28</v>
      </c>
      <c r="S1390" s="9">
        <f t="shared" si="109"/>
        <v>0.02</v>
      </c>
    </row>
    <row r="1391" spans="1:19" x14ac:dyDescent="0.25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e">
        <f>VLOOKUP('Customer Info'!A1383,'Customer Info'!A1383:I1882,2,FALSE)</f>
        <v>#N/A</v>
      </c>
      <c r="H1391" s="6" t="e">
        <f>VLOOKUP('Customer Info'!A1383,'Customer Info'!A1383:I1883,3,FALSE)</f>
        <v>#N/A</v>
      </c>
      <c r="I1391" s="6" t="e">
        <f>VLOOKUP('Customer Info'!A1383,'Customer Info'!A1383:I1882,5,FALSE)</f>
        <v>#N/A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261</v>
      </c>
      <c r="R1391" s="2" t="s">
        <v>28</v>
      </c>
      <c r="S1391" s="9">
        <f t="shared" si="109"/>
        <v>0.02</v>
      </c>
    </row>
    <row r="1392" spans="1:19" x14ac:dyDescent="0.25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e">
        <f>VLOOKUP('Customer Info'!A1384,'Customer Info'!A1384:I1883,2,FALSE)</f>
        <v>#N/A</v>
      </c>
      <c r="H1392" s="6" t="e">
        <f>VLOOKUP('Customer Info'!A1384,'Customer Info'!A1384:I1884,3,FALSE)</f>
        <v>#N/A</v>
      </c>
      <c r="I1392" s="6" t="e">
        <f>VLOOKUP('Customer Info'!A1384,'Customer Info'!A1384:I1883,5,FALSE)</f>
        <v>#N/A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356</v>
      </c>
      <c r="R1392" s="2" t="s">
        <v>50</v>
      </c>
      <c r="S1392" s="9">
        <f t="shared" si="109"/>
        <v>0.02</v>
      </c>
    </row>
    <row r="1393" spans="1:19" x14ac:dyDescent="0.25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e">
        <f>VLOOKUP('Customer Info'!A1385,'Customer Info'!A1385:I1884,2,FALSE)</f>
        <v>#N/A</v>
      </c>
      <c r="H1393" s="6" t="e">
        <f>VLOOKUP('Customer Info'!A1385,'Customer Info'!A1385:I1885,3,FALSE)</f>
        <v>#N/A</v>
      </c>
      <c r="I1393" s="6" t="e">
        <f>VLOOKUP('Customer Info'!A1385,'Customer Info'!A1385:I1884,5,FALSE)</f>
        <v>#N/A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478</v>
      </c>
      <c r="R1393" s="2" t="s">
        <v>28</v>
      </c>
      <c r="S1393" s="9">
        <f t="shared" si="109"/>
        <v>0.05</v>
      </c>
    </row>
    <row r="1394" spans="1:19" x14ac:dyDescent="0.25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e">
        <f>VLOOKUP('Customer Info'!A1386,'Customer Info'!A1386:I1885,2,FALSE)</f>
        <v>#N/A</v>
      </c>
      <c r="H1394" s="6" t="e">
        <f>VLOOKUP('Customer Info'!A1386,'Customer Info'!A1386:I1886,3,FALSE)</f>
        <v>#N/A</v>
      </c>
      <c r="I1394" s="6" t="e">
        <f>VLOOKUP('Customer Info'!A1386,'Customer Info'!A1386:I1885,5,FALSE)</f>
        <v>#N/A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942</v>
      </c>
      <c r="R1394" s="2" t="s">
        <v>50</v>
      </c>
      <c r="S1394" s="9">
        <f t="shared" si="109"/>
        <v>0.05</v>
      </c>
    </row>
    <row r="1395" spans="1:19" x14ac:dyDescent="0.25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e">
        <f>VLOOKUP('Customer Info'!A1387,'Customer Info'!A1387:I1886,2,FALSE)</f>
        <v>#N/A</v>
      </c>
      <c r="H1395" s="6" t="e">
        <f>VLOOKUP('Customer Info'!A1387,'Customer Info'!A1387:I1887,3,FALSE)</f>
        <v>#N/A</v>
      </c>
      <c r="I1395" s="6" t="e">
        <f>VLOOKUP('Customer Info'!A1387,'Customer Info'!A1387:I1886,5,FALSE)</f>
        <v>#N/A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194</v>
      </c>
      <c r="R1395" s="2" t="s">
        <v>50</v>
      </c>
      <c r="S1395" s="9">
        <f t="shared" si="109"/>
        <v>0.02</v>
      </c>
    </row>
    <row r="1396" spans="1:19" x14ac:dyDescent="0.25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e">
        <f>VLOOKUP('Customer Info'!A1388,'Customer Info'!A1388:I1887,2,FALSE)</f>
        <v>#N/A</v>
      </c>
      <c r="H1396" s="6" t="e">
        <f>VLOOKUP('Customer Info'!A1388,'Customer Info'!A1388:I1888,3,FALSE)</f>
        <v>#N/A</v>
      </c>
      <c r="I1396" s="6" t="e">
        <f>VLOOKUP('Customer Info'!A1388,'Customer Info'!A1388:I1887,5,FALSE)</f>
        <v>#N/A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189</v>
      </c>
      <c r="R1396" s="2" t="s">
        <v>28</v>
      </c>
      <c r="S1396" s="9">
        <f t="shared" si="109"/>
        <v>0.02</v>
      </c>
    </row>
    <row r="1397" spans="1:19" x14ac:dyDescent="0.25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e">
        <f>VLOOKUP('Customer Info'!A1389,'Customer Info'!A1389:I1888,2,FALSE)</f>
        <v>#N/A</v>
      </c>
      <c r="H1397" s="6" t="e">
        <f>VLOOKUP('Customer Info'!A1389,'Customer Info'!A1389:I1889,3,FALSE)</f>
        <v>#N/A</v>
      </c>
      <c r="I1397" s="6" t="e">
        <f>VLOOKUP('Customer Info'!A1389,'Customer Info'!A1389:I1888,5,FALSE)</f>
        <v>#N/A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461</v>
      </c>
      <c r="R1397" s="2" t="s">
        <v>28</v>
      </c>
      <c r="S1397" s="9">
        <f t="shared" si="109"/>
        <v>0.05</v>
      </c>
    </row>
    <row r="1398" spans="1:19" x14ac:dyDescent="0.25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e">
        <f>VLOOKUP('Customer Info'!A1390,'Customer Info'!A1390:I1889,2,FALSE)</f>
        <v>#N/A</v>
      </c>
      <c r="H1398" s="6" t="e">
        <f>VLOOKUP('Customer Info'!A1390,'Customer Info'!A1390:I1890,3,FALSE)</f>
        <v>#N/A</v>
      </c>
      <c r="I1398" s="6" t="e">
        <f>VLOOKUP('Customer Info'!A1390,'Customer Info'!A1390:I1889,5,FALSE)</f>
        <v>#N/A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887</v>
      </c>
      <c r="R1398" s="2" t="s">
        <v>26</v>
      </c>
      <c r="S1398" s="9">
        <f t="shared" si="109"/>
        <v>0.05</v>
      </c>
    </row>
    <row r="1399" spans="1:19" x14ac:dyDescent="0.25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e">
        <f>VLOOKUP('Customer Info'!A1391,'Customer Info'!A1391:I1890,2,FALSE)</f>
        <v>#N/A</v>
      </c>
      <c r="H1399" s="6" t="e">
        <f>VLOOKUP('Customer Info'!A1391,'Customer Info'!A1391:I1891,3,FALSE)</f>
        <v>#N/A</v>
      </c>
      <c r="I1399" s="6" t="e">
        <f>VLOOKUP('Customer Info'!A1391,'Customer Info'!A1391:I1890,5,FALSE)</f>
        <v>#N/A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433</v>
      </c>
      <c r="R1399" s="2" t="s">
        <v>50</v>
      </c>
      <c r="S1399" s="9">
        <f t="shared" si="109"/>
        <v>0.05</v>
      </c>
    </row>
    <row r="1400" spans="1:19" x14ac:dyDescent="0.25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e">
        <f>VLOOKUP('Customer Info'!A1392,'Customer Info'!A1392:I1891,2,FALSE)</f>
        <v>#N/A</v>
      </c>
      <c r="H1400" s="6" t="e">
        <f>VLOOKUP('Customer Info'!A1392,'Customer Info'!A1392:I1892,3,FALSE)</f>
        <v>#N/A</v>
      </c>
      <c r="I1400" s="6" t="e">
        <f>VLOOKUP('Customer Info'!A1392,'Customer Info'!A1392:I1891,5,FALSE)</f>
        <v>#N/A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2385</v>
      </c>
      <c r="R1400" s="2" t="s">
        <v>26</v>
      </c>
      <c r="S1400" s="9">
        <f t="shared" si="109"/>
        <v>7.0000000000000007E-2</v>
      </c>
    </row>
    <row r="1401" spans="1:19" x14ac:dyDescent="0.25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e">
        <f>VLOOKUP('Customer Info'!A1393,'Customer Info'!A1393:I1892,2,FALSE)</f>
        <v>#N/A</v>
      </c>
      <c r="H1401" s="6" t="e">
        <f>VLOOKUP('Customer Info'!A1393,'Customer Info'!A1393:I1893,3,FALSE)</f>
        <v>#N/A</v>
      </c>
      <c r="I1401" s="6" t="e">
        <f>VLOOKUP('Customer Info'!A1393,'Customer Info'!A1393:I1892,5,FALSE)</f>
        <v>#N/A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1451</v>
      </c>
      <c r="R1401" s="2" t="s">
        <v>28</v>
      </c>
      <c r="S1401" s="9">
        <f t="shared" si="109"/>
        <v>0.05</v>
      </c>
    </row>
    <row r="1402" spans="1:19" x14ac:dyDescent="0.25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e">
        <f>VLOOKUP('Customer Info'!A1394,'Customer Info'!A1394:I1893,2,FALSE)</f>
        <v>#N/A</v>
      </c>
      <c r="H1402" s="6" t="e">
        <f>VLOOKUP('Customer Info'!A1394,'Customer Info'!A1394:I1894,3,FALSE)</f>
        <v>#N/A</v>
      </c>
      <c r="I1402" s="6" t="e">
        <f>VLOOKUP('Customer Info'!A1394,'Customer Info'!A1394:I1893,5,FALSE)</f>
        <v>#N/A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192</v>
      </c>
      <c r="R1402" s="2" t="s">
        <v>28</v>
      </c>
      <c r="S1402" s="9">
        <f t="shared" si="109"/>
        <v>0.02</v>
      </c>
    </row>
    <row r="1403" spans="1:19" x14ac:dyDescent="0.25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e">
        <f>VLOOKUP('Customer Info'!A1395,'Customer Info'!A1395:I1894,2,FALSE)</f>
        <v>#N/A</v>
      </c>
      <c r="H1403" s="6" t="e">
        <f>VLOOKUP('Customer Info'!A1395,'Customer Info'!A1395:I1895,3,FALSE)</f>
        <v>#N/A</v>
      </c>
      <c r="I1403" s="6" t="e">
        <f>VLOOKUP('Customer Info'!A1395,'Customer Info'!A1395:I1894,5,FALSE)</f>
        <v>#N/A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15747</v>
      </c>
      <c r="R1403" s="2" t="s">
        <v>28</v>
      </c>
      <c r="S1403" s="9">
        <f t="shared" si="109"/>
        <v>0.12</v>
      </c>
    </row>
    <row r="1404" spans="1:19" x14ac:dyDescent="0.25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e">
        <f>VLOOKUP('Customer Info'!A1396,'Customer Info'!A1396:I1895,2,FALSE)</f>
        <v>#N/A</v>
      </c>
      <c r="H1404" s="6" t="e">
        <f>VLOOKUP('Customer Info'!A1396,'Customer Info'!A1396:I1896,3,FALSE)</f>
        <v>#N/A</v>
      </c>
      <c r="I1404" s="6" t="e">
        <f>VLOOKUP('Customer Info'!A1396,'Customer Info'!A1396:I1895,5,FALSE)</f>
        <v>#N/A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100</v>
      </c>
      <c r="R1404" s="2" t="s">
        <v>26</v>
      </c>
      <c r="S1404" s="9">
        <f t="shared" si="109"/>
        <v>0.02</v>
      </c>
    </row>
    <row r="1405" spans="1:19" x14ac:dyDescent="0.25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e">
        <f>VLOOKUP('Customer Info'!A1397,'Customer Info'!A1397:I1896,2,FALSE)</f>
        <v>#N/A</v>
      </c>
      <c r="H1405" s="6" t="e">
        <f>VLOOKUP('Customer Info'!A1397,'Customer Info'!A1397:I1897,3,FALSE)</f>
        <v>#N/A</v>
      </c>
      <c r="I1405" s="6" t="e">
        <f>VLOOKUP('Customer Info'!A1397,'Customer Info'!A1397:I1896,5,FALSE)</f>
        <v>#N/A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2200</v>
      </c>
      <c r="R1405" s="2" t="s">
        <v>50</v>
      </c>
      <c r="S1405" s="9">
        <f t="shared" si="109"/>
        <v>7.0000000000000007E-2</v>
      </c>
    </row>
    <row r="1406" spans="1:19" x14ac:dyDescent="0.25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e">
        <f>VLOOKUP('Customer Info'!A1398,'Customer Info'!A1398:I1897,2,FALSE)</f>
        <v>#N/A</v>
      </c>
      <c r="H1406" s="6" t="e">
        <f>VLOOKUP('Customer Info'!A1398,'Customer Info'!A1398:I1898,3,FALSE)</f>
        <v>#N/A</v>
      </c>
      <c r="I1406" s="6" t="e">
        <f>VLOOKUP('Customer Info'!A1398,'Customer Info'!A1398:I1897,5,FALSE)</f>
        <v>#N/A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458</v>
      </c>
      <c r="R1406" s="2" t="s">
        <v>50</v>
      </c>
      <c r="S1406" s="9">
        <f t="shared" si="109"/>
        <v>0.05</v>
      </c>
    </row>
    <row r="1407" spans="1:19" x14ac:dyDescent="0.25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e">
        <f>VLOOKUP('Customer Info'!A1399,'Customer Info'!A1399:I1898,2,FALSE)</f>
        <v>#N/A</v>
      </c>
      <c r="H1407" s="6" t="e">
        <f>VLOOKUP('Customer Info'!A1399,'Customer Info'!A1399:I1899,3,FALSE)</f>
        <v>#N/A</v>
      </c>
      <c r="I1407" s="6" t="e">
        <f>VLOOKUP('Customer Info'!A1399,'Customer Info'!A1399:I1898,5,FALSE)</f>
        <v>#N/A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2019</v>
      </c>
      <c r="R1407" s="2" t="s">
        <v>28</v>
      </c>
      <c r="S1407" s="9">
        <f t="shared" si="109"/>
        <v>7.0000000000000007E-2</v>
      </c>
    </row>
    <row r="1408" spans="1:19" x14ac:dyDescent="0.25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e">
        <f>VLOOKUP('Customer Info'!A1400,'Customer Info'!A1400:I1899,2,FALSE)</f>
        <v>#N/A</v>
      </c>
      <c r="H1408" s="6" t="e">
        <f>VLOOKUP('Customer Info'!A1400,'Customer Info'!A1400:I1900,3,FALSE)</f>
        <v>#N/A</v>
      </c>
      <c r="I1408" s="6" t="e">
        <f>VLOOKUP('Customer Info'!A1400,'Customer Info'!A1400:I1899,5,FALSE)</f>
        <v>#N/A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92</v>
      </c>
      <c r="R1408" s="2" t="s">
        <v>28</v>
      </c>
      <c r="S1408" s="9">
        <f t="shared" si="109"/>
        <v>0.02</v>
      </c>
    </row>
    <row r="1409" spans="1:19" x14ac:dyDescent="0.25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e">
        <f>VLOOKUP('Customer Info'!A1401,'Customer Info'!A1401:I1900,2,FALSE)</f>
        <v>#N/A</v>
      </c>
      <c r="H1409" s="6" t="e">
        <f>VLOOKUP('Customer Info'!A1401,'Customer Info'!A1401:I1901,3,FALSE)</f>
        <v>#N/A</v>
      </c>
      <c r="I1409" s="6" t="e">
        <f>VLOOKUP('Customer Info'!A1401,'Customer Info'!A1401:I1900,5,FALSE)</f>
        <v>#N/A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532</v>
      </c>
      <c r="R1409" s="2" t="s">
        <v>28</v>
      </c>
      <c r="S1409" s="9">
        <f t="shared" si="109"/>
        <v>0.05</v>
      </c>
    </row>
    <row r="1410" spans="1:19" x14ac:dyDescent="0.25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e">
        <f>VLOOKUP('Customer Info'!A1402,'Customer Info'!A1402:I1901,2,FALSE)</f>
        <v>#N/A</v>
      </c>
      <c r="H1410" s="6" t="e">
        <f>VLOOKUP('Customer Info'!A1402,'Customer Info'!A1402:I1902,3,FALSE)</f>
        <v>#N/A</v>
      </c>
      <c r="I1410" s="6" t="e">
        <f>VLOOKUP('Customer Info'!A1402,'Customer Info'!A1402:I1901,5,FALSE)</f>
        <v>#N/A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193</v>
      </c>
      <c r="R1410" s="2" t="s">
        <v>28</v>
      </c>
      <c r="S1410" s="9">
        <f t="shared" si="109"/>
        <v>0.05</v>
      </c>
    </row>
    <row r="1411" spans="1:19" x14ac:dyDescent="0.25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e">
        <f>VLOOKUP('Customer Info'!A1403,'Customer Info'!A1403:I1902,2,FALSE)</f>
        <v>#N/A</v>
      </c>
      <c r="H1411" s="6" t="e">
        <f>VLOOKUP('Customer Info'!A1403,'Customer Info'!A1403:I1903,3,FALSE)</f>
        <v>#N/A</v>
      </c>
      <c r="I1411" s="6" t="e">
        <f>VLOOKUP('Customer Info'!A1403,'Customer Info'!A1403:I1902,5,FALSE)</f>
        <v>#N/A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218</v>
      </c>
      <c r="R1411" s="2" t="s">
        <v>50</v>
      </c>
      <c r="S1411" s="9">
        <f t="shared" si="109"/>
        <v>0.02</v>
      </c>
    </row>
    <row r="1412" spans="1:19" x14ac:dyDescent="0.25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e">
        <f>VLOOKUP('Customer Info'!A1404,'Customer Info'!A1404:I1903,2,FALSE)</f>
        <v>#N/A</v>
      </c>
      <c r="H1412" s="6" t="e">
        <f>VLOOKUP('Customer Info'!A1404,'Customer Info'!A1404:I1904,3,FALSE)</f>
        <v>#N/A</v>
      </c>
      <c r="I1412" s="6" t="e">
        <f>VLOOKUP('Customer Info'!A1404,'Customer Info'!A1404:I1903,5,FALSE)</f>
        <v>#N/A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1153</v>
      </c>
      <c r="R1412" s="2" t="s">
        <v>28</v>
      </c>
      <c r="S1412" s="9">
        <f t="shared" si="109"/>
        <v>0.05</v>
      </c>
    </row>
    <row r="1413" spans="1:19" x14ac:dyDescent="0.25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e">
        <f>VLOOKUP('Customer Info'!A1405,'Customer Info'!A1405:I1904,2,FALSE)</f>
        <v>#N/A</v>
      </c>
      <c r="H1413" s="6" t="e">
        <f>VLOOKUP('Customer Info'!A1405,'Customer Info'!A1405:I1905,3,FALSE)</f>
        <v>#N/A</v>
      </c>
      <c r="I1413" s="6" t="e">
        <f>VLOOKUP('Customer Info'!A1405,'Customer Info'!A1405:I1904,5,FALSE)</f>
        <v>#N/A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836</v>
      </c>
      <c r="R1413" s="2" t="s">
        <v>28</v>
      </c>
      <c r="S1413" s="9">
        <f t="shared" si="109"/>
        <v>0.05</v>
      </c>
    </row>
    <row r="1414" spans="1:19" x14ac:dyDescent="0.25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e">
        <f>VLOOKUP('Customer Info'!A1406,'Customer Info'!A1406:I1905,2,FALSE)</f>
        <v>#N/A</v>
      </c>
      <c r="H1414" s="6" t="e">
        <f>VLOOKUP('Customer Info'!A1406,'Customer Info'!A1406:I1906,3,FALSE)</f>
        <v>#N/A</v>
      </c>
      <c r="I1414" s="6" t="e">
        <f>VLOOKUP('Customer Info'!A1406,'Customer Info'!A1406:I1905,5,FALSE)</f>
        <v>#N/A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1127</v>
      </c>
      <c r="R1414" s="2" t="s">
        <v>28</v>
      </c>
      <c r="S1414" s="9">
        <f t="shared" si="109"/>
        <v>0.05</v>
      </c>
    </row>
    <row r="1415" spans="1:19" x14ac:dyDescent="0.25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e">
        <f>VLOOKUP('Customer Info'!A1407,'Customer Info'!A1407:I1906,2,FALSE)</f>
        <v>#N/A</v>
      </c>
      <c r="H1415" s="6" t="e">
        <f>VLOOKUP('Customer Info'!A1407,'Customer Info'!A1407:I1907,3,FALSE)</f>
        <v>#N/A</v>
      </c>
      <c r="I1415" s="6" t="e">
        <f>VLOOKUP('Customer Info'!A1407,'Customer Info'!A1407:I1906,5,FALSE)</f>
        <v>#N/A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17147</v>
      </c>
      <c r="R1415" s="2" t="s">
        <v>28</v>
      </c>
      <c r="S1415" s="9">
        <f t="shared" si="109"/>
        <v>0.12</v>
      </c>
    </row>
    <row r="1416" spans="1:19" x14ac:dyDescent="0.25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e">
        <f>VLOOKUP('Customer Info'!A1408,'Customer Info'!A1408:I1907,2,FALSE)</f>
        <v>#N/A</v>
      </c>
      <c r="H1416" s="6" t="e">
        <f>VLOOKUP('Customer Info'!A1408,'Customer Info'!A1408:I1908,3,FALSE)</f>
        <v>#N/A</v>
      </c>
      <c r="I1416" s="6" t="e">
        <f>VLOOKUP('Customer Info'!A1408,'Customer Info'!A1408:I1907,5,FALSE)</f>
        <v>#N/A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315</v>
      </c>
      <c r="R1416" s="2" t="s">
        <v>26</v>
      </c>
      <c r="S1416" s="9">
        <f t="shared" si="109"/>
        <v>0.05</v>
      </c>
    </row>
    <row r="1417" spans="1:19" x14ac:dyDescent="0.25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e">
        <f>VLOOKUP('Customer Info'!A1409,'Customer Info'!A1409:I1908,2,FALSE)</f>
        <v>#N/A</v>
      </c>
      <c r="H1417" s="6" t="e">
        <f>VLOOKUP('Customer Info'!A1409,'Customer Info'!A1409:I1909,3,FALSE)</f>
        <v>#N/A</v>
      </c>
      <c r="I1417" s="6" t="e">
        <f>VLOOKUP('Customer Info'!A1409,'Customer Info'!A1409:I1908,5,FALSE)</f>
        <v>#N/A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382</v>
      </c>
      <c r="R1417" s="2" t="s">
        <v>56</v>
      </c>
      <c r="S1417" s="9">
        <f t="shared" si="109"/>
        <v>0.05</v>
      </c>
    </row>
    <row r="1418" spans="1:19" x14ac:dyDescent="0.25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e">
        <f>VLOOKUP('Customer Info'!A1410,'Customer Info'!A1410:I1909,2,FALSE)</f>
        <v>#N/A</v>
      </c>
      <c r="H1418" s="6" t="e">
        <f>VLOOKUP('Customer Info'!A1410,'Customer Info'!A1410:I1910,3,FALSE)</f>
        <v>#N/A</v>
      </c>
      <c r="I1418" s="6" t="e">
        <f>VLOOKUP('Customer Info'!A1410,'Customer Info'!A1410:I1909,5,FALSE)</f>
        <v>#N/A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265</v>
      </c>
      <c r="R1418" s="2" t="s">
        <v>50</v>
      </c>
      <c r="S1418" s="9">
        <f t="shared" si="109"/>
        <v>0.02</v>
      </c>
    </row>
    <row r="1419" spans="1:19" x14ac:dyDescent="0.25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e">
        <f>VLOOKUP('Customer Info'!A1411,'Customer Info'!A1411:I1910,2,FALSE)</f>
        <v>#N/A</v>
      </c>
      <c r="H1419" s="6" t="e">
        <f>VLOOKUP('Customer Info'!A1411,'Customer Info'!A1411:I1911,3,FALSE)</f>
        <v>#N/A</v>
      </c>
      <c r="I1419" s="6" t="e">
        <f>VLOOKUP('Customer Info'!A1411,'Customer Info'!A1411:I1910,5,FALSE)</f>
        <v>#N/A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8">
        <f t="shared" ref="P1419:P1482" si="112">N1419+O1419</f>
        <v>17825</v>
      </c>
      <c r="Q1419" s="8">
        <f t="shared" ref="Q1419:Q1482" si="113">P1419-M1419</f>
        <v>887</v>
      </c>
      <c r="R1419" s="2" t="s">
        <v>28</v>
      </c>
      <c r="S1419" s="9">
        <f t="shared" ref="S1419:S1482" si="114">VLOOKUP(P1419,$T$2:$U$7,2,TRUE)</f>
        <v>0.05</v>
      </c>
    </row>
    <row r="1420" spans="1:19" x14ac:dyDescent="0.25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e">
        <f>VLOOKUP('Customer Info'!A1412,'Customer Info'!A1412:I1911,2,FALSE)</f>
        <v>#N/A</v>
      </c>
      <c r="H1420" s="6" t="e">
        <f>VLOOKUP('Customer Info'!A1412,'Customer Info'!A1412:I1912,3,FALSE)</f>
        <v>#N/A</v>
      </c>
      <c r="I1420" s="6" t="e">
        <f>VLOOKUP('Customer Info'!A1412,'Customer Info'!A1412:I1911,5,FALSE)</f>
        <v>#N/A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200</v>
      </c>
      <c r="R1420" s="2" t="s">
        <v>50</v>
      </c>
      <c r="S1420" s="9">
        <f t="shared" si="114"/>
        <v>0.02</v>
      </c>
    </row>
    <row r="1421" spans="1:19" x14ac:dyDescent="0.25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e">
        <f>VLOOKUP('Customer Info'!A1413,'Customer Info'!A1413:I1912,2,FALSE)</f>
        <v>#N/A</v>
      </c>
      <c r="H1421" s="6" t="e">
        <f>VLOOKUP('Customer Info'!A1413,'Customer Info'!A1413:I1913,3,FALSE)</f>
        <v>#N/A</v>
      </c>
      <c r="I1421" s="6" t="e">
        <f>VLOOKUP('Customer Info'!A1413,'Customer Info'!A1413:I1912,5,FALSE)</f>
        <v>#N/A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336</v>
      </c>
      <c r="R1421" s="2" t="s">
        <v>50</v>
      </c>
      <c r="S1421" s="9">
        <f t="shared" si="114"/>
        <v>0.02</v>
      </c>
    </row>
    <row r="1422" spans="1:19" x14ac:dyDescent="0.25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e">
        <f>VLOOKUP('Customer Info'!A1414,'Customer Info'!A1414:I1913,2,FALSE)</f>
        <v>#N/A</v>
      </c>
      <c r="H1422" s="6" t="e">
        <f>VLOOKUP('Customer Info'!A1414,'Customer Info'!A1414:I1914,3,FALSE)</f>
        <v>#N/A</v>
      </c>
      <c r="I1422" s="6" t="e">
        <f>VLOOKUP('Customer Info'!A1414,'Customer Info'!A1414:I1913,5,FALSE)</f>
        <v>#N/A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1315</v>
      </c>
      <c r="R1422" s="2" t="s">
        <v>28</v>
      </c>
      <c r="S1422" s="9">
        <f t="shared" si="114"/>
        <v>0.05</v>
      </c>
    </row>
    <row r="1423" spans="1:19" x14ac:dyDescent="0.25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e">
        <f>VLOOKUP('Customer Info'!A1415,'Customer Info'!A1415:I1914,2,FALSE)</f>
        <v>#N/A</v>
      </c>
      <c r="H1423" s="6" t="e">
        <f>VLOOKUP('Customer Info'!A1415,'Customer Info'!A1415:I1915,3,FALSE)</f>
        <v>#N/A</v>
      </c>
      <c r="I1423" s="6" t="e">
        <f>VLOOKUP('Customer Info'!A1415,'Customer Info'!A1415:I1914,5,FALSE)</f>
        <v>#N/A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276</v>
      </c>
      <c r="R1423" s="2" t="s">
        <v>28</v>
      </c>
      <c r="S1423" s="9">
        <f t="shared" si="114"/>
        <v>0.02</v>
      </c>
    </row>
    <row r="1424" spans="1:19" x14ac:dyDescent="0.25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e">
        <f>VLOOKUP('Customer Info'!A1416,'Customer Info'!A1416:I1915,2,FALSE)</f>
        <v>#N/A</v>
      </c>
      <c r="H1424" s="6" t="e">
        <f>VLOOKUP('Customer Info'!A1416,'Customer Info'!A1416:I1916,3,FALSE)</f>
        <v>#N/A</v>
      </c>
      <c r="I1424" s="6" t="e">
        <f>VLOOKUP('Customer Info'!A1416,'Customer Info'!A1416:I1915,5,FALSE)</f>
        <v>#N/A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316</v>
      </c>
      <c r="R1424" s="2" t="s">
        <v>50</v>
      </c>
      <c r="S1424" s="9">
        <f t="shared" si="114"/>
        <v>0.02</v>
      </c>
    </row>
    <row r="1425" spans="1:19" x14ac:dyDescent="0.25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e">
        <f>VLOOKUP('Customer Info'!A1417,'Customer Info'!A1417:I1916,2,FALSE)</f>
        <v>#N/A</v>
      </c>
      <c r="H1425" s="6" t="e">
        <f>VLOOKUP('Customer Info'!A1417,'Customer Info'!A1417:I1917,3,FALSE)</f>
        <v>#N/A</v>
      </c>
      <c r="I1425" s="6" t="e">
        <f>VLOOKUP('Customer Info'!A1417,'Customer Info'!A1417:I1916,5,FALSE)</f>
        <v>#N/A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177</v>
      </c>
      <c r="R1425" s="2" t="s">
        <v>50</v>
      </c>
      <c r="S1425" s="9">
        <f t="shared" si="114"/>
        <v>0.05</v>
      </c>
    </row>
    <row r="1426" spans="1:19" x14ac:dyDescent="0.25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e">
        <f>VLOOKUP('Customer Info'!A1418,'Customer Info'!A1418:I1917,2,FALSE)</f>
        <v>#N/A</v>
      </c>
      <c r="H1426" s="6" t="e">
        <f>VLOOKUP('Customer Info'!A1418,'Customer Info'!A1418:I1918,3,FALSE)</f>
        <v>#N/A</v>
      </c>
      <c r="I1426" s="6" t="e">
        <f>VLOOKUP('Customer Info'!A1418,'Customer Info'!A1418:I1917,5,FALSE)</f>
        <v>#N/A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173</v>
      </c>
      <c r="R1426" s="2" t="s">
        <v>50</v>
      </c>
      <c r="S1426" s="9">
        <f t="shared" si="114"/>
        <v>0.02</v>
      </c>
    </row>
    <row r="1427" spans="1:19" x14ac:dyDescent="0.25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e">
        <f>VLOOKUP('Customer Info'!A1419,'Customer Info'!A1419:I1918,2,FALSE)</f>
        <v>#N/A</v>
      </c>
      <c r="H1427" s="6" t="e">
        <f>VLOOKUP('Customer Info'!A1419,'Customer Info'!A1419:I1919,3,FALSE)</f>
        <v>#N/A</v>
      </c>
      <c r="I1427" s="6" t="e">
        <f>VLOOKUP('Customer Info'!A1419,'Customer Info'!A1419:I1918,5,FALSE)</f>
        <v>#N/A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2986</v>
      </c>
      <c r="R1427" s="2" t="s">
        <v>28</v>
      </c>
      <c r="S1427" s="9">
        <f t="shared" si="114"/>
        <v>7.0000000000000007E-2</v>
      </c>
    </row>
    <row r="1428" spans="1:19" x14ac:dyDescent="0.25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e">
        <f>VLOOKUP('Customer Info'!A1420,'Customer Info'!A1420:I1919,2,FALSE)</f>
        <v>#N/A</v>
      </c>
      <c r="H1428" s="6" t="e">
        <f>VLOOKUP('Customer Info'!A1420,'Customer Info'!A1420:I1920,3,FALSE)</f>
        <v>#N/A</v>
      </c>
      <c r="I1428" s="6" t="e">
        <f>VLOOKUP('Customer Info'!A1420,'Customer Info'!A1420:I1919,5,FALSE)</f>
        <v>#N/A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1729</v>
      </c>
      <c r="R1428" s="2" t="s">
        <v>50</v>
      </c>
      <c r="S1428" s="9">
        <f t="shared" si="114"/>
        <v>0.05</v>
      </c>
    </row>
    <row r="1429" spans="1:19" x14ac:dyDescent="0.25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e">
        <f>VLOOKUP('Customer Info'!A1421,'Customer Info'!A1421:I1920,2,FALSE)</f>
        <v>#N/A</v>
      </c>
      <c r="H1429" s="6" t="e">
        <f>VLOOKUP('Customer Info'!A1421,'Customer Info'!A1421:I1921,3,FALSE)</f>
        <v>#N/A</v>
      </c>
      <c r="I1429" s="6" t="e">
        <f>VLOOKUP('Customer Info'!A1421,'Customer Info'!A1421:I1920,5,FALSE)</f>
        <v>#N/A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64</v>
      </c>
      <c r="R1429" s="2" t="s">
        <v>50</v>
      </c>
      <c r="S1429" s="9">
        <f t="shared" si="114"/>
        <v>0.02</v>
      </c>
    </row>
    <row r="1430" spans="1:19" x14ac:dyDescent="0.25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e">
        <f>VLOOKUP('Customer Info'!A1422,'Customer Info'!A1422:I1921,2,FALSE)</f>
        <v>#N/A</v>
      </c>
      <c r="H1430" s="6" t="e">
        <f>VLOOKUP('Customer Info'!A1422,'Customer Info'!A1422:I1922,3,FALSE)</f>
        <v>#N/A</v>
      </c>
      <c r="I1430" s="6" t="e">
        <f>VLOOKUP('Customer Info'!A1422,'Customer Info'!A1422:I1921,5,FALSE)</f>
        <v>#N/A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110</v>
      </c>
      <c r="R1430" s="2" t="s">
        <v>28</v>
      </c>
      <c r="S1430" s="9">
        <f t="shared" si="114"/>
        <v>0.02</v>
      </c>
    </row>
    <row r="1431" spans="1:19" x14ac:dyDescent="0.25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e">
        <f>VLOOKUP('Customer Info'!A1423,'Customer Info'!A1423:I1922,2,FALSE)</f>
        <v>#N/A</v>
      </c>
      <c r="H1431" s="6" t="e">
        <f>VLOOKUP('Customer Info'!A1423,'Customer Info'!A1423:I1923,3,FALSE)</f>
        <v>#N/A</v>
      </c>
      <c r="I1431" s="6" t="e">
        <f>VLOOKUP('Customer Info'!A1423,'Customer Info'!A1423:I1922,5,FALSE)</f>
        <v>#N/A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257</v>
      </c>
      <c r="R1431" s="2" t="s">
        <v>28</v>
      </c>
      <c r="S1431" s="9">
        <f t="shared" si="114"/>
        <v>0.02</v>
      </c>
    </row>
    <row r="1432" spans="1:19" x14ac:dyDescent="0.25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e">
        <f>VLOOKUP('Customer Info'!A1424,'Customer Info'!A1424:I1923,2,FALSE)</f>
        <v>#N/A</v>
      </c>
      <c r="H1432" s="6" t="e">
        <f>VLOOKUP('Customer Info'!A1424,'Customer Info'!A1424:I1924,3,FALSE)</f>
        <v>#N/A</v>
      </c>
      <c r="I1432" s="6" t="e">
        <f>VLOOKUP('Customer Info'!A1424,'Customer Info'!A1424:I1923,5,FALSE)</f>
        <v>#N/A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129</v>
      </c>
      <c r="R1432" s="2" t="s">
        <v>28</v>
      </c>
      <c r="S1432" s="9">
        <f t="shared" si="114"/>
        <v>0.02</v>
      </c>
    </row>
    <row r="1433" spans="1:19" x14ac:dyDescent="0.25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e">
        <f>VLOOKUP('Customer Info'!A1425,'Customer Info'!A1425:I1924,2,FALSE)</f>
        <v>#N/A</v>
      </c>
      <c r="H1433" s="6" t="e">
        <f>VLOOKUP('Customer Info'!A1425,'Customer Info'!A1425:I1925,3,FALSE)</f>
        <v>#N/A</v>
      </c>
      <c r="I1433" s="6" t="e">
        <f>VLOOKUP('Customer Info'!A1425,'Customer Info'!A1425:I1924,5,FALSE)</f>
        <v>#N/A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49</v>
      </c>
      <c r="R1433" s="2" t="s">
        <v>26</v>
      </c>
      <c r="S1433" s="9">
        <f t="shared" si="114"/>
        <v>0.02</v>
      </c>
    </row>
    <row r="1434" spans="1:19" x14ac:dyDescent="0.25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e">
        <f>VLOOKUP('Customer Info'!A1426,'Customer Info'!A1426:I1925,2,FALSE)</f>
        <v>#N/A</v>
      </c>
      <c r="H1434" s="6" t="e">
        <f>VLOOKUP('Customer Info'!A1426,'Customer Info'!A1426:I1926,3,FALSE)</f>
        <v>#N/A</v>
      </c>
      <c r="I1434" s="6" t="e">
        <f>VLOOKUP('Customer Info'!A1426,'Customer Info'!A1426:I1925,5,FALSE)</f>
        <v>#N/A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3066</v>
      </c>
      <c r="R1434" s="2" t="s">
        <v>26</v>
      </c>
      <c r="S1434" s="9">
        <f t="shared" si="114"/>
        <v>7.0000000000000007E-2</v>
      </c>
    </row>
    <row r="1435" spans="1:19" x14ac:dyDescent="0.25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e">
        <f>VLOOKUP('Customer Info'!A1427,'Customer Info'!A1427:I1926,2,FALSE)</f>
        <v>#N/A</v>
      </c>
      <c r="H1435" s="6" t="e">
        <f>VLOOKUP('Customer Info'!A1427,'Customer Info'!A1427:I1927,3,FALSE)</f>
        <v>#N/A</v>
      </c>
      <c r="I1435" s="6" t="e">
        <f>VLOOKUP('Customer Info'!A1427,'Customer Info'!A1427:I1926,5,FALSE)</f>
        <v>#N/A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606</v>
      </c>
      <c r="R1435" s="2" t="s">
        <v>56</v>
      </c>
      <c r="S1435" s="9">
        <f t="shared" si="114"/>
        <v>0.05</v>
      </c>
    </row>
    <row r="1436" spans="1:19" x14ac:dyDescent="0.25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e">
        <f>VLOOKUP('Customer Info'!A1428,'Customer Info'!A1428:I1927,2,FALSE)</f>
        <v>#N/A</v>
      </c>
      <c r="H1436" s="6" t="e">
        <f>VLOOKUP('Customer Info'!A1428,'Customer Info'!A1428:I1928,3,FALSE)</f>
        <v>#N/A</v>
      </c>
      <c r="I1436" s="6" t="e">
        <f>VLOOKUP('Customer Info'!A1428,'Customer Info'!A1428:I1927,5,FALSE)</f>
        <v>#N/A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399</v>
      </c>
      <c r="R1436" s="2" t="s">
        <v>28</v>
      </c>
      <c r="S1436" s="9">
        <f t="shared" si="114"/>
        <v>0.02</v>
      </c>
    </row>
    <row r="1437" spans="1:19" x14ac:dyDescent="0.25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e">
        <f>VLOOKUP('Customer Info'!A1429,'Customer Info'!A1429:I1928,2,FALSE)</f>
        <v>#N/A</v>
      </c>
      <c r="H1437" s="6" t="e">
        <f>VLOOKUP('Customer Info'!A1429,'Customer Info'!A1429:I1929,3,FALSE)</f>
        <v>#N/A</v>
      </c>
      <c r="I1437" s="6" t="e">
        <f>VLOOKUP('Customer Info'!A1429,'Customer Info'!A1429:I1928,5,FALSE)</f>
        <v>#N/A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348</v>
      </c>
      <c r="R1437" s="2" t="s">
        <v>50</v>
      </c>
      <c r="S1437" s="9">
        <f t="shared" si="114"/>
        <v>0.05</v>
      </c>
    </row>
    <row r="1438" spans="1:19" x14ac:dyDescent="0.25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e">
        <f>VLOOKUP('Customer Info'!A1430,'Customer Info'!A1430:I1929,2,FALSE)</f>
        <v>#N/A</v>
      </c>
      <c r="H1438" s="6" t="e">
        <f>VLOOKUP('Customer Info'!A1430,'Customer Info'!A1430:I1930,3,FALSE)</f>
        <v>#N/A</v>
      </c>
      <c r="I1438" s="6" t="e">
        <f>VLOOKUP('Customer Info'!A1430,'Customer Info'!A1430:I1929,5,FALSE)</f>
        <v>#N/A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217</v>
      </c>
      <c r="R1438" s="2" t="s">
        <v>50</v>
      </c>
      <c r="S1438" s="9">
        <f t="shared" si="114"/>
        <v>0.02</v>
      </c>
    </row>
    <row r="1439" spans="1:19" x14ac:dyDescent="0.25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e">
        <f>VLOOKUP('Customer Info'!A1431,'Customer Info'!A1431:I1930,2,FALSE)</f>
        <v>#N/A</v>
      </c>
      <c r="H1439" s="6" t="e">
        <f>VLOOKUP('Customer Info'!A1431,'Customer Info'!A1431:I1931,3,FALSE)</f>
        <v>#N/A</v>
      </c>
      <c r="I1439" s="6" t="e">
        <f>VLOOKUP('Customer Info'!A1431,'Customer Info'!A1431:I1930,5,FALSE)</f>
        <v>#N/A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984</v>
      </c>
      <c r="R1439" s="2" t="s">
        <v>56</v>
      </c>
      <c r="S1439" s="9">
        <f t="shared" si="114"/>
        <v>0.05</v>
      </c>
    </row>
    <row r="1440" spans="1:19" x14ac:dyDescent="0.25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e">
        <f>VLOOKUP('Customer Info'!A1432,'Customer Info'!A1432:I1931,2,FALSE)</f>
        <v>#N/A</v>
      </c>
      <c r="H1440" s="6" t="e">
        <f>VLOOKUP('Customer Info'!A1432,'Customer Info'!A1432:I1932,3,FALSE)</f>
        <v>#N/A</v>
      </c>
      <c r="I1440" s="6" t="e">
        <f>VLOOKUP('Customer Info'!A1432,'Customer Info'!A1432:I1931,5,FALSE)</f>
        <v>#N/A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22</v>
      </c>
      <c r="R1440" s="2" t="s">
        <v>50</v>
      </c>
      <c r="S1440" s="9">
        <f t="shared" si="114"/>
        <v>0.02</v>
      </c>
    </row>
    <row r="1441" spans="1:19" x14ac:dyDescent="0.25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e">
        <f>VLOOKUP('Customer Info'!A1433,'Customer Info'!A1433:I1932,2,FALSE)</f>
        <v>#N/A</v>
      </c>
      <c r="H1441" s="6" t="e">
        <f>VLOOKUP('Customer Info'!A1433,'Customer Info'!A1433:I1933,3,FALSE)</f>
        <v>#N/A</v>
      </c>
      <c r="I1441" s="6" t="e">
        <f>VLOOKUP('Customer Info'!A1433,'Customer Info'!A1433:I1932,5,FALSE)</f>
        <v>#N/A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142</v>
      </c>
      <c r="R1441" s="2" t="s">
        <v>50</v>
      </c>
      <c r="S1441" s="9">
        <f t="shared" si="114"/>
        <v>0.02</v>
      </c>
    </row>
    <row r="1442" spans="1:19" x14ac:dyDescent="0.25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e">
        <f>VLOOKUP('Customer Info'!A1434,'Customer Info'!A1434:I1933,2,FALSE)</f>
        <v>#N/A</v>
      </c>
      <c r="H1442" s="6" t="e">
        <f>VLOOKUP('Customer Info'!A1434,'Customer Info'!A1434:I1934,3,FALSE)</f>
        <v>#N/A</v>
      </c>
      <c r="I1442" s="6" t="e">
        <f>VLOOKUP('Customer Info'!A1434,'Customer Info'!A1434:I1933,5,FALSE)</f>
        <v>#N/A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96</v>
      </c>
      <c r="R1442" s="2" t="s">
        <v>56</v>
      </c>
      <c r="S1442" s="9">
        <f t="shared" si="114"/>
        <v>0.02</v>
      </c>
    </row>
    <row r="1443" spans="1:19" x14ac:dyDescent="0.25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e">
        <f>VLOOKUP('Customer Info'!A1435,'Customer Info'!A1435:I1934,2,FALSE)</f>
        <v>#N/A</v>
      </c>
      <c r="H1443" s="6" t="e">
        <f>VLOOKUP('Customer Info'!A1435,'Customer Info'!A1435:I1935,3,FALSE)</f>
        <v>#N/A</v>
      </c>
      <c r="I1443" s="6" t="e">
        <f>VLOOKUP('Customer Info'!A1435,'Customer Info'!A1435:I1934,5,FALSE)</f>
        <v>#N/A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3154</v>
      </c>
      <c r="R1443" s="2" t="s">
        <v>28</v>
      </c>
      <c r="S1443" s="9">
        <f t="shared" si="114"/>
        <v>7.0000000000000007E-2</v>
      </c>
    </row>
    <row r="1444" spans="1:19" x14ac:dyDescent="0.25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e">
        <f>VLOOKUP('Customer Info'!A1436,'Customer Info'!A1436:I1935,2,FALSE)</f>
        <v>#N/A</v>
      </c>
      <c r="H1444" s="6" t="e">
        <f>VLOOKUP('Customer Info'!A1436,'Customer Info'!A1436:I1936,3,FALSE)</f>
        <v>#N/A</v>
      </c>
      <c r="I1444" s="6" t="e">
        <f>VLOOKUP('Customer Info'!A1436,'Customer Info'!A1436:I1935,5,FALSE)</f>
        <v>#N/A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451</v>
      </c>
      <c r="R1444" s="2" t="s">
        <v>28</v>
      </c>
      <c r="S1444" s="9">
        <f t="shared" si="114"/>
        <v>0.05</v>
      </c>
    </row>
    <row r="1445" spans="1:19" x14ac:dyDescent="0.25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e">
        <f>VLOOKUP('Customer Info'!A1437,'Customer Info'!A1437:I1936,2,FALSE)</f>
        <v>#N/A</v>
      </c>
      <c r="H1445" s="6" t="e">
        <f>VLOOKUP('Customer Info'!A1437,'Customer Info'!A1437:I1937,3,FALSE)</f>
        <v>#N/A</v>
      </c>
      <c r="I1445" s="6" t="e">
        <f>VLOOKUP('Customer Info'!A1437,'Customer Info'!A1437:I1936,5,FALSE)</f>
        <v>#N/A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157</v>
      </c>
      <c r="R1445" s="2" t="s">
        <v>50</v>
      </c>
      <c r="S1445" s="9">
        <f t="shared" si="114"/>
        <v>0.02</v>
      </c>
    </row>
    <row r="1446" spans="1:19" x14ac:dyDescent="0.25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e">
        <f>VLOOKUP('Customer Info'!A1438,'Customer Info'!A1438:I1937,2,FALSE)</f>
        <v>#N/A</v>
      </c>
      <c r="H1446" s="6" t="e">
        <f>VLOOKUP('Customer Info'!A1438,'Customer Info'!A1438:I1938,3,FALSE)</f>
        <v>#N/A</v>
      </c>
      <c r="I1446" s="6" t="e">
        <f>VLOOKUP('Customer Info'!A1438,'Customer Info'!A1438:I1937,5,FALSE)</f>
        <v>#N/A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57</v>
      </c>
      <c r="R1446" s="2" t="s">
        <v>28</v>
      </c>
      <c r="S1446" s="9">
        <f t="shared" si="114"/>
        <v>0.02</v>
      </c>
    </row>
    <row r="1447" spans="1:19" x14ac:dyDescent="0.25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e">
        <f>VLOOKUP('Customer Info'!A1439,'Customer Info'!A1439:I1938,2,FALSE)</f>
        <v>#N/A</v>
      </c>
      <c r="H1447" s="6" t="e">
        <f>VLOOKUP('Customer Info'!A1439,'Customer Info'!A1439:I1939,3,FALSE)</f>
        <v>#N/A</v>
      </c>
      <c r="I1447" s="6" t="e">
        <f>VLOOKUP('Customer Info'!A1439,'Customer Info'!A1439:I1938,5,FALSE)</f>
        <v>#N/A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81</v>
      </c>
      <c r="R1447" s="2" t="s">
        <v>28</v>
      </c>
      <c r="S1447" s="9">
        <f t="shared" si="114"/>
        <v>0.02</v>
      </c>
    </row>
    <row r="1448" spans="1:19" x14ac:dyDescent="0.25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e">
        <f>VLOOKUP('Customer Info'!A1440,'Customer Info'!A1440:I1939,2,FALSE)</f>
        <v>#N/A</v>
      </c>
      <c r="H1448" s="6" t="e">
        <f>VLOOKUP('Customer Info'!A1440,'Customer Info'!A1440:I1940,3,FALSE)</f>
        <v>#N/A</v>
      </c>
      <c r="I1448" s="6" t="e">
        <f>VLOOKUP('Customer Info'!A1440,'Customer Info'!A1440:I1939,5,FALSE)</f>
        <v>#N/A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2099</v>
      </c>
      <c r="R1448" s="2" t="s">
        <v>28</v>
      </c>
      <c r="S1448" s="9">
        <f t="shared" si="114"/>
        <v>0.05</v>
      </c>
    </row>
    <row r="1449" spans="1:19" x14ac:dyDescent="0.25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e">
        <f>VLOOKUP('Customer Info'!A1441,'Customer Info'!A1441:I1940,2,FALSE)</f>
        <v>#N/A</v>
      </c>
      <c r="H1449" s="6" t="e">
        <f>VLOOKUP('Customer Info'!A1441,'Customer Info'!A1441:I1941,3,FALSE)</f>
        <v>#N/A</v>
      </c>
      <c r="I1449" s="6" t="e">
        <f>VLOOKUP('Customer Info'!A1441,'Customer Info'!A1441:I1940,5,FALSE)</f>
        <v>#N/A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887</v>
      </c>
      <c r="R1449" s="2" t="s">
        <v>50</v>
      </c>
      <c r="S1449" s="9">
        <f t="shared" si="114"/>
        <v>0.05</v>
      </c>
    </row>
    <row r="1450" spans="1:19" x14ac:dyDescent="0.25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e">
        <f>VLOOKUP('Customer Info'!A1442,'Customer Info'!A1442:I1941,2,FALSE)</f>
        <v>#N/A</v>
      </c>
      <c r="H1450" s="6" t="e">
        <f>VLOOKUP('Customer Info'!A1442,'Customer Info'!A1442:I1942,3,FALSE)</f>
        <v>#N/A</v>
      </c>
      <c r="I1450" s="6" t="e">
        <f>VLOOKUP('Customer Info'!A1442,'Customer Info'!A1442:I1941,5,FALSE)</f>
        <v>#N/A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232</v>
      </c>
      <c r="R1450" s="2" t="s">
        <v>56</v>
      </c>
      <c r="S1450" s="9">
        <f t="shared" si="114"/>
        <v>0.02</v>
      </c>
    </row>
    <row r="1451" spans="1:19" x14ac:dyDescent="0.25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e">
        <f>VLOOKUP('Customer Info'!A1443,'Customer Info'!A1443:I1942,2,FALSE)</f>
        <v>#N/A</v>
      </c>
      <c r="H1451" s="6" t="e">
        <f>VLOOKUP('Customer Info'!A1443,'Customer Info'!A1443:I1943,3,FALSE)</f>
        <v>#N/A</v>
      </c>
      <c r="I1451" s="6" t="e">
        <f>VLOOKUP('Customer Info'!A1443,'Customer Info'!A1443:I1942,5,FALSE)</f>
        <v>#N/A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1077</v>
      </c>
      <c r="R1451" s="2" t="s">
        <v>28</v>
      </c>
      <c r="S1451" s="9">
        <f t="shared" si="114"/>
        <v>0.05</v>
      </c>
    </row>
    <row r="1452" spans="1:19" x14ac:dyDescent="0.25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e">
        <f>VLOOKUP('Customer Info'!A1444,'Customer Info'!A1444:I1943,2,FALSE)</f>
        <v>#N/A</v>
      </c>
      <c r="H1452" s="6" t="e">
        <f>VLOOKUP('Customer Info'!A1444,'Customer Info'!A1444:I1944,3,FALSE)</f>
        <v>#N/A</v>
      </c>
      <c r="I1452" s="6" t="e">
        <f>VLOOKUP('Customer Info'!A1444,'Customer Info'!A1444:I1943,5,FALSE)</f>
        <v>#N/A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424</v>
      </c>
      <c r="R1452" s="2" t="s">
        <v>28</v>
      </c>
      <c r="S1452" s="9">
        <f t="shared" si="114"/>
        <v>0.02</v>
      </c>
    </row>
    <row r="1453" spans="1:19" x14ac:dyDescent="0.25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e">
        <f>VLOOKUP('Customer Info'!A1445,'Customer Info'!A1445:I1944,2,FALSE)</f>
        <v>#N/A</v>
      </c>
      <c r="H1453" s="6" t="e">
        <f>VLOOKUP('Customer Info'!A1445,'Customer Info'!A1445:I1945,3,FALSE)</f>
        <v>#N/A</v>
      </c>
      <c r="I1453" s="6" t="e">
        <f>VLOOKUP('Customer Info'!A1445,'Customer Info'!A1445:I1944,5,FALSE)</f>
        <v>#N/A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1777</v>
      </c>
      <c r="R1453" s="2" t="s">
        <v>28</v>
      </c>
      <c r="S1453" s="9">
        <f t="shared" si="114"/>
        <v>0.05</v>
      </c>
    </row>
    <row r="1454" spans="1:19" x14ac:dyDescent="0.25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e">
        <f>VLOOKUP('Customer Info'!A1446,'Customer Info'!A1446:I1945,2,FALSE)</f>
        <v>#N/A</v>
      </c>
      <c r="H1454" s="6" t="e">
        <f>VLOOKUP('Customer Info'!A1446,'Customer Info'!A1446:I1946,3,FALSE)</f>
        <v>#N/A</v>
      </c>
      <c r="I1454" s="6" t="e">
        <f>VLOOKUP('Customer Info'!A1446,'Customer Info'!A1446:I1945,5,FALSE)</f>
        <v>#N/A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650</v>
      </c>
      <c r="R1454" s="2" t="s">
        <v>28</v>
      </c>
      <c r="S1454" s="9">
        <f t="shared" si="114"/>
        <v>0.05</v>
      </c>
    </row>
    <row r="1455" spans="1:19" x14ac:dyDescent="0.25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e">
        <f>VLOOKUP('Customer Info'!A1447,'Customer Info'!A1447:I1946,2,FALSE)</f>
        <v>#N/A</v>
      </c>
      <c r="H1455" s="6" t="e">
        <f>VLOOKUP('Customer Info'!A1447,'Customer Info'!A1447:I1947,3,FALSE)</f>
        <v>#N/A</v>
      </c>
      <c r="I1455" s="6" t="e">
        <f>VLOOKUP('Customer Info'!A1447,'Customer Info'!A1447:I1946,5,FALSE)</f>
        <v>#N/A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1719</v>
      </c>
      <c r="R1455" s="2" t="s">
        <v>50</v>
      </c>
      <c r="S1455" s="9">
        <f t="shared" si="114"/>
        <v>7.0000000000000007E-2</v>
      </c>
    </row>
    <row r="1456" spans="1:19" x14ac:dyDescent="0.25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e">
        <f>VLOOKUP('Customer Info'!A1448,'Customer Info'!A1448:I1947,2,FALSE)</f>
        <v>#N/A</v>
      </c>
      <c r="H1456" s="6" t="e">
        <f>VLOOKUP('Customer Info'!A1448,'Customer Info'!A1448:I1948,3,FALSE)</f>
        <v>#N/A</v>
      </c>
      <c r="I1456" s="6" t="e">
        <f>VLOOKUP('Customer Info'!A1448,'Customer Info'!A1448:I1947,5,FALSE)</f>
        <v>#N/A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112</v>
      </c>
      <c r="R1456" s="2" t="s">
        <v>28</v>
      </c>
      <c r="S1456" s="9">
        <f t="shared" si="114"/>
        <v>0.02</v>
      </c>
    </row>
    <row r="1457" spans="1:19" x14ac:dyDescent="0.25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e">
        <f>VLOOKUP('Customer Info'!A1449,'Customer Info'!A1449:I1948,2,FALSE)</f>
        <v>#N/A</v>
      </c>
      <c r="H1457" s="6" t="e">
        <f>VLOOKUP('Customer Info'!A1449,'Customer Info'!A1449:I1949,3,FALSE)</f>
        <v>#N/A</v>
      </c>
      <c r="I1457" s="6" t="e">
        <f>VLOOKUP('Customer Info'!A1449,'Customer Info'!A1449:I1948,5,FALSE)</f>
        <v>#N/A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294</v>
      </c>
      <c r="R1457" s="2" t="s">
        <v>28</v>
      </c>
      <c r="S1457" s="9">
        <f t="shared" si="114"/>
        <v>0.05</v>
      </c>
    </row>
    <row r="1458" spans="1:19" x14ac:dyDescent="0.25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e">
        <f>VLOOKUP('Customer Info'!A1450,'Customer Info'!A1450:I1949,2,FALSE)</f>
        <v>#N/A</v>
      </c>
      <c r="H1458" s="6" t="e">
        <f>VLOOKUP('Customer Info'!A1450,'Customer Info'!A1450:I1950,3,FALSE)</f>
        <v>#N/A</v>
      </c>
      <c r="I1458" s="6" t="e">
        <f>VLOOKUP('Customer Info'!A1450,'Customer Info'!A1450:I1949,5,FALSE)</f>
        <v>#N/A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157</v>
      </c>
      <c r="R1458" s="2" t="s">
        <v>28</v>
      </c>
      <c r="S1458" s="9">
        <f t="shared" si="114"/>
        <v>0.02</v>
      </c>
    </row>
    <row r="1459" spans="1:19" x14ac:dyDescent="0.25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e">
        <f>VLOOKUP('Customer Info'!A1451,'Customer Info'!A1451:I1950,2,FALSE)</f>
        <v>#N/A</v>
      </c>
      <c r="H1459" s="6" t="e">
        <f>VLOOKUP('Customer Info'!A1451,'Customer Info'!A1451:I1951,3,FALSE)</f>
        <v>#N/A</v>
      </c>
      <c r="I1459" s="6" t="e">
        <f>VLOOKUP('Customer Info'!A1451,'Customer Info'!A1451:I1950,5,FALSE)</f>
        <v>#N/A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55</v>
      </c>
      <c r="R1459" s="2" t="s">
        <v>28</v>
      </c>
      <c r="S1459" s="9">
        <f t="shared" si="114"/>
        <v>0.02</v>
      </c>
    </row>
    <row r="1460" spans="1:19" x14ac:dyDescent="0.25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e">
        <f>VLOOKUP('Customer Info'!A1452,'Customer Info'!A1452:I1951,2,FALSE)</f>
        <v>#N/A</v>
      </c>
      <c r="H1460" s="6" t="e">
        <f>VLOOKUP('Customer Info'!A1452,'Customer Info'!A1452:I1952,3,FALSE)</f>
        <v>#N/A</v>
      </c>
      <c r="I1460" s="6" t="e">
        <f>VLOOKUP('Customer Info'!A1452,'Customer Info'!A1452:I1951,5,FALSE)</f>
        <v>#N/A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1590</v>
      </c>
      <c r="R1460" s="2" t="s">
        <v>28</v>
      </c>
      <c r="S1460" s="9">
        <f t="shared" si="114"/>
        <v>0.05</v>
      </c>
    </row>
    <row r="1461" spans="1:19" x14ac:dyDescent="0.25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e">
        <f>VLOOKUP('Customer Info'!A1453,'Customer Info'!A1453:I1952,2,FALSE)</f>
        <v>#N/A</v>
      </c>
      <c r="H1461" s="6" t="e">
        <f>VLOOKUP('Customer Info'!A1453,'Customer Info'!A1453:I1953,3,FALSE)</f>
        <v>#N/A</v>
      </c>
      <c r="I1461" s="6" t="e">
        <f>VLOOKUP('Customer Info'!A1453,'Customer Info'!A1453:I1952,5,FALSE)</f>
        <v>#N/A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46</v>
      </c>
      <c r="R1461" s="2" t="s">
        <v>26</v>
      </c>
      <c r="S1461" s="9">
        <f t="shared" si="114"/>
        <v>0.02</v>
      </c>
    </row>
    <row r="1462" spans="1:19" x14ac:dyDescent="0.25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e">
        <f>VLOOKUP('Customer Info'!A1454,'Customer Info'!A1454:I1953,2,FALSE)</f>
        <v>#N/A</v>
      </c>
      <c r="H1462" s="6" t="e">
        <f>VLOOKUP('Customer Info'!A1454,'Customer Info'!A1454:I1954,3,FALSE)</f>
        <v>#N/A</v>
      </c>
      <c r="I1462" s="6" t="e">
        <f>VLOOKUP('Customer Info'!A1454,'Customer Info'!A1454:I1953,5,FALSE)</f>
        <v>#N/A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210</v>
      </c>
      <c r="R1462" s="2" t="s">
        <v>26</v>
      </c>
      <c r="S1462" s="9">
        <f t="shared" si="114"/>
        <v>0.02</v>
      </c>
    </row>
    <row r="1463" spans="1:19" x14ac:dyDescent="0.25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e">
        <f>VLOOKUP('Customer Info'!A1455,'Customer Info'!A1455:I1954,2,FALSE)</f>
        <v>#N/A</v>
      </c>
      <c r="H1463" s="6" t="e">
        <f>VLOOKUP('Customer Info'!A1455,'Customer Info'!A1455:I1955,3,FALSE)</f>
        <v>#N/A</v>
      </c>
      <c r="I1463" s="6" t="e">
        <f>VLOOKUP('Customer Info'!A1455,'Customer Info'!A1455:I1954,5,FALSE)</f>
        <v>#N/A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195</v>
      </c>
      <c r="R1463" s="2" t="s">
        <v>28</v>
      </c>
      <c r="S1463" s="9">
        <f t="shared" si="114"/>
        <v>0.02</v>
      </c>
    </row>
    <row r="1464" spans="1:19" x14ac:dyDescent="0.25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e">
        <f>VLOOKUP('Customer Info'!A1456,'Customer Info'!A1456:I1955,2,FALSE)</f>
        <v>#N/A</v>
      </c>
      <c r="H1464" s="6" t="e">
        <f>VLOOKUP('Customer Info'!A1456,'Customer Info'!A1456:I1956,3,FALSE)</f>
        <v>#N/A</v>
      </c>
      <c r="I1464" s="6" t="e">
        <f>VLOOKUP('Customer Info'!A1456,'Customer Info'!A1456:I1955,5,FALSE)</f>
        <v>#N/A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211</v>
      </c>
      <c r="R1464" s="2" t="s">
        <v>28</v>
      </c>
      <c r="S1464" s="9">
        <f t="shared" si="114"/>
        <v>0.02</v>
      </c>
    </row>
    <row r="1465" spans="1:19" x14ac:dyDescent="0.25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e">
        <f>VLOOKUP('Customer Info'!A1457,'Customer Info'!A1457:I1956,2,FALSE)</f>
        <v>#N/A</v>
      </c>
      <c r="H1465" s="6" t="e">
        <f>VLOOKUP('Customer Info'!A1457,'Customer Info'!A1457:I1957,3,FALSE)</f>
        <v>#N/A</v>
      </c>
      <c r="I1465" s="6" t="e">
        <f>VLOOKUP('Customer Info'!A1457,'Customer Info'!A1457:I1956,5,FALSE)</f>
        <v>#N/A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190</v>
      </c>
      <c r="R1465" s="2" t="s">
        <v>28</v>
      </c>
      <c r="S1465" s="9">
        <f t="shared" si="114"/>
        <v>0.02</v>
      </c>
    </row>
    <row r="1466" spans="1:19" x14ac:dyDescent="0.25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e">
        <f>VLOOKUP('Customer Info'!A1458,'Customer Info'!A1458:I1957,2,FALSE)</f>
        <v>#N/A</v>
      </c>
      <c r="H1466" s="6" t="e">
        <f>VLOOKUP('Customer Info'!A1458,'Customer Info'!A1458:I1958,3,FALSE)</f>
        <v>#N/A</v>
      </c>
      <c r="I1466" s="6" t="e">
        <f>VLOOKUP('Customer Info'!A1458,'Customer Info'!A1458:I1957,5,FALSE)</f>
        <v>#N/A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275</v>
      </c>
      <c r="R1466" s="2" t="s">
        <v>26</v>
      </c>
      <c r="S1466" s="9">
        <f t="shared" si="114"/>
        <v>0.05</v>
      </c>
    </row>
    <row r="1467" spans="1:19" x14ac:dyDescent="0.25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e">
        <f>VLOOKUP('Customer Info'!A1459,'Customer Info'!A1459:I1958,2,FALSE)</f>
        <v>#N/A</v>
      </c>
      <c r="H1467" s="6" t="e">
        <f>VLOOKUP('Customer Info'!A1459,'Customer Info'!A1459:I1959,3,FALSE)</f>
        <v>#N/A</v>
      </c>
      <c r="I1467" s="6" t="e">
        <f>VLOOKUP('Customer Info'!A1459,'Customer Info'!A1459:I1958,5,FALSE)</f>
        <v>#N/A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855</v>
      </c>
      <c r="R1467" s="2" t="s">
        <v>28</v>
      </c>
      <c r="S1467" s="9">
        <f t="shared" si="114"/>
        <v>0.05</v>
      </c>
    </row>
    <row r="1468" spans="1:19" x14ac:dyDescent="0.25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e">
        <f>VLOOKUP('Customer Info'!A1460,'Customer Info'!A1460:I1959,2,FALSE)</f>
        <v>#N/A</v>
      </c>
      <c r="H1468" s="6" t="e">
        <f>VLOOKUP('Customer Info'!A1460,'Customer Info'!A1460:I1960,3,FALSE)</f>
        <v>#N/A</v>
      </c>
      <c r="I1468" s="6" t="e">
        <f>VLOOKUP('Customer Info'!A1460,'Customer Info'!A1460:I1959,5,FALSE)</f>
        <v>#N/A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697</v>
      </c>
      <c r="R1468" s="2" t="s">
        <v>50</v>
      </c>
      <c r="S1468" s="9">
        <f t="shared" si="114"/>
        <v>0.05</v>
      </c>
    </row>
    <row r="1469" spans="1:19" x14ac:dyDescent="0.25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e">
        <f>VLOOKUP('Customer Info'!A1461,'Customer Info'!A1461:I1960,2,FALSE)</f>
        <v>#N/A</v>
      </c>
      <c r="H1469" s="6" t="e">
        <f>VLOOKUP('Customer Info'!A1461,'Customer Info'!A1461:I1961,3,FALSE)</f>
        <v>#N/A</v>
      </c>
      <c r="I1469" s="6" t="e">
        <f>VLOOKUP('Customer Info'!A1461,'Customer Info'!A1461:I1960,5,FALSE)</f>
        <v>#N/A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1525</v>
      </c>
      <c r="R1469" s="2" t="s">
        <v>28</v>
      </c>
      <c r="S1469" s="9">
        <f t="shared" si="114"/>
        <v>0.05</v>
      </c>
    </row>
    <row r="1470" spans="1:19" x14ac:dyDescent="0.25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e">
        <f>VLOOKUP('Customer Info'!A1462,'Customer Info'!A1462:I1961,2,FALSE)</f>
        <v>#N/A</v>
      </c>
      <c r="H1470" s="6" t="e">
        <f>VLOOKUP('Customer Info'!A1462,'Customer Info'!A1462:I1962,3,FALSE)</f>
        <v>#N/A</v>
      </c>
      <c r="I1470" s="6" t="e">
        <f>VLOOKUP('Customer Info'!A1462,'Customer Info'!A1462:I1961,5,FALSE)</f>
        <v>#N/A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26</v>
      </c>
      <c r="R1470" s="2" t="s">
        <v>50</v>
      </c>
      <c r="S1470" s="9">
        <f t="shared" si="114"/>
        <v>0.02</v>
      </c>
    </row>
    <row r="1471" spans="1:19" x14ac:dyDescent="0.25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e">
        <f>VLOOKUP('Customer Info'!A1463,'Customer Info'!A1463:I1962,2,FALSE)</f>
        <v>#N/A</v>
      </c>
      <c r="H1471" s="6" t="e">
        <f>VLOOKUP('Customer Info'!A1463,'Customer Info'!A1463:I1963,3,FALSE)</f>
        <v>#N/A</v>
      </c>
      <c r="I1471" s="6" t="e">
        <f>VLOOKUP('Customer Info'!A1463,'Customer Info'!A1463:I1962,5,FALSE)</f>
        <v>#N/A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412</v>
      </c>
      <c r="R1471" s="2" t="s">
        <v>28</v>
      </c>
      <c r="S1471" s="9">
        <f t="shared" si="114"/>
        <v>0.05</v>
      </c>
    </row>
    <row r="1472" spans="1:19" x14ac:dyDescent="0.25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e">
        <f>VLOOKUP('Customer Info'!A1464,'Customer Info'!A1464:I1963,2,FALSE)</f>
        <v>#N/A</v>
      </c>
      <c r="H1472" s="6" t="e">
        <f>VLOOKUP('Customer Info'!A1464,'Customer Info'!A1464:I1964,3,FALSE)</f>
        <v>#N/A</v>
      </c>
      <c r="I1472" s="6" t="e">
        <f>VLOOKUP('Customer Info'!A1464,'Customer Info'!A1464:I1963,5,FALSE)</f>
        <v>#N/A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174</v>
      </c>
      <c r="R1472" s="2" t="s">
        <v>28</v>
      </c>
      <c r="S1472" s="9">
        <f t="shared" si="114"/>
        <v>0.02</v>
      </c>
    </row>
    <row r="1473" spans="1:19" x14ac:dyDescent="0.25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e">
        <f>VLOOKUP('Customer Info'!A1465,'Customer Info'!A1465:I1964,2,FALSE)</f>
        <v>#N/A</v>
      </c>
      <c r="H1473" s="6" t="e">
        <f>VLOOKUP('Customer Info'!A1465,'Customer Info'!A1465:I1965,3,FALSE)</f>
        <v>#N/A</v>
      </c>
      <c r="I1473" s="6" t="e">
        <f>VLOOKUP('Customer Info'!A1465,'Customer Info'!A1465:I1964,5,FALSE)</f>
        <v>#N/A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442</v>
      </c>
      <c r="R1473" s="2" t="s">
        <v>28</v>
      </c>
      <c r="S1473" s="9">
        <f t="shared" si="114"/>
        <v>0.05</v>
      </c>
    </row>
    <row r="1474" spans="1:19" x14ac:dyDescent="0.25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e">
        <f>VLOOKUP('Customer Info'!A1466,'Customer Info'!A1466:I1965,2,FALSE)</f>
        <v>#N/A</v>
      </c>
      <c r="H1474" s="6" t="e">
        <f>VLOOKUP('Customer Info'!A1466,'Customer Info'!A1466:I1966,3,FALSE)</f>
        <v>#N/A</v>
      </c>
      <c r="I1474" s="6" t="e">
        <f>VLOOKUP('Customer Info'!A1466,'Customer Info'!A1466:I1965,5,FALSE)</f>
        <v>#N/A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758</v>
      </c>
      <c r="R1474" s="2" t="s">
        <v>50</v>
      </c>
      <c r="S1474" s="9">
        <f t="shared" si="114"/>
        <v>0.05</v>
      </c>
    </row>
    <row r="1475" spans="1:19" x14ac:dyDescent="0.25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e">
        <f>VLOOKUP('Customer Info'!A1467,'Customer Info'!A1467:I1966,2,FALSE)</f>
        <v>#N/A</v>
      </c>
      <c r="H1475" s="6" t="e">
        <f>VLOOKUP('Customer Info'!A1467,'Customer Info'!A1467:I1967,3,FALSE)</f>
        <v>#N/A</v>
      </c>
      <c r="I1475" s="6" t="e">
        <f>VLOOKUP('Customer Info'!A1467,'Customer Info'!A1467:I1966,5,FALSE)</f>
        <v>#N/A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451</v>
      </c>
      <c r="R1475" s="2" t="s">
        <v>28</v>
      </c>
      <c r="S1475" s="9">
        <f t="shared" si="114"/>
        <v>0.05</v>
      </c>
    </row>
    <row r="1476" spans="1:19" x14ac:dyDescent="0.25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e">
        <f>VLOOKUP('Customer Info'!A1468,'Customer Info'!A1468:I1967,2,FALSE)</f>
        <v>#N/A</v>
      </c>
      <c r="H1476" s="6" t="e">
        <f>VLOOKUP('Customer Info'!A1468,'Customer Info'!A1468:I1968,3,FALSE)</f>
        <v>#N/A</v>
      </c>
      <c r="I1476" s="6" t="e">
        <f>VLOOKUP('Customer Info'!A1468,'Customer Info'!A1468:I1967,5,FALSE)</f>
        <v>#N/A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716</v>
      </c>
      <c r="R1476" s="2" t="s">
        <v>28</v>
      </c>
      <c r="S1476" s="9">
        <f t="shared" si="114"/>
        <v>0.05</v>
      </c>
    </row>
    <row r="1477" spans="1:19" x14ac:dyDescent="0.25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e">
        <f>VLOOKUP('Customer Info'!A1469,'Customer Info'!A1469:I1968,2,FALSE)</f>
        <v>#N/A</v>
      </c>
      <c r="H1477" s="6" t="e">
        <f>VLOOKUP('Customer Info'!A1469,'Customer Info'!A1469:I1969,3,FALSE)</f>
        <v>#N/A</v>
      </c>
      <c r="I1477" s="6" t="e">
        <f>VLOOKUP('Customer Info'!A1469,'Customer Info'!A1469:I1968,5,FALSE)</f>
        <v>#N/A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157</v>
      </c>
      <c r="R1477" s="2" t="s">
        <v>28</v>
      </c>
      <c r="S1477" s="9">
        <f t="shared" si="114"/>
        <v>0.02</v>
      </c>
    </row>
    <row r="1478" spans="1:19" x14ac:dyDescent="0.25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e">
        <f>VLOOKUP('Customer Info'!A1470,'Customer Info'!A1470:I1969,2,FALSE)</f>
        <v>#N/A</v>
      </c>
      <c r="H1478" s="6" t="e">
        <f>VLOOKUP('Customer Info'!A1470,'Customer Info'!A1470:I1970,3,FALSE)</f>
        <v>#N/A</v>
      </c>
      <c r="I1478" s="6" t="e">
        <f>VLOOKUP('Customer Info'!A1470,'Customer Info'!A1470:I1969,5,FALSE)</f>
        <v>#N/A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174</v>
      </c>
      <c r="R1478" s="2" t="s">
        <v>28</v>
      </c>
      <c r="S1478" s="9">
        <f t="shared" si="114"/>
        <v>0.02</v>
      </c>
    </row>
    <row r="1479" spans="1:19" x14ac:dyDescent="0.25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e">
        <f>VLOOKUP('Customer Info'!A1471,'Customer Info'!A1471:I1970,2,FALSE)</f>
        <v>#N/A</v>
      </c>
      <c r="H1479" s="6" t="e">
        <f>VLOOKUP('Customer Info'!A1471,'Customer Info'!A1471:I1971,3,FALSE)</f>
        <v>#N/A</v>
      </c>
      <c r="I1479" s="6" t="e">
        <f>VLOOKUP('Customer Info'!A1471,'Customer Info'!A1471:I1970,5,FALSE)</f>
        <v>#N/A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64</v>
      </c>
      <c r="R1479" s="2" t="s">
        <v>50</v>
      </c>
      <c r="S1479" s="9">
        <f t="shared" si="114"/>
        <v>0.02</v>
      </c>
    </row>
    <row r="1480" spans="1:19" x14ac:dyDescent="0.25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e">
        <f>VLOOKUP('Customer Info'!A1472,'Customer Info'!A1472:I1971,2,FALSE)</f>
        <v>#N/A</v>
      </c>
      <c r="H1480" s="6" t="e">
        <f>VLOOKUP('Customer Info'!A1472,'Customer Info'!A1472:I1972,3,FALSE)</f>
        <v>#N/A</v>
      </c>
      <c r="I1480" s="6" t="e">
        <f>VLOOKUP('Customer Info'!A1472,'Customer Info'!A1472:I1971,5,FALSE)</f>
        <v>#N/A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362</v>
      </c>
      <c r="R1480" s="2" t="s">
        <v>28</v>
      </c>
      <c r="S1480" s="9">
        <f t="shared" si="114"/>
        <v>0.02</v>
      </c>
    </row>
    <row r="1481" spans="1:19" x14ac:dyDescent="0.25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e">
        <f>VLOOKUP('Customer Info'!A1473,'Customer Info'!A1473:I1972,2,FALSE)</f>
        <v>#N/A</v>
      </c>
      <c r="H1481" s="6" t="e">
        <f>VLOOKUP('Customer Info'!A1473,'Customer Info'!A1473:I1973,3,FALSE)</f>
        <v>#N/A</v>
      </c>
      <c r="I1481" s="6" t="e">
        <f>VLOOKUP('Customer Info'!A1473,'Customer Info'!A1473:I1972,5,FALSE)</f>
        <v>#N/A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9470</v>
      </c>
      <c r="R1481" s="2" t="s">
        <v>28</v>
      </c>
      <c r="S1481" s="9">
        <f t="shared" si="114"/>
        <v>0.12</v>
      </c>
    </row>
    <row r="1482" spans="1:19" x14ac:dyDescent="0.25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e">
        <f>VLOOKUP('Customer Info'!A1474,'Customer Info'!A1474:I1973,2,FALSE)</f>
        <v>#N/A</v>
      </c>
      <c r="H1482" s="6" t="e">
        <f>VLOOKUP('Customer Info'!A1474,'Customer Info'!A1474:I1974,3,FALSE)</f>
        <v>#N/A</v>
      </c>
      <c r="I1482" s="6" t="e">
        <f>VLOOKUP('Customer Info'!A1474,'Customer Info'!A1474:I1973,5,FALSE)</f>
        <v>#N/A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1393</v>
      </c>
      <c r="R1482" s="2" t="s">
        <v>28</v>
      </c>
      <c r="S1482" s="9">
        <f t="shared" si="114"/>
        <v>0.05</v>
      </c>
    </row>
    <row r="1483" spans="1:19" x14ac:dyDescent="0.25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e">
        <f>VLOOKUP('Customer Info'!A1475,'Customer Info'!A1475:I1974,2,FALSE)</f>
        <v>#N/A</v>
      </c>
      <c r="H1483" s="6" t="e">
        <f>VLOOKUP('Customer Info'!A1475,'Customer Info'!A1475:I1975,3,FALSE)</f>
        <v>#N/A</v>
      </c>
      <c r="I1483" s="6" t="e">
        <f>VLOOKUP('Customer Info'!A1475,'Customer Info'!A1475:I1974,5,FALSE)</f>
        <v>#N/A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8">
        <f t="shared" ref="P1483:P1546" si="117">N1483+O1483</f>
        <v>725</v>
      </c>
      <c r="Q1483" s="8">
        <f t="shared" ref="Q1483:Q1546" si="118">P1483-M1483</f>
        <v>75</v>
      </c>
      <c r="R1483" s="2" t="s">
        <v>28</v>
      </c>
      <c r="S1483" s="9">
        <f t="shared" ref="S1483:S1546" si="119">VLOOKUP(P1483,$T$2:$U$7,2,TRUE)</f>
        <v>0.02</v>
      </c>
    </row>
    <row r="1484" spans="1:19" x14ac:dyDescent="0.25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e">
        <f>VLOOKUP('Customer Info'!A1476,'Customer Info'!A1476:I1975,2,FALSE)</f>
        <v>#N/A</v>
      </c>
      <c r="H1484" s="6" t="e">
        <f>VLOOKUP('Customer Info'!A1476,'Customer Info'!A1476:I1976,3,FALSE)</f>
        <v>#N/A</v>
      </c>
      <c r="I1484" s="6" t="e">
        <f>VLOOKUP('Customer Info'!A1476,'Customer Info'!A1476:I1975,5,FALSE)</f>
        <v>#N/A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1360</v>
      </c>
      <c r="R1484" s="2" t="s">
        <v>26</v>
      </c>
      <c r="S1484" s="9">
        <f t="shared" si="119"/>
        <v>0.05</v>
      </c>
    </row>
    <row r="1485" spans="1:19" x14ac:dyDescent="0.25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e">
        <f>VLOOKUP('Customer Info'!A1477,'Customer Info'!A1477:I1976,2,FALSE)</f>
        <v>#N/A</v>
      </c>
      <c r="H1485" s="6" t="e">
        <f>VLOOKUP('Customer Info'!A1477,'Customer Info'!A1477:I1977,3,FALSE)</f>
        <v>#N/A</v>
      </c>
      <c r="I1485" s="6" t="e">
        <f>VLOOKUP('Customer Info'!A1477,'Customer Info'!A1477:I1976,5,FALSE)</f>
        <v>#N/A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313</v>
      </c>
      <c r="R1485" s="2" t="s">
        <v>50</v>
      </c>
      <c r="S1485" s="9">
        <f t="shared" si="119"/>
        <v>0.02</v>
      </c>
    </row>
    <row r="1486" spans="1:19" x14ac:dyDescent="0.25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e">
        <f>VLOOKUP('Customer Info'!A1478,'Customer Info'!A1478:I1977,2,FALSE)</f>
        <v>#N/A</v>
      </c>
      <c r="H1486" s="6" t="e">
        <f>VLOOKUP('Customer Info'!A1478,'Customer Info'!A1478:I1978,3,FALSE)</f>
        <v>#N/A</v>
      </c>
      <c r="I1486" s="6" t="e">
        <f>VLOOKUP('Customer Info'!A1478,'Customer Info'!A1478:I1977,5,FALSE)</f>
        <v>#N/A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241</v>
      </c>
      <c r="R1486" s="2" t="s">
        <v>50</v>
      </c>
      <c r="S1486" s="9">
        <f t="shared" si="119"/>
        <v>0.02</v>
      </c>
    </row>
    <row r="1487" spans="1:19" x14ac:dyDescent="0.25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e">
        <f>VLOOKUP('Customer Info'!A1479,'Customer Info'!A1479:I1978,2,FALSE)</f>
        <v>#N/A</v>
      </c>
      <c r="H1487" s="6" t="e">
        <f>VLOOKUP('Customer Info'!A1479,'Customer Info'!A1479:I1979,3,FALSE)</f>
        <v>#N/A</v>
      </c>
      <c r="I1487" s="6" t="e">
        <f>VLOOKUP('Customer Info'!A1479,'Customer Info'!A1479:I1978,5,FALSE)</f>
        <v>#N/A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303</v>
      </c>
      <c r="R1487" s="2" t="s">
        <v>56</v>
      </c>
      <c r="S1487" s="9">
        <f t="shared" si="119"/>
        <v>0.02</v>
      </c>
    </row>
    <row r="1488" spans="1:19" x14ac:dyDescent="0.25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e">
        <f>VLOOKUP('Customer Info'!A1480,'Customer Info'!A1480:I1979,2,FALSE)</f>
        <v>#N/A</v>
      </c>
      <c r="H1488" s="6" t="e">
        <f>VLOOKUP('Customer Info'!A1480,'Customer Info'!A1480:I1980,3,FALSE)</f>
        <v>#N/A</v>
      </c>
      <c r="I1488" s="6" t="e">
        <f>VLOOKUP('Customer Info'!A1480,'Customer Info'!A1480:I1979,5,FALSE)</f>
        <v>#N/A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1332</v>
      </c>
      <c r="R1488" s="2" t="s">
        <v>26</v>
      </c>
      <c r="S1488" s="9">
        <f t="shared" si="119"/>
        <v>0.05</v>
      </c>
    </row>
    <row r="1489" spans="1:19" x14ac:dyDescent="0.25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e">
        <f>VLOOKUP('Customer Info'!A1481,'Customer Info'!A1481:I1980,2,FALSE)</f>
        <v>#N/A</v>
      </c>
      <c r="H1489" s="6" t="e">
        <f>VLOOKUP('Customer Info'!A1481,'Customer Info'!A1481:I1981,3,FALSE)</f>
        <v>#N/A</v>
      </c>
      <c r="I1489" s="6" t="e">
        <f>VLOOKUP('Customer Info'!A1481,'Customer Info'!A1481:I1980,5,FALSE)</f>
        <v>#N/A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728</v>
      </c>
      <c r="R1489" s="2" t="s">
        <v>26</v>
      </c>
      <c r="S1489" s="9">
        <f t="shared" si="119"/>
        <v>0.05</v>
      </c>
    </row>
    <row r="1490" spans="1:19" x14ac:dyDescent="0.25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e">
        <f>VLOOKUP('Customer Info'!A1482,'Customer Info'!A1482:I1981,2,FALSE)</f>
        <v>#N/A</v>
      </c>
      <c r="H1490" s="6" t="e">
        <f>VLOOKUP('Customer Info'!A1482,'Customer Info'!A1482:I1982,3,FALSE)</f>
        <v>#N/A</v>
      </c>
      <c r="I1490" s="6" t="e">
        <f>VLOOKUP('Customer Info'!A1482,'Customer Info'!A1482:I1981,5,FALSE)</f>
        <v>#N/A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35</v>
      </c>
      <c r="R1490" s="2" t="s">
        <v>28</v>
      </c>
      <c r="S1490" s="9">
        <f t="shared" si="119"/>
        <v>0.02</v>
      </c>
    </row>
    <row r="1491" spans="1:19" x14ac:dyDescent="0.25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e">
        <f>VLOOKUP('Customer Info'!A1483,'Customer Info'!A1483:I1982,2,FALSE)</f>
        <v>#N/A</v>
      </c>
      <c r="H1491" s="6" t="e">
        <f>VLOOKUP('Customer Info'!A1483,'Customer Info'!A1483:I1983,3,FALSE)</f>
        <v>#N/A</v>
      </c>
      <c r="I1491" s="6" t="e">
        <f>VLOOKUP('Customer Info'!A1483,'Customer Info'!A1483:I1982,5,FALSE)</f>
        <v>#N/A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38</v>
      </c>
      <c r="R1491" s="2" t="s">
        <v>28</v>
      </c>
      <c r="S1491" s="9">
        <f t="shared" si="119"/>
        <v>0.02</v>
      </c>
    </row>
    <row r="1492" spans="1:19" x14ac:dyDescent="0.25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e">
        <f>VLOOKUP('Customer Info'!A1484,'Customer Info'!A1484:I1983,2,FALSE)</f>
        <v>#N/A</v>
      </c>
      <c r="H1492" s="6" t="e">
        <f>VLOOKUP('Customer Info'!A1484,'Customer Info'!A1484:I1984,3,FALSE)</f>
        <v>#N/A</v>
      </c>
      <c r="I1492" s="6" t="e">
        <f>VLOOKUP('Customer Info'!A1484,'Customer Info'!A1484:I1983,5,FALSE)</f>
        <v>#N/A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710</v>
      </c>
      <c r="R1492" s="2" t="s">
        <v>50</v>
      </c>
      <c r="S1492" s="9">
        <f t="shared" si="119"/>
        <v>0.05</v>
      </c>
    </row>
    <row r="1493" spans="1:19" x14ac:dyDescent="0.25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e">
        <f>VLOOKUP('Customer Info'!A1485,'Customer Info'!A1485:I1984,2,FALSE)</f>
        <v>#N/A</v>
      </c>
      <c r="H1493" s="6" t="e">
        <f>VLOOKUP('Customer Info'!A1485,'Customer Info'!A1485:I1985,3,FALSE)</f>
        <v>#N/A</v>
      </c>
      <c r="I1493" s="6" t="e">
        <f>VLOOKUP('Customer Info'!A1485,'Customer Info'!A1485:I1984,5,FALSE)</f>
        <v>#N/A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1761</v>
      </c>
      <c r="R1493" s="2" t="s">
        <v>28</v>
      </c>
      <c r="S1493" s="9">
        <f t="shared" si="119"/>
        <v>0.05</v>
      </c>
    </row>
    <row r="1494" spans="1:19" x14ac:dyDescent="0.25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e">
        <f>VLOOKUP('Customer Info'!A1486,'Customer Info'!A1486:I1985,2,FALSE)</f>
        <v>#N/A</v>
      </c>
      <c r="H1494" s="6" t="e">
        <f>VLOOKUP('Customer Info'!A1486,'Customer Info'!A1486:I1986,3,FALSE)</f>
        <v>#N/A</v>
      </c>
      <c r="I1494" s="6" t="e">
        <f>VLOOKUP('Customer Info'!A1486,'Customer Info'!A1486:I1985,5,FALSE)</f>
        <v>#N/A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95</v>
      </c>
      <c r="R1494" s="2" t="s">
        <v>50</v>
      </c>
      <c r="S1494" s="9">
        <f t="shared" si="119"/>
        <v>0.02</v>
      </c>
    </row>
    <row r="1495" spans="1:19" x14ac:dyDescent="0.25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e">
        <f>VLOOKUP('Customer Info'!A1487,'Customer Info'!A1487:I1986,2,FALSE)</f>
        <v>#N/A</v>
      </c>
      <c r="H1495" s="6" t="e">
        <f>VLOOKUP('Customer Info'!A1487,'Customer Info'!A1487:I1987,3,FALSE)</f>
        <v>#N/A</v>
      </c>
      <c r="I1495" s="6" t="e">
        <f>VLOOKUP('Customer Info'!A1487,'Customer Info'!A1487:I1986,5,FALSE)</f>
        <v>#N/A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72</v>
      </c>
      <c r="R1495" s="2" t="s">
        <v>28</v>
      </c>
      <c r="S1495" s="9">
        <f t="shared" si="119"/>
        <v>0.02</v>
      </c>
    </row>
    <row r="1496" spans="1:19" x14ac:dyDescent="0.25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e">
        <f>VLOOKUP('Customer Info'!A1488,'Customer Info'!A1488:I1987,2,FALSE)</f>
        <v>#N/A</v>
      </c>
      <c r="H1496" s="6" t="e">
        <f>VLOOKUP('Customer Info'!A1488,'Customer Info'!A1488:I1988,3,FALSE)</f>
        <v>#N/A</v>
      </c>
      <c r="I1496" s="6" t="e">
        <f>VLOOKUP('Customer Info'!A1488,'Customer Info'!A1488:I1987,5,FALSE)</f>
        <v>#N/A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48</v>
      </c>
      <c r="R1496" s="2" t="s">
        <v>50</v>
      </c>
      <c r="S1496" s="9">
        <f t="shared" si="119"/>
        <v>0.02</v>
      </c>
    </row>
    <row r="1497" spans="1:19" x14ac:dyDescent="0.25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e">
        <f>VLOOKUP('Customer Info'!A1489,'Customer Info'!A1489:I1988,2,FALSE)</f>
        <v>#N/A</v>
      </c>
      <c r="H1497" s="6" t="e">
        <f>VLOOKUP('Customer Info'!A1489,'Customer Info'!A1489:I1989,3,FALSE)</f>
        <v>#N/A</v>
      </c>
      <c r="I1497" s="6" t="e">
        <f>VLOOKUP('Customer Info'!A1489,'Customer Info'!A1489:I1988,5,FALSE)</f>
        <v>#N/A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335</v>
      </c>
      <c r="R1497" s="2" t="s">
        <v>50</v>
      </c>
      <c r="S1497" s="9">
        <f t="shared" si="119"/>
        <v>0.02</v>
      </c>
    </row>
    <row r="1498" spans="1:19" x14ac:dyDescent="0.25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e">
        <f>VLOOKUP('Customer Info'!A1490,'Customer Info'!A1490:I1989,2,FALSE)</f>
        <v>#N/A</v>
      </c>
      <c r="H1498" s="6" t="e">
        <f>VLOOKUP('Customer Info'!A1490,'Customer Info'!A1490:I1990,3,FALSE)</f>
        <v>#N/A</v>
      </c>
      <c r="I1498" s="6" t="e">
        <f>VLOOKUP('Customer Info'!A1490,'Customer Info'!A1490:I1989,5,FALSE)</f>
        <v>#N/A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96</v>
      </c>
      <c r="R1498" s="2" t="s">
        <v>56</v>
      </c>
      <c r="S1498" s="9">
        <f t="shared" si="119"/>
        <v>0.02</v>
      </c>
    </row>
    <row r="1499" spans="1:19" x14ac:dyDescent="0.25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e">
        <f>VLOOKUP('Customer Info'!A1491,'Customer Info'!A1491:I1990,2,FALSE)</f>
        <v>#N/A</v>
      </c>
      <c r="H1499" s="6" t="e">
        <f>VLOOKUP('Customer Info'!A1491,'Customer Info'!A1491:I1991,3,FALSE)</f>
        <v>#N/A</v>
      </c>
      <c r="I1499" s="6" t="e">
        <f>VLOOKUP('Customer Info'!A1491,'Customer Info'!A1491:I1990,5,FALSE)</f>
        <v>#N/A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446</v>
      </c>
      <c r="R1499" s="2" t="s">
        <v>28</v>
      </c>
      <c r="S1499" s="9">
        <f t="shared" si="119"/>
        <v>0.05</v>
      </c>
    </row>
    <row r="1500" spans="1:19" x14ac:dyDescent="0.25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e">
        <f>VLOOKUP('Customer Info'!A1492,'Customer Info'!A1492:I1991,2,FALSE)</f>
        <v>#N/A</v>
      </c>
      <c r="H1500" s="6" t="e">
        <f>VLOOKUP('Customer Info'!A1492,'Customer Info'!A1492:I1992,3,FALSE)</f>
        <v>#N/A</v>
      </c>
      <c r="I1500" s="6" t="e">
        <f>VLOOKUP('Customer Info'!A1492,'Customer Info'!A1492:I1991,5,FALSE)</f>
        <v>#N/A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1210</v>
      </c>
      <c r="R1500" s="2" t="s">
        <v>56</v>
      </c>
      <c r="S1500" s="9">
        <f t="shared" si="119"/>
        <v>0.05</v>
      </c>
    </row>
    <row r="1501" spans="1:19" x14ac:dyDescent="0.25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e">
        <f>VLOOKUP('Customer Info'!A1493,'Customer Info'!A1493:I1992,2,FALSE)</f>
        <v>#N/A</v>
      </c>
      <c r="H1501" s="6" t="e">
        <f>VLOOKUP('Customer Info'!A1493,'Customer Info'!A1493:I1993,3,FALSE)</f>
        <v>#N/A</v>
      </c>
      <c r="I1501" s="6" t="e">
        <f>VLOOKUP('Customer Info'!A1493,'Customer Info'!A1493:I1992,5,FALSE)</f>
        <v>#N/A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1325</v>
      </c>
      <c r="R1501" s="2" t="s">
        <v>28</v>
      </c>
      <c r="S1501" s="9">
        <f t="shared" si="119"/>
        <v>0.05</v>
      </c>
    </row>
    <row r="1502" spans="1:19" x14ac:dyDescent="0.25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e">
        <f>VLOOKUP('Customer Info'!A1494,'Customer Info'!A1494:I1993,2,FALSE)</f>
        <v>#N/A</v>
      </c>
      <c r="H1502" s="6" t="e">
        <f>VLOOKUP('Customer Info'!A1494,'Customer Info'!A1494:I1994,3,FALSE)</f>
        <v>#N/A</v>
      </c>
      <c r="I1502" s="6" t="e">
        <f>VLOOKUP('Customer Info'!A1494,'Customer Info'!A1494:I1993,5,FALSE)</f>
        <v>#N/A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410</v>
      </c>
      <c r="R1502" s="2" t="s">
        <v>50</v>
      </c>
      <c r="S1502" s="9">
        <f t="shared" si="119"/>
        <v>0.02</v>
      </c>
    </row>
    <row r="1503" spans="1:19" x14ac:dyDescent="0.25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e">
        <f>VLOOKUP('Customer Info'!A1495,'Customer Info'!A1495:I1994,2,FALSE)</f>
        <v>#N/A</v>
      </c>
      <c r="H1503" s="6" t="e">
        <f>VLOOKUP('Customer Info'!A1495,'Customer Info'!A1495:I1995,3,FALSE)</f>
        <v>#N/A</v>
      </c>
      <c r="I1503" s="6" t="e">
        <f>VLOOKUP('Customer Info'!A1495,'Customer Info'!A1495:I1994,5,FALSE)</f>
        <v>#N/A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1846</v>
      </c>
      <c r="R1503" s="2" t="s">
        <v>28</v>
      </c>
      <c r="S1503" s="9">
        <f t="shared" si="119"/>
        <v>0.05</v>
      </c>
    </row>
    <row r="1504" spans="1:19" x14ac:dyDescent="0.25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e">
        <f>VLOOKUP('Customer Info'!A1496,'Customer Info'!A1496:I1995,2,FALSE)</f>
        <v>#N/A</v>
      </c>
      <c r="H1504" s="6" t="e">
        <f>VLOOKUP('Customer Info'!A1496,'Customer Info'!A1496:I1996,3,FALSE)</f>
        <v>#N/A</v>
      </c>
      <c r="I1504" s="6" t="e">
        <f>VLOOKUP('Customer Info'!A1496,'Customer Info'!A1496:I1995,5,FALSE)</f>
        <v>#N/A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14</v>
      </c>
      <c r="R1504" s="2" t="s">
        <v>50</v>
      </c>
      <c r="S1504" s="9">
        <f t="shared" si="119"/>
        <v>0.02</v>
      </c>
    </row>
    <row r="1505" spans="1:19" x14ac:dyDescent="0.25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e">
        <f>VLOOKUP('Customer Info'!A1497,'Customer Info'!A1497:I1996,2,FALSE)</f>
        <v>#N/A</v>
      </c>
      <c r="H1505" s="6" t="e">
        <f>VLOOKUP('Customer Info'!A1497,'Customer Info'!A1497:I1997,3,FALSE)</f>
        <v>#N/A</v>
      </c>
      <c r="I1505" s="6" t="e">
        <f>VLOOKUP('Customer Info'!A1497,'Customer Info'!A1497:I1996,5,FALSE)</f>
        <v>#N/A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50</v>
      </c>
      <c r="R1505" s="2" t="s">
        <v>28</v>
      </c>
      <c r="S1505" s="9">
        <f t="shared" si="119"/>
        <v>0.02</v>
      </c>
    </row>
    <row r="1506" spans="1:19" x14ac:dyDescent="0.25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e">
        <f>VLOOKUP('Customer Info'!A1498,'Customer Info'!A1498:I1997,2,FALSE)</f>
        <v>#N/A</v>
      </c>
      <c r="H1506" s="6" t="e">
        <f>VLOOKUP('Customer Info'!A1498,'Customer Info'!A1498:I1998,3,FALSE)</f>
        <v>#N/A</v>
      </c>
      <c r="I1506" s="6" t="e">
        <f>VLOOKUP('Customer Info'!A1498,'Customer Info'!A1498:I1997,5,FALSE)</f>
        <v>#N/A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101</v>
      </c>
      <c r="R1506" s="2" t="s">
        <v>50</v>
      </c>
      <c r="S1506" s="9">
        <f t="shared" si="119"/>
        <v>0.02</v>
      </c>
    </row>
    <row r="1507" spans="1:19" x14ac:dyDescent="0.25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e">
        <f>VLOOKUP('Customer Info'!A1499,'Customer Info'!A1499:I1998,2,FALSE)</f>
        <v>#N/A</v>
      </c>
      <c r="H1507" s="6" t="e">
        <f>VLOOKUP('Customer Info'!A1499,'Customer Info'!A1499:I1999,3,FALSE)</f>
        <v>#N/A</v>
      </c>
      <c r="I1507" s="6" t="e">
        <f>VLOOKUP('Customer Info'!A1499,'Customer Info'!A1499:I1998,5,FALSE)</f>
        <v>#N/A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3262</v>
      </c>
      <c r="R1507" s="2" t="s">
        <v>50</v>
      </c>
      <c r="S1507" s="9">
        <f t="shared" si="119"/>
        <v>7.0000000000000007E-2</v>
      </c>
    </row>
    <row r="1508" spans="1:19" x14ac:dyDescent="0.25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e">
        <f>VLOOKUP('Customer Info'!A1500,'Customer Info'!A1500:I1999,2,FALSE)</f>
        <v>#N/A</v>
      </c>
      <c r="H1508" s="6" t="e">
        <f>VLOOKUP('Customer Info'!A1500,'Customer Info'!A1500:I2000,3,FALSE)</f>
        <v>#N/A</v>
      </c>
      <c r="I1508" s="6" t="e">
        <f>VLOOKUP('Customer Info'!A1500,'Customer Info'!A1500:I1999,5,FALSE)</f>
        <v>#N/A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474</v>
      </c>
      <c r="R1508" s="2" t="s">
        <v>50</v>
      </c>
      <c r="S1508" s="9">
        <f t="shared" si="119"/>
        <v>0.05</v>
      </c>
    </row>
    <row r="1509" spans="1:19" x14ac:dyDescent="0.25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e">
        <f>VLOOKUP('Customer Info'!A1501,'Customer Info'!A1501:I2000,2,FALSE)</f>
        <v>#N/A</v>
      </c>
      <c r="H1509" s="6" t="e">
        <f>VLOOKUP('Customer Info'!A1501,'Customer Info'!A1501:I2001,3,FALSE)</f>
        <v>#N/A</v>
      </c>
      <c r="I1509" s="6" t="e">
        <f>VLOOKUP('Customer Info'!A1501,'Customer Info'!A1501:I2000,5,FALSE)</f>
        <v>#N/A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218</v>
      </c>
      <c r="R1509" s="2" t="s">
        <v>28</v>
      </c>
      <c r="S1509" s="9">
        <f t="shared" si="119"/>
        <v>0.02</v>
      </c>
    </row>
    <row r="1510" spans="1:19" x14ac:dyDescent="0.25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e">
        <f>VLOOKUP('Customer Info'!A1502,'Customer Info'!A1502:I2001,2,FALSE)</f>
        <v>#N/A</v>
      </c>
      <c r="H1510" s="6" t="e">
        <f>VLOOKUP('Customer Info'!A1502,'Customer Info'!A1502:I2002,3,FALSE)</f>
        <v>#N/A</v>
      </c>
      <c r="I1510" s="6" t="e">
        <f>VLOOKUP('Customer Info'!A1502,'Customer Info'!A1502:I2001,5,FALSE)</f>
        <v>#N/A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254</v>
      </c>
      <c r="R1510" s="2" t="s">
        <v>50</v>
      </c>
      <c r="S1510" s="9">
        <f t="shared" si="119"/>
        <v>0.02</v>
      </c>
    </row>
    <row r="1511" spans="1:19" x14ac:dyDescent="0.25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e">
        <f>VLOOKUP('Customer Info'!A1503,'Customer Info'!A1503:I2002,2,FALSE)</f>
        <v>#N/A</v>
      </c>
      <c r="H1511" s="6" t="e">
        <f>VLOOKUP('Customer Info'!A1503,'Customer Info'!A1503:I2003,3,FALSE)</f>
        <v>#N/A</v>
      </c>
      <c r="I1511" s="6" t="e">
        <f>VLOOKUP('Customer Info'!A1503,'Customer Info'!A1503:I2002,5,FALSE)</f>
        <v>#N/A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182</v>
      </c>
      <c r="R1511" s="2" t="s">
        <v>50</v>
      </c>
      <c r="S1511" s="9">
        <f t="shared" si="119"/>
        <v>0.02</v>
      </c>
    </row>
    <row r="1512" spans="1:19" x14ac:dyDescent="0.25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e">
        <f>VLOOKUP('Customer Info'!A1504,'Customer Info'!A1504:I2003,2,FALSE)</f>
        <v>#N/A</v>
      </c>
      <c r="H1512" s="6" t="e">
        <f>VLOOKUP('Customer Info'!A1504,'Customer Info'!A1504:I2004,3,FALSE)</f>
        <v>#N/A</v>
      </c>
      <c r="I1512" s="6" t="e">
        <f>VLOOKUP('Customer Info'!A1504,'Customer Info'!A1504:I2003,5,FALSE)</f>
        <v>#N/A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105</v>
      </c>
      <c r="R1512" s="2" t="s">
        <v>28</v>
      </c>
      <c r="S1512" s="9">
        <f t="shared" si="119"/>
        <v>0.02</v>
      </c>
    </row>
    <row r="1513" spans="1:19" x14ac:dyDescent="0.25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e">
        <f>VLOOKUP('Customer Info'!A1505,'Customer Info'!A1505:I2004,2,FALSE)</f>
        <v>#N/A</v>
      </c>
      <c r="H1513" s="6" t="e">
        <f>VLOOKUP('Customer Info'!A1505,'Customer Info'!A1505:I2005,3,FALSE)</f>
        <v>#N/A</v>
      </c>
      <c r="I1513" s="6" t="e">
        <f>VLOOKUP('Customer Info'!A1505,'Customer Info'!A1505:I2004,5,FALSE)</f>
        <v>#N/A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154</v>
      </c>
      <c r="R1513" s="2" t="s">
        <v>50</v>
      </c>
      <c r="S1513" s="9">
        <f t="shared" si="119"/>
        <v>0.02</v>
      </c>
    </row>
    <row r="1514" spans="1:19" x14ac:dyDescent="0.25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e">
        <f>VLOOKUP('Customer Info'!A1506,'Customer Info'!A1506:I2005,2,FALSE)</f>
        <v>#N/A</v>
      </c>
      <c r="H1514" s="6" t="e">
        <f>VLOOKUP('Customer Info'!A1506,'Customer Info'!A1506:I2006,3,FALSE)</f>
        <v>#N/A</v>
      </c>
      <c r="I1514" s="6" t="e">
        <f>VLOOKUP('Customer Info'!A1506,'Customer Info'!A1506:I2005,5,FALSE)</f>
        <v>#N/A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81</v>
      </c>
      <c r="R1514" s="2" t="s">
        <v>26</v>
      </c>
      <c r="S1514" s="9">
        <f t="shared" si="119"/>
        <v>0.02</v>
      </c>
    </row>
    <row r="1515" spans="1:19" x14ac:dyDescent="0.25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e">
        <f>VLOOKUP('Customer Info'!A1507,'Customer Info'!A1507:I2006,2,FALSE)</f>
        <v>#N/A</v>
      </c>
      <c r="H1515" s="6" t="e">
        <f>VLOOKUP('Customer Info'!A1507,'Customer Info'!A1507:I2007,3,FALSE)</f>
        <v>#N/A</v>
      </c>
      <c r="I1515" s="6" t="e">
        <f>VLOOKUP('Customer Info'!A1507,'Customer Info'!A1507:I2006,5,FALSE)</f>
        <v>#N/A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164</v>
      </c>
      <c r="R1515" s="2" t="s">
        <v>28</v>
      </c>
      <c r="S1515" s="9">
        <f t="shared" si="119"/>
        <v>0.02</v>
      </c>
    </row>
    <row r="1516" spans="1:19" x14ac:dyDescent="0.25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e">
        <f>VLOOKUP('Customer Info'!A1508,'Customer Info'!A1508:I2007,2,FALSE)</f>
        <v>#N/A</v>
      </c>
      <c r="H1516" s="6" t="e">
        <f>VLOOKUP('Customer Info'!A1508,'Customer Info'!A1508:I2008,3,FALSE)</f>
        <v>#N/A</v>
      </c>
      <c r="I1516" s="6" t="e">
        <f>VLOOKUP('Customer Info'!A1508,'Customer Info'!A1508:I2007,5,FALSE)</f>
        <v>#N/A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936</v>
      </c>
      <c r="R1516" s="2" t="s">
        <v>28</v>
      </c>
      <c r="S1516" s="9">
        <f t="shared" si="119"/>
        <v>0.05</v>
      </c>
    </row>
    <row r="1517" spans="1:19" x14ac:dyDescent="0.25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e">
        <f>VLOOKUP('Customer Info'!A1509,'Customer Info'!A1509:I2008,2,FALSE)</f>
        <v>#N/A</v>
      </c>
      <c r="H1517" s="6" t="e">
        <f>VLOOKUP('Customer Info'!A1509,'Customer Info'!A1509:I2009,3,FALSE)</f>
        <v>#N/A</v>
      </c>
      <c r="I1517" s="6" t="e">
        <f>VLOOKUP('Customer Info'!A1509,'Customer Info'!A1509:I2008,5,FALSE)</f>
        <v>#N/A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176</v>
      </c>
      <c r="R1517" s="2" t="s">
        <v>50</v>
      </c>
      <c r="S1517" s="9">
        <f t="shared" si="119"/>
        <v>0.02</v>
      </c>
    </row>
    <row r="1518" spans="1:19" x14ac:dyDescent="0.25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e">
        <f>VLOOKUP('Customer Info'!A1510,'Customer Info'!A1510:I2009,2,FALSE)</f>
        <v>#N/A</v>
      </c>
      <c r="H1518" s="6" t="e">
        <f>VLOOKUP('Customer Info'!A1510,'Customer Info'!A1510:I2010,3,FALSE)</f>
        <v>#N/A</v>
      </c>
      <c r="I1518" s="6" t="e">
        <f>VLOOKUP('Customer Info'!A1510,'Customer Info'!A1510:I2009,5,FALSE)</f>
        <v>#N/A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131</v>
      </c>
      <c r="R1518" s="2" t="s">
        <v>28</v>
      </c>
      <c r="S1518" s="9">
        <f t="shared" si="119"/>
        <v>0.02</v>
      </c>
    </row>
    <row r="1519" spans="1:19" x14ac:dyDescent="0.25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e">
        <f>VLOOKUP('Customer Info'!A1511,'Customer Info'!A1511:I2010,2,FALSE)</f>
        <v>#N/A</v>
      </c>
      <c r="H1519" s="6" t="e">
        <f>VLOOKUP('Customer Info'!A1511,'Customer Info'!A1511:I2011,3,FALSE)</f>
        <v>#N/A</v>
      </c>
      <c r="I1519" s="6" t="e">
        <f>VLOOKUP('Customer Info'!A1511,'Customer Info'!A1511:I2010,5,FALSE)</f>
        <v>#N/A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569</v>
      </c>
      <c r="R1519" s="2" t="s">
        <v>28</v>
      </c>
      <c r="S1519" s="9">
        <f t="shared" si="119"/>
        <v>0.02</v>
      </c>
    </row>
    <row r="1520" spans="1:19" x14ac:dyDescent="0.25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e">
        <f>VLOOKUP('Customer Info'!A1512,'Customer Info'!A1512:I2011,2,FALSE)</f>
        <v>#N/A</v>
      </c>
      <c r="H1520" s="6" t="e">
        <f>VLOOKUP('Customer Info'!A1512,'Customer Info'!A1512:I2012,3,FALSE)</f>
        <v>#N/A</v>
      </c>
      <c r="I1520" s="6" t="e">
        <f>VLOOKUP('Customer Info'!A1512,'Customer Info'!A1512:I2011,5,FALSE)</f>
        <v>#N/A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24</v>
      </c>
      <c r="R1520" s="2" t="s">
        <v>28</v>
      </c>
      <c r="S1520" s="9">
        <f t="shared" si="119"/>
        <v>0.02</v>
      </c>
    </row>
    <row r="1521" spans="1:19" x14ac:dyDescent="0.25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e">
        <f>VLOOKUP('Customer Info'!A1513,'Customer Info'!A1513:I2012,2,FALSE)</f>
        <v>#N/A</v>
      </c>
      <c r="H1521" s="6" t="e">
        <f>VLOOKUP('Customer Info'!A1513,'Customer Info'!A1513:I2013,3,FALSE)</f>
        <v>#N/A</v>
      </c>
      <c r="I1521" s="6" t="e">
        <f>VLOOKUP('Customer Info'!A1513,'Customer Info'!A1513:I2012,5,FALSE)</f>
        <v>#N/A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1287</v>
      </c>
      <c r="R1521" s="2" t="s">
        <v>50</v>
      </c>
      <c r="S1521" s="9">
        <f t="shared" si="119"/>
        <v>7.0000000000000007E-2</v>
      </c>
    </row>
    <row r="1522" spans="1:19" x14ac:dyDescent="0.25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e">
        <f>VLOOKUP('Customer Info'!A1514,'Customer Info'!A1514:I2013,2,FALSE)</f>
        <v>#N/A</v>
      </c>
      <c r="H1522" s="6" t="e">
        <f>VLOOKUP('Customer Info'!A1514,'Customer Info'!A1514:I2014,3,FALSE)</f>
        <v>#N/A</v>
      </c>
      <c r="I1522" s="6" t="e">
        <f>VLOOKUP('Customer Info'!A1514,'Customer Info'!A1514:I2013,5,FALSE)</f>
        <v>#N/A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1105</v>
      </c>
      <c r="R1522" s="2" t="s">
        <v>50</v>
      </c>
      <c r="S1522" s="9">
        <f t="shared" si="119"/>
        <v>0.05</v>
      </c>
    </row>
    <row r="1523" spans="1:19" x14ac:dyDescent="0.25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e">
        <f>VLOOKUP('Customer Info'!A1515,'Customer Info'!A1515:I2014,2,FALSE)</f>
        <v>#N/A</v>
      </c>
      <c r="H1523" s="6" t="e">
        <f>VLOOKUP('Customer Info'!A1515,'Customer Info'!A1515:I2015,3,FALSE)</f>
        <v>#N/A</v>
      </c>
      <c r="I1523" s="6" t="e">
        <f>VLOOKUP('Customer Info'!A1515,'Customer Info'!A1515:I2014,5,FALSE)</f>
        <v>#N/A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378</v>
      </c>
      <c r="R1523" s="2" t="s">
        <v>26</v>
      </c>
      <c r="S1523" s="9">
        <f t="shared" si="119"/>
        <v>0.02</v>
      </c>
    </row>
    <row r="1524" spans="1:19" x14ac:dyDescent="0.25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e">
        <f>VLOOKUP('Customer Info'!A1516,'Customer Info'!A1516:I2015,2,FALSE)</f>
        <v>#N/A</v>
      </c>
      <c r="H1524" s="6" t="e">
        <f>VLOOKUP('Customer Info'!A1516,'Customer Info'!A1516:I2016,3,FALSE)</f>
        <v>#N/A</v>
      </c>
      <c r="I1524" s="6" t="e">
        <f>VLOOKUP('Customer Info'!A1516,'Customer Info'!A1516:I2015,5,FALSE)</f>
        <v>#N/A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3103</v>
      </c>
      <c r="R1524" s="2" t="s">
        <v>28</v>
      </c>
      <c r="S1524" s="9">
        <f t="shared" si="119"/>
        <v>7.0000000000000007E-2</v>
      </c>
    </row>
    <row r="1525" spans="1:19" x14ac:dyDescent="0.25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e">
        <f>VLOOKUP('Customer Info'!A1517,'Customer Info'!A1517:I2016,2,FALSE)</f>
        <v>#N/A</v>
      </c>
      <c r="H1525" s="6" t="e">
        <f>VLOOKUP('Customer Info'!A1517,'Customer Info'!A1517:I2017,3,FALSE)</f>
        <v>#N/A</v>
      </c>
      <c r="I1525" s="6" t="e">
        <f>VLOOKUP('Customer Info'!A1517,'Customer Info'!A1517:I2016,5,FALSE)</f>
        <v>#N/A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329</v>
      </c>
      <c r="R1525" s="2" t="s">
        <v>50</v>
      </c>
      <c r="S1525" s="9">
        <f t="shared" si="119"/>
        <v>0.02</v>
      </c>
    </row>
    <row r="1526" spans="1:19" x14ac:dyDescent="0.25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e">
        <f>VLOOKUP('Customer Info'!A1518,'Customer Info'!A1518:I2017,2,FALSE)</f>
        <v>#N/A</v>
      </c>
      <c r="H1526" s="6" t="e">
        <f>VLOOKUP('Customer Info'!A1518,'Customer Info'!A1518:I2018,3,FALSE)</f>
        <v>#N/A</v>
      </c>
      <c r="I1526" s="6" t="e">
        <f>VLOOKUP('Customer Info'!A1518,'Customer Info'!A1518:I2017,5,FALSE)</f>
        <v>#N/A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1410</v>
      </c>
      <c r="R1526" s="2" t="s">
        <v>28</v>
      </c>
      <c r="S1526" s="9">
        <f t="shared" si="119"/>
        <v>0.05</v>
      </c>
    </row>
    <row r="1527" spans="1:19" x14ac:dyDescent="0.25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e">
        <f>VLOOKUP('Customer Info'!A1519,'Customer Info'!A1519:I2018,2,FALSE)</f>
        <v>#N/A</v>
      </c>
      <c r="H1527" s="6" t="e">
        <f>VLOOKUP('Customer Info'!A1519,'Customer Info'!A1519:I2019,3,FALSE)</f>
        <v>#N/A</v>
      </c>
      <c r="I1527" s="6" t="e">
        <f>VLOOKUP('Customer Info'!A1519,'Customer Info'!A1519:I2018,5,FALSE)</f>
        <v>#N/A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1476</v>
      </c>
      <c r="R1527" s="2" t="s">
        <v>28</v>
      </c>
      <c r="S1527" s="9">
        <f t="shared" si="119"/>
        <v>7.0000000000000007E-2</v>
      </c>
    </row>
    <row r="1528" spans="1:19" x14ac:dyDescent="0.25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e">
        <f>VLOOKUP('Customer Info'!A1520,'Customer Info'!A1520:I2019,2,FALSE)</f>
        <v>#N/A</v>
      </c>
      <c r="H1528" s="6" t="e">
        <f>VLOOKUP('Customer Info'!A1520,'Customer Info'!A1520:I2020,3,FALSE)</f>
        <v>#N/A</v>
      </c>
      <c r="I1528" s="6" t="e">
        <f>VLOOKUP('Customer Info'!A1520,'Customer Info'!A1520:I2019,5,FALSE)</f>
        <v>#N/A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1464</v>
      </c>
      <c r="R1528" s="2" t="s">
        <v>26</v>
      </c>
      <c r="S1528" s="9">
        <f t="shared" si="119"/>
        <v>0.05</v>
      </c>
    </row>
    <row r="1529" spans="1:19" x14ac:dyDescent="0.25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e">
        <f>VLOOKUP('Customer Info'!A1521,'Customer Info'!A1521:I2020,2,FALSE)</f>
        <v>#N/A</v>
      </c>
      <c r="H1529" s="6" t="e">
        <f>VLOOKUP('Customer Info'!A1521,'Customer Info'!A1521:I2021,3,FALSE)</f>
        <v>#N/A</v>
      </c>
      <c r="I1529" s="6" t="e">
        <f>VLOOKUP('Customer Info'!A1521,'Customer Info'!A1521:I2020,5,FALSE)</f>
        <v>#N/A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66</v>
      </c>
      <c r="R1529" s="2" t="s">
        <v>28</v>
      </c>
      <c r="S1529" s="9">
        <f t="shared" si="119"/>
        <v>0.02</v>
      </c>
    </row>
    <row r="1530" spans="1:19" x14ac:dyDescent="0.25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e">
        <f>VLOOKUP('Customer Info'!A1522,'Customer Info'!A1522:I2021,2,FALSE)</f>
        <v>#N/A</v>
      </c>
      <c r="H1530" s="6" t="e">
        <f>VLOOKUP('Customer Info'!A1522,'Customer Info'!A1522:I2022,3,FALSE)</f>
        <v>#N/A</v>
      </c>
      <c r="I1530" s="6" t="e">
        <f>VLOOKUP('Customer Info'!A1522,'Customer Info'!A1522:I2021,5,FALSE)</f>
        <v>#N/A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655</v>
      </c>
      <c r="R1530" s="2" t="s">
        <v>50</v>
      </c>
      <c r="S1530" s="9">
        <f t="shared" si="119"/>
        <v>0.05</v>
      </c>
    </row>
    <row r="1531" spans="1:19" x14ac:dyDescent="0.25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e">
        <f>VLOOKUP('Customer Info'!A1523,'Customer Info'!A1523:I2022,2,FALSE)</f>
        <v>#N/A</v>
      </c>
      <c r="H1531" s="6" t="e">
        <f>VLOOKUP('Customer Info'!A1523,'Customer Info'!A1523:I2023,3,FALSE)</f>
        <v>#N/A</v>
      </c>
      <c r="I1531" s="6" t="e">
        <f>VLOOKUP('Customer Info'!A1523,'Customer Info'!A1523:I2022,5,FALSE)</f>
        <v>#N/A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1841</v>
      </c>
      <c r="R1531" s="2" t="s">
        <v>50</v>
      </c>
      <c r="S1531" s="9">
        <f t="shared" si="119"/>
        <v>7.0000000000000007E-2</v>
      </c>
    </row>
    <row r="1532" spans="1:19" x14ac:dyDescent="0.25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e">
        <f>VLOOKUP('Customer Info'!A1524,'Customer Info'!A1524:I2023,2,FALSE)</f>
        <v>#N/A</v>
      </c>
      <c r="H1532" s="6" t="e">
        <f>VLOOKUP('Customer Info'!A1524,'Customer Info'!A1524:I2024,3,FALSE)</f>
        <v>#N/A</v>
      </c>
      <c r="I1532" s="6" t="e">
        <f>VLOOKUP('Customer Info'!A1524,'Customer Info'!A1524:I2023,5,FALSE)</f>
        <v>#N/A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118</v>
      </c>
      <c r="R1532" s="2" t="s">
        <v>50</v>
      </c>
      <c r="S1532" s="9">
        <f t="shared" si="119"/>
        <v>0.02</v>
      </c>
    </row>
    <row r="1533" spans="1:19" x14ac:dyDescent="0.25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e">
        <f>VLOOKUP('Customer Info'!A1525,'Customer Info'!A1525:I2024,2,FALSE)</f>
        <v>#N/A</v>
      </c>
      <c r="H1533" s="6" t="e">
        <f>VLOOKUP('Customer Info'!A1525,'Customer Info'!A1525:I2025,3,FALSE)</f>
        <v>#N/A</v>
      </c>
      <c r="I1533" s="6" t="e">
        <f>VLOOKUP('Customer Info'!A1525,'Customer Info'!A1525:I2024,5,FALSE)</f>
        <v>#N/A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50</v>
      </c>
      <c r="R1533" s="2" t="s">
        <v>28</v>
      </c>
      <c r="S1533" s="9">
        <f t="shared" si="119"/>
        <v>0.02</v>
      </c>
    </row>
    <row r="1534" spans="1:19" x14ac:dyDescent="0.25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e">
        <f>VLOOKUP('Customer Info'!A1526,'Customer Info'!A1526:I2025,2,FALSE)</f>
        <v>#N/A</v>
      </c>
      <c r="H1534" s="6" t="e">
        <f>VLOOKUP('Customer Info'!A1526,'Customer Info'!A1526:I2026,3,FALSE)</f>
        <v>#N/A</v>
      </c>
      <c r="I1534" s="6" t="e">
        <f>VLOOKUP('Customer Info'!A1526,'Customer Info'!A1526:I2025,5,FALSE)</f>
        <v>#N/A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2438</v>
      </c>
      <c r="R1534" s="2" t="s">
        <v>28</v>
      </c>
      <c r="S1534" s="9">
        <f t="shared" si="119"/>
        <v>7.0000000000000007E-2</v>
      </c>
    </row>
    <row r="1535" spans="1:19" x14ac:dyDescent="0.25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e">
        <f>VLOOKUP('Customer Info'!A1527,'Customer Info'!A1527:I2026,2,FALSE)</f>
        <v>#N/A</v>
      </c>
      <c r="H1535" s="6" t="e">
        <f>VLOOKUP('Customer Info'!A1527,'Customer Info'!A1527:I2027,3,FALSE)</f>
        <v>#N/A</v>
      </c>
      <c r="I1535" s="6" t="e">
        <f>VLOOKUP('Customer Info'!A1527,'Customer Info'!A1527:I2026,5,FALSE)</f>
        <v>#N/A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402</v>
      </c>
      <c r="R1535" s="2" t="s">
        <v>28</v>
      </c>
      <c r="S1535" s="9">
        <f t="shared" si="119"/>
        <v>0.05</v>
      </c>
    </row>
    <row r="1536" spans="1:19" x14ac:dyDescent="0.25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e">
        <f>VLOOKUP('Customer Info'!A1528,'Customer Info'!A1528:I2027,2,FALSE)</f>
        <v>#N/A</v>
      </c>
      <c r="H1536" s="6" t="e">
        <f>VLOOKUP('Customer Info'!A1528,'Customer Info'!A1528:I2028,3,FALSE)</f>
        <v>#N/A</v>
      </c>
      <c r="I1536" s="6" t="e">
        <f>VLOOKUP('Customer Info'!A1528,'Customer Info'!A1528:I2027,5,FALSE)</f>
        <v>#N/A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639</v>
      </c>
      <c r="R1536" s="2" t="s">
        <v>50</v>
      </c>
      <c r="S1536" s="9">
        <f t="shared" si="119"/>
        <v>0.05</v>
      </c>
    </row>
    <row r="1537" spans="1:19" x14ac:dyDescent="0.25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e">
        <f>VLOOKUP('Customer Info'!A1529,'Customer Info'!A1529:I2028,2,FALSE)</f>
        <v>#N/A</v>
      </c>
      <c r="H1537" s="6" t="e">
        <f>VLOOKUP('Customer Info'!A1529,'Customer Info'!A1529:I2029,3,FALSE)</f>
        <v>#N/A</v>
      </c>
      <c r="I1537" s="6" t="e">
        <f>VLOOKUP('Customer Info'!A1529,'Customer Info'!A1529:I2028,5,FALSE)</f>
        <v>#N/A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951</v>
      </c>
      <c r="R1537" s="2" t="s">
        <v>28</v>
      </c>
      <c r="S1537" s="9">
        <f t="shared" si="119"/>
        <v>0.05</v>
      </c>
    </row>
    <row r="1538" spans="1:19" x14ac:dyDescent="0.25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e">
        <f>VLOOKUP('Customer Info'!A1530,'Customer Info'!A1530:I2029,2,FALSE)</f>
        <v>#N/A</v>
      </c>
      <c r="H1538" s="6" t="e">
        <f>VLOOKUP('Customer Info'!A1530,'Customer Info'!A1530:I2030,3,FALSE)</f>
        <v>#N/A</v>
      </c>
      <c r="I1538" s="6" t="e">
        <f>VLOOKUP('Customer Info'!A1530,'Customer Info'!A1530:I2029,5,FALSE)</f>
        <v>#N/A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115</v>
      </c>
      <c r="R1538" s="2" t="s">
        <v>50</v>
      </c>
      <c r="S1538" s="9">
        <f t="shared" si="119"/>
        <v>0.02</v>
      </c>
    </row>
    <row r="1539" spans="1:19" x14ac:dyDescent="0.25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e">
        <f>VLOOKUP('Customer Info'!A1531,'Customer Info'!A1531:I2030,2,FALSE)</f>
        <v>#N/A</v>
      </c>
      <c r="H1539" s="6" t="e">
        <f>VLOOKUP('Customer Info'!A1531,'Customer Info'!A1531:I2031,3,FALSE)</f>
        <v>#N/A</v>
      </c>
      <c r="I1539" s="6" t="e">
        <f>VLOOKUP('Customer Info'!A1531,'Customer Info'!A1531:I2030,5,FALSE)</f>
        <v>#N/A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2881</v>
      </c>
      <c r="R1539" s="2" t="s">
        <v>50</v>
      </c>
      <c r="S1539" s="9">
        <f t="shared" si="119"/>
        <v>0.09</v>
      </c>
    </row>
    <row r="1540" spans="1:19" x14ac:dyDescent="0.25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e">
        <f>VLOOKUP('Customer Info'!A1532,'Customer Info'!A1532:I2031,2,FALSE)</f>
        <v>#N/A</v>
      </c>
      <c r="H1540" s="6" t="e">
        <f>VLOOKUP('Customer Info'!A1532,'Customer Info'!A1532:I2032,3,FALSE)</f>
        <v>#N/A</v>
      </c>
      <c r="I1540" s="6" t="e">
        <f>VLOOKUP('Customer Info'!A1532,'Customer Info'!A1532:I2031,5,FALSE)</f>
        <v>#N/A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12924</v>
      </c>
      <c r="R1540" s="2" t="s">
        <v>28</v>
      </c>
      <c r="S1540" s="9">
        <f t="shared" si="119"/>
        <v>0.12</v>
      </c>
    </row>
    <row r="1541" spans="1:19" x14ac:dyDescent="0.25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e">
        <f>VLOOKUP('Customer Info'!A1533,'Customer Info'!A1533:I2032,2,FALSE)</f>
        <v>#N/A</v>
      </c>
      <c r="H1541" s="6" t="e">
        <f>VLOOKUP('Customer Info'!A1533,'Customer Info'!A1533:I2033,3,FALSE)</f>
        <v>#N/A</v>
      </c>
      <c r="I1541" s="6" t="e">
        <f>VLOOKUP('Customer Info'!A1533,'Customer Info'!A1533:I2032,5,FALSE)</f>
        <v>#N/A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55</v>
      </c>
      <c r="R1541" s="2" t="s">
        <v>28</v>
      </c>
      <c r="S1541" s="9">
        <f t="shared" si="119"/>
        <v>0.02</v>
      </c>
    </row>
    <row r="1542" spans="1:19" x14ac:dyDescent="0.25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e">
        <f>VLOOKUP('Customer Info'!A1534,'Customer Info'!A1534:I2033,2,FALSE)</f>
        <v>#N/A</v>
      </c>
      <c r="H1542" s="6" t="e">
        <f>VLOOKUP('Customer Info'!A1534,'Customer Info'!A1534:I2034,3,FALSE)</f>
        <v>#N/A</v>
      </c>
      <c r="I1542" s="6" t="e">
        <f>VLOOKUP('Customer Info'!A1534,'Customer Info'!A1534:I2033,5,FALSE)</f>
        <v>#N/A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338</v>
      </c>
      <c r="R1542" s="2" t="s">
        <v>56</v>
      </c>
      <c r="S1542" s="9">
        <f t="shared" si="119"/>
        <v>0.05</v>
      </c>
    </row>
    <row r="1543" spans="1:19" x14ac:dyDescent="0.25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e">
        <f>VLOOKUP('Customer Info'!A1535,'Customer Info'!A1535:I2034,2,FALSE)</f>
        <v>#N/A</v>
      </c>
      <c r="H1543" s="6" t="e">
        <f>VLOOKUP('Customer Info'!A1535,'Customer Info'!A1535:I2035,3,FALSE)</f>
        <v>#N/A</v>
      </c>
      <c r="I1543" s="6" t="e">
        <f>VLOOKUP('Customer Info'!A1535,'Customer Info'!A1535:I2034,5,FALSE)</f>
        <v>#N/A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673</v>
      </c>
      <c r="R1543" s="2" t="s">
        <v>28</v>
      </c>
      <c r="S1543" s="9">
        <f t="shared" si="119"/>
        <v>7.0000000000000007E-2</v>
      </c>
    </row>
    <row r="1544" spans="1:19" x14ac:dyDescent="0.25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e">
        <f>VLOOKUP('Customer Info'!A1536,'Customer Info'!A1536:I2035,2,FALSE)</f>
        <v>#N/A</v>
      </c>
      <c r="H1544" s="6" t="e">
        <f>VLOOKUP('Customer Info'!A1536,'Customer Info'!A1536:I2036,3,FALSE)</f>
        <v>#N/A</v>
      </c>
      <c r="I1544" s="6" t="e">
        <f>VLOOKUP('Customer Info'!A1536,'Customer Info'!A1536:I2035,5,FALSE)</f>
        <v>#N/A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1342</v>
      </c>
      <c r="R1544" s="2" t="s">
        <v>50</v>
      </c>
      <c r="S1544" s="9">
        <f t="shared" si="119"/>
        <v>0.05</v>
      </c>
    </row>
    <row r="1545" spans="1:19" x14ac:dyDescent="0.25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e">
        <f>VLOOKUP('Customer Info'!A1537,'Customer Info'!A1537:I2036,2,FALSE)</f>
        <v>#N/A</v>
      </c>
      <c r="H1545" s="6" t="e">
        <f>VLOOKUP('Customer Info'!A1537,'Customer Info'!A1537:I2037,3,FALSE)</f>
        <v>#N/A</v>
      </c>
      <c r="I1545" s="6" t="e">
        <f>VLOOKUP('Customer Info'!A1537,'Customer Info'!A1537:I2036,5,FALSE)</f>
        <v>#N/A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52</v>
      </c>
      <c r="R1545" s="2" t="s">
        <v>28</v>
      </c>
      <c r="S1545" s="9">
        <f t="shared" si="119"/>
        <v>0.02</v>
      </c>
    </row>
    <row r="1546" spans="1:19" x14ac:dyDescent="0.25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e">
        <f>VLOOKUP('Customer Info'!A1538,'Customer Info'!A1538:I2037,2,FALSE)</f>
        <v>#N/A</v>
      </c>
      <c r="H1546" s="6" t="e">
        <f>VLOOKUP('Customer Info'!A1538,'Customer Info'!A1538:I2038,3,FALSE)</f>
        <v>#N/A</v>
      </c>
      <c r="I1546" s="6" t="e">
        <f>VLOOKUP('Customer Info'!A1538,'Customer Info'!A1538:I2037,5,FALSE)</f>
        <v>#N/A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345</v>
      </c>
      <c r="R1546" s="2" t="s">
        <v>50</v>
      </c>
      <c r="S1546" s="9">
        <f t="shared" si="119"/>
        <v>0.02</v>
      </c>
    </row>
    <row r="1547" spans="1:19" x14ac:dyDescent="0.25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e">
        <f>VLOOKUP('Customer Info'!A1539,'Customer Info'!A1539:I2038,2,FALSE)</f>
        <v>#N/A</v>
      </c>
      <c r="H1547" s="6" t="e">
        <f>VLOOKUP('Customer Info'!A1539,'Customer Info'!A1539:I2039,3,FALSE)</f>
        <v>#N/A</v>
      </c>
      <c r="I1547" s="6" t="e">
        <f>VLOOKUP('Customer Info'!A1539,'Customer Info'!A1539:I2038,5,FALSE)</f>
        <v>#N/A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8">
        <f t="shared" ref="P1547:P1610" si="122">N1547+O1547</f>
        <v>5719</v>
      </c>
      <c r="Q1547" s="8">
        <f t="shared" ref="Q1547:Q1610" si="123">P1547-M1547</f>
        <v>527</v>
      </c>
      <c r="R1547" s="2" t="s">
        <v>28</v>
      </c>
      <c r="S1547" s="9">
        <f t="shared" ref="S1547:S1610" si="124">VLOOKUP(P1547,$T$2:$U$7,2,TRUE)</f>
        <v>0.05</v>
      </c>
    </row>
    <row r="1548" spans="1:19" x14ac:dyDescent="0.25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e">
        <f>VLOOKUP('Customer Info'!A1540,'Customer Info'!A1540:I2039,2,FALSE)</f>
        <v>#N/A</v>
      </c>
      <c r="H1548" s="6" t="e">
        <f>VLOOKUP('Customer Info'!A1540,'Customer Info'!A1540:I2040,3,FALSE)</f>
        <v>#N/A</v>
      </c>
      <c r="I1548" s="6" t="e">
        <f>VLOOKUP('Customer Info'!A1540,'Customer Info'!A1540:I2039,5,FALSE)</f>
        <v>#N/A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160</v>
      </c>
      <c r="R1548" s="2" t="s">
        <v>28</v>
      </c>
      <c r="S1548" s="9">
        <f t="shared" si="124"/>
        <v>0.02</v>
      </c>
    </row>
    <row r="1549" spans="1:19" x14ac:dyDescent="0.25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e">
        <f>VLOOKUP('Customer Info'!A1541,'Customer Info'!A1541:I2040,2,FALSE)</f>
        <v>#N/A</v>
      </c>
      <c r="H1549" s="6" t="e">
        <f>VLOOKUP('Customer Info'!A1541,'Customer Info'!A1541:I2041,3,FALSE)</f>
        <v>#N/A</v>
      </c>
      <c r="I1549" s="6" t="e">
        <f>VLOOKUP('Customer Info'!A1541,'Customer Info'!A1541:I2040,5,FALSE)</f>
        <v>#N/A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26</v>
      </c>
      <c r="R1549" s="2" t="s">
        <v>28</v>
      </c>
      <c r="S1549" s="9">
        <f t="shared" si="124"/>
        <v>0.02</v>
      </c>
    </row>
    <row r="1550" spans="1:19" x14ac:dyDescent="0.25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e">
        <f>VLOOKUP('Customer Info'!A1542,'Customer Info'!A1542:I2041,2,FALSE)</f>
        <v>#N/A</v>
      </c>
      <c r="H1550" s="6" t="e">
        <f>VLOOKUP('Customer Info'!A1542,'Customer Info'!A1542:I2042,3,FALSE)</f>
        <v>#N/A</v>
      </c>
      <c r="I1550" s="6" t="e">
        <f>VLOOKUP('Customer Info'!A1542,'Customer Info'!A1542:I2041,5,FALSE)</f>
        <v>#N/A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115</v>
      </c>
      <c r="R1550" s="2" t="s">
        <v>28</v>
      </c>
      <c r="S1550" s="9">
        <f t="shared" si="124"/>
        <v>0.02</v>
      </c>
    </row>
    <row r="1551" spans="1:19" x14ac:dyDescent="0.25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e">
        <f>VLOOKUP('Customer Info'!A1543,'Customer Info'!A1543:I2042,2,FALSE)</f>
        <v>#N/A</v>
      </c>
      <c r="H1551" s="6" t="e">
        <f>VLOOKUP('Customer Info'!A1543,'Customer Info'!A1543:I2043,3,FALSE)</f>
        <v>#N/A</v>
      </c>
      <c r="I1551" s="6" t="e">
        <f>VLOOKUP('Customer Info'!A1543,'Customer Info'!A1543:I2042,5,FALSE)</f>
        <v>#N/A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2028</v>
      </c>
      <c r="R1551" s="2" t="s">
        <v>28</v>
      </c>
      <c r="S1551" s="9">
        <f t="shared" si="124"/>
        <v>7.0000000000000007E-2</v>
      </c>
    </row>
    <row r="1552" spans="1:19" x14ac:dyDescent="0.25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e">
        <f>VLOOKUP('Customer Info'!A1544,'Customer Info'!A1544:I2043,2,FALSE)</f>
        <v>#N/A</v>
      </c>
      <c r="H1552" s="6" t="e">
        <f>VLOOKUP('Customer Info'!A1544,'Customer Info'!A1544:I2044,3,FALSE)</f>
        <v>#N/A</v>
      </c>
      <c r="I1552" s="6" t="e">
        <f>VLOOKUP('Customer Info'!A1544,'Customer Info'!A1544:I2043,5,FALSE)</f>
        <v>#N/A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411</v>
      </c>
      <c r="R1552" s="2" t="s">
        <v>50</v>
      </c>
      <c r="S1552" s="9">
        <f t="shared" si="124"/>
        <v>0.02</v>
      </c>
    </row>
    <row r="1553" spans="1:19" x14ac:dyDescent="0.25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e">
        <f>VLOOKUP('Customer Info'!A1545,'Customer Info'!A1545:I2044,2,FALSE)</f>
        <v>#N/A</v>
      </c>
      <c r="H1553" s="6" t="e">
        <f>VLOOKUP('Customer Info'!A1545,'Customer Info'!A1545:I2045,3,FALSE)</f>
        <v>#N/A</v>
      </c>
      <c r="I1553" s="6" t="e">
        <f>VLOOKUP('Customer Info'!A1545,'Customer Info'!A1545:I2044,5,FALSE)</f>
        <v>#N/A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141</v>
      </c>
      <c r="R1553" s="2" t="s">
        <v>50</v>
      </c>
      <c r="S1553" s="9">
        <f t="shared" si="124"/>
        <v>0.02</v>
      </c>
    </row>
    <row r="1554" spans="1:19" x14ac:dyDescent="0.25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e">
        <f>VLOOKUP('Customer Info'!A1546,'Customer Info'!A1546:I2045,2,FALSE)</f>
        <v>#N/A</v>
      </c>
      <c r="H1554" s="6" t="e">
        <f>VLOOKUP('Customer Info'!A1546,'Customer Info'!A1546:I2046,3,FALSE)</f>
        <v>#N/A</v>
      </c>
      <c r="I1554" s="6" t="e">
        <f>VLOOKUP('Customer Info'!A1546,'Customer Info'!A1546:I2045,5,FALSE)</f>
        <v>#N/A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18</v>
      </c>
      <c r="R1554" s="2" t="s">
        <v>50</v>
      </c>
      <c r="S1554" s="9">
        <f t="shared" si="124"/>
        <v>0.02</v>
      </c>
    </row>
    <row r="1555" spans="1:19" x14ac:dyDescent="0.25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e">
        <f>VLOOKUP('Customer Info'!A1547,'Customer Info'!A1547:I2046,2,FALSE)</f>
        <v>#N/A</v>
      </c>
      <c r="H1555" s="6" t="e">
        <f>VLOOKUP('Customer Info'!A1547,'Customer Info'!A1547:I2047,3,FALSE)</f>
        <v>#N/A</v>
      </c>
      <c r="I1555" s="6" t="e">
        <f>VLOOKUP('Customer Info'!A1547,'Customer Info'!A1547:I2046,5,FALSE)</f>
        <v>#N/A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406</v>
      </c>
      <c r="R1555" s="2" t="s">
        <v>28</v>
      </c>
      <c r="S1555" s="9">
        <f t="shared" si="124"/>
        <v>0.02</v>
      </c>
    </row>
    <row r="1556" spans="1:19" x14ac:dyDescent="0.25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e">
        <f>VLOOKUP('Customer Info'!A1548,'Customer Info'!A1548:I2047,2,FALSE)</f>
        <v>#N/A</v>
      </c>
      <c r="H1556" s="6" t="e">
        <f>VLOOKUP('Customer Info'!A1548,'Customer Info'!A1548:I2048,3,FALSE)</f>
        <v>#N/A</v>
      </c>
      <c r="I1556" s="6" t="e">
        <f>VLOOKUP('Customer Info'!A1548,'Customer Info'!A1548:I2047,5,FALSE)</f>
        <v>#N/A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108</v>
      </c>
      <c r="R1556" s="2" t="s">
        <v>28</v>
      </c>
      <c r="S1556" s="9">
        <f t="shared" si="124"/>
        <v>0.02</v>
      </c>
    </row>
    <row r="1557" spans="1:19" x14ac:dyDescent="0.25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e">
        <f>VLOOKUP('Customer Info'!A1549,'Customer Info'!A1549:I2048,2,FALSE)</f>
        <v>#N/A</v>
      </c>
      <c r="H1557" s="6" t="e">
        <f>VLOOKUP('Customer Info'!A1549,'Customer Info'!A1549:I2049,3,FALSE)</f>
        <v>#N/A</v>
      </c>
      <c r="I1557" s="6" t="e">
        <f>VLOOKUP('Customer Info'!A1549,'Customer Info'!A1549:I2048,5,FALSE)</f>
        <v>#N/A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571</v>
      </c>
      <c r="R1557" s="2" t="s">
        <v>28</v>
      </c>
      <c r="S1557" s="9">
        <f t="shared" si="124"/>
        <v>0.05</v>
      </c>
    </row>
    <row r="1558" spans="1:19" x14ac:dyDescent="0.25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e">
        <f>VLOOKUP('Customer Info'!A1550,'Customer Info'!A1550:I2049,2,FALSE)</f>
        <v>#N/A</v>
      </c>
      <c r="H1558" s="6" t="e">
        <f>VLOOKUP('Customer Info'!A1550,'Customer Info'!A1550:I2050,3,FALSE)</f>
        <v>#N/A</v>
      </c>
      <c r="I1558" s="6" t="e">
        <f>VLOOKUP('Customer Info'!A1550,'Customer Info'!A1550:I2049,5,FALSE)</f>
        <v>#N/A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72</v>
      </c>
      <c r="R1558" s="2" t="s">
        <v>50</v>
      </c>
      <c r="S1558" s="9">
        <f t="shared" si="124"/>
        <v>0.02</v>
      </c>
    </row>
    <row r="1559" spans="1:19" x14ac:dyDescent="0.25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e">
        <f>VLOOKUP('Customer Info'!A1551,'Customer Info'!A1551:I2050,2,FALSE)</f>
        <v>#N/A</v>
      </c>
      <c r="H1559" s="6" t="e">
        <f>VLOOKUP('Customer Info'!A1551,'Customer Info'!A1551:I2051,3,FALSE)</f>
        <v>#N/A</v>
      </c>
      <c r="I1559" s="6" t="e">
        <f>VLOOKUP('Customer Info'!A1551,'Customer Info'!A1551:I2050,5,FALSE)</f>
        <v>#N/A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43</v>
      </c>
      <c r="R1559" s="2" t="s">
        <v>28</v>
      </c>
      <c r="S1559" s="9">
        <f t="shared" si="124"/>
        <v>0.02</v>
      </c>
    </row>
    <row r="1560" spans="1:19" x14ac:dyDescent="0.25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e">
        <f>VLOOKUP('Customer Info'!A1552,'Customer Info'!A1552:I2051,2,FALSE)</f>
        <v>#N/A</v>
      </c>
      <c r="H1560" s="6" t="e">
        <f>VLOOKUP('Customer Info'!A1552,'Customer Info'!A1552:I2052,3,FALSE)</f>
        <v>#N/A</v>
      </c>
      <c r="I1560" s="6" t="e">
        <f>VLOOKUP('Customer Info'!A1552,'Customer Info'!A1552:I2051,5,FALSE)</f>
        <v>#N/A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386</v>
      </c>
      <c r="R1560" s="2" t="s">
        <v>50</v>
      </c>
      <c r="S1560" s="9">
        <f t="shared" si="124"/>
        <v>0.05</v>
      </c>
    </row>
    <row r="1561" spans="1:19" x14ac:dyDescent="0.25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e">
        <f>VLOOKUP('Customer Info'!A1553,'Customer Info'!A1553:I2052,2,FALSE)</f>
        <v>#N/A</v>
      </c>
      <c r="H1561" s="6" t="e">
        <f>VLOOKUP('Customer Info'!A1553,'Customer Info'!A1553:I2053,3,FALSE)</f>
        <v>#N/A</v>
      </c>
      <c r="I1561" s="6" t="e">
        <f>VLOOKUP('Customer Info'!A1553,'Customer Info'!A1553:I2052,5,FALSE)</f>
        <v>#N/A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24</v>
      </c>
      <c r="R1561" s="2" t="s">
        <v>50</v>
      </c>
      <c r="S1561" s="9">
        <f t="shared" si="124"/>
        <v>0.02</v>
      </c>
    </row>
    <row r="1562" spans="1:19" x14ac:dyDescent="0.25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e">
        <f>VLOOKUP('Customer Info'!A1554,'Customer Info'!A1554:I2053,2,FALSE)</f>
        <v>#N/A</v>
      </c>
      <c r="H1562" s="6" t="e">
        <f>VLOOKUP('Customer Info'!A1554,'Customer Info'!A1554:I2054,3,FALSE)</f>
        <v>#N/A</v>
      </c>
      <c r="I1562" s="6" t="e">
        <f>VLOOKUP('Customer Info'!A1554,'Customer Info'!A1554:I2053,5,FALSE)</f>
        <v>#N/A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914</v>
      </c>
      <c r="R1562" s="2" t="s">
        <v>26</v>
      </c>
      <c r="S1562" s="9">
        <f t="shared" si="124"/>
        <v>0.05</v>
      </c>
    </row>
    <row r="1563" spans="1:19" x14ac:dyDescent="0.25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e">
        <f>VLOOKUP('Customer Info'!A1555,'Customer Info'!A1555:I2054,2,FALSE)</f>
        <v>#N/A</v>
      </c>
      <c r="H1563" s="6" t="e">
        <f>VLOOKUP('Customer Info'!A1555,'Customer Info'!A1555:I2055,3,FALSE)</f>
        <v>#N/A</v>
      </c>
      <c r="I1563" s="6" t="e">
        <f>VLOOKUP('Customer Info'!A1555,'Customer Info'!A1555:I2054,5,FALSE)</f>
        <v>#N/A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693</v>
      </c>
      <c r="R1563" s="2" t="s">
        <v>50</v>
      </c>
      <c r="S1563" s="9">
        <f t="shared" si="124"/>
        <v>0.05</v>
      </c>
    </row>
    <row r="1564" spans="1:19" x14ac:dyDescent="0.25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e">
        <f>VLOOKUP('Customer Info'!A1556,'Customer Info'!A1556:I2055,2,FALSE)</f>
        <v>#N/A</v>
      </c>
      <c r="H1564" s="6" t="e">
        <f>VLOOKUP('Customer Info'!A1556,'Customer Info'!A1556:I2056,3,FALSE)</f>
        <v>#N/A</v>
      </c>
      <c r="I1564" s="6" t="e">
        <f>VLOOKUP('Customer Info'!A1556,'Customer Info'!A1556:I2055,5,FALSE)</f>
        <v>#N/A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622</v>
      </c>
      <c r="R1564" s="2" t="s">
        <v>50</v>
      </c>
      <c r="S1564" s="9">
        <f t="shared" si="124"/>
        <v>0.05</v>
      </c>
    </row>
    <row r="1565" spans="1:19" x14ac:dyDescent="0.25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e">
        <f>VLOOKUP('Customer Info'!A1557,'Customer Info'!A1557:I2056,2,FALSE)</f>
        <v>#N/A</v>
      </c>
      <c r="H1565" s="6" t="e">
        <f>VLOOKUP('Customer Info'!A1557,'Customer Info'!A1557:I2057,3,FALSE)</f>
        <v>#N/A</v>
      </c>
      <c r="I1565" s="6" t="e">
        <f>VLOOKUP('Customer Info'!A1557,'Customer Info'!A1557:I2056,5,FALSE)</f>
        <v>#N/A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1230</v>
      </c>
      <c r="R1565" s="2" t="s">
        <v>50</v>
      </c>
      <c r="S1565" s="9">
        <f t="shared" si="124"/>
        <v>0.05</v>
      </c>
    </row>
    <row r="1566" spans="1:19" x14ac:dyDescent="0.25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e">
        <f>VLOOKUP('Customer Info'!A1558,'Customer Info'!A1558:I2057,2,FALSE)</f>
        <v>#N/A</v>
      </c>
      <c r="H1566" s="6" t="e">
        <f>VLOOKUP('Customer Info'!A1558,'Customer Info'!A1558:I2058,3,FALSE)</f>
        <v>#N/A</v>
      </c>
      <c r="I1566" s="6" t="e">
        <f>VLOOKUP('Customer Info'!A1558,'Customer Info'!A1558:I2057,5,FALSE)</f>
        <v>#N/A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984</v>
      </c>
      <c r="R1566" s="2" t="s">
        <v>50</v>
      </c>
      <c r="S1566" s="9">
        <f t="shared" si="124"/>
        <v>0.05</v>
      </c>
    </row>
    <row r="1567" spans="1:19" x14ac:dyDescent="0.25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e">
        <f>VLOOKUP('Customer Info'!A1559,'Customer Info'!A1559:I2058,2,FALSE)</f>
        <v>#N/A</v>
      </c>
      <c r="H1567" s="6" t="e">
        <f>VLOOKUP('Customer Info'!A1559,'Customer Info'!A1559:I2059,3,FALSE)</f>
        <v>#N/A</v>
      </c>
      <c r="I1567" s="6" t="e">
        <f>VLOOKUP('Customer Info'!A1559,'Customer Info'!A1559:I2058,5,FALSE)</f>
        <v>#N/A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300</v>
      </c>
      <c r="R1567" s="2" t="s">
        <v>50</v>
      </c>
      <c r="S1567" s="9">
        <f t="shared" si="124"/>
        <v>0.02</v>
      </c>
    </row>
    <row r="1568" spans="1:19" x14ac:dyDescent="0.25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e">
        <f>VLOOKUP('Customer Info'!A1560,'Customer Info'!A1560:I2059,2,FALSE)</f>
        <v>#N/A</v>
      </c>
      <c r="H1568" s="6" t="e">
        <f>VLOOKUP('Customer Info'!A1560,'Customer Info'!A1560:I2060,3,FALSE)</f>
        <v>#N/A</v>
      </c>
      <c r="I1568" s="6" t="e">
        <f>VLOOKUP('Customer Info'!A1560,'Customer Info'!A1560:I2059,5,FALSE)</f>
        <v>#N/A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360</v>
      </c>
      <c r="R1568" s="2" t="s">
        <v>50</v>
      </c>
      <c r="S1568" s="9">
        <f t="shared" si="124"/>
        <v>0.05</v>
      </c>
    </row>
    <row r="1569" spans="1:19" x14ac:dyDescent="0.25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e">
        <f>VLOOKUP('Customer Info'!A1561,'Customer Info'!A1561:I2060,2,FALSE)</f>
        <v>#N/A</v>
      </c>
      <c r="H1569" s="6" t="e">
        <f>VLOOKUP('Customer Info'!A1561,'Customer Info'!A1561:I2061,3,FALSE)</f>
        <v>#N/A</v>
      </c>
      <c r="I1569" s="6" t="e">
        <f>VLOOKUP('Customer Info'!A1561,'Customer Info'!A1561:I2060,5,FALSE)</f>
        <v>#N/A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130</v>
      </c>
      <c r="R1569" s="2" t="s">
        <v>26</v>
      </c>
      <c r="S1569" s="9">
        <f t="shared" si="124"/>
        <v>0.02</v>
      </c>
    </row>
    <row r="1570" spans="1:19" x14ac:dyDescent="0.25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e">
        <f>VLOOKUP('Customer Info'!A1562,'Customer Info'!A1562:I2061,2,FALSE)</f>
        <v>#N/A</v>
      </c>
      <c r="H1570" s="6" t="e">
        <f>VLOOKUP('Customer Info'!A1562,'Customer Info'!A1562:I2062,3,FALSE)</f>
        <v>#N/A</v>
      </c>
      <c r="I1570" s="6" t="e">
        <f>VLOOKUP('Customer Info'!A1562,'Customer Info'!A1562:I2061,5,FALSE)</f>
        <v>#N/A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397</v>
      </c>
      <c r="R1570" s="2" t="s">
        <v>50</v>
      </c>
      <c r="S1570" s="9">
        <f t="shared" si="124"/>
        <v>0.02</v>
      </c>
    </row>
    <row r="1571" spans="1:19" x14ac:dyDescent="0.25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e">
        <f>VLOOKUP('Customer Info'!A1563,'Customer Info'!A1563:I2062,2,FALSE)</f>
        <v>#N/A</v>
      </c>
      <c r="H1571" s="6" t="e">
        <f>VLOOKUP('Customer Info'!A1563,'Customer Info'!A1563:I2063,3,FALSE)</f>
        <v>#N/A</v>
      </c>
      <c r="I1571" s="6" t="e">
        <f>VLOOKUP('Customer Info'!A1563,'Customer Info'!A1563:I2062,5,FALSE)</f>
        <v>#N/A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2411</v>
      </c>
      <c r="R1571" s="2" t="s">
        <v>28</v>
      </c>
      <c r="S1571" s="9">
        <f t="shared" si="124"/>
        <v>7.0000000000000007E-2</v>
      </c>
    </row>
    <row r="1572" spans="1:19" x14ac:dyDescent="0.25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e">
        <f>VLOOKUP('Customer Info'!A1564,'Customer Info'!A1564:I2063,2,FALSE)</f>
        <v>#N/A</v>
      </c>
      <c r="H1572" s="6" t="e">
        <f>VLOOKUP('Customer Info'!A1564,'Customer Info'!A1564:I2064,3,FALSE)</f>
        <v>#N/A</v>
      </c>
      <c r="I1572" s="6" t="e">
        <f>VLOOKUP('Customer Info'!A1564,'Customer Info'!A1564:I2063,5,FALSE)</f>
        <v>#N/A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46</v>
      </c>
      <c r="R1572" s="2" t="s">
        <v>28</v>
      </c>
      <c r="S1572" s="9">
        <f t="shared" si="124"/>
        <v>0.02</v>
      </c>
    </row>
    <row r="1573" spans="1:19" x14ac:dyDescent="0.25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e">
        <f>VLOOKUP('Customer Info'!A1565,'Customer Info'!A1565:I2064,2,FALSE)</f>
        <v>#N/A</v>
      </c>
      <c r="H1573" s="6" t="e">
        <f>VLOOKUP('Customer Info'!A1565,'Customer Info'!A1565:I2065,3,FALSE)</f>
        <v>#N/A</v>
      </c>
      <c r="I1573" s="6" t="e">
        <f>VLOOKUP('Customer Info'!A1565,'Customer Info'!A1565:I2064,5,FALSE)</f>
        <v>#N/A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218</v>
      </c>
      <c r="R1573" s="2" t="s">
        <v>50</v>
      </c>
      <c r="S1573" s="9">
        <f t="shared" si="124"/>
        <v>0.02</v>
      </c>
    </row>
    <row r="1574" spans="1:19" x14ac:dyDescent="0.25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e">
        <f>VLOOKUP('Customer Info'!A1566,'Customer Info'!A1566:I2065,2,FALSE)</f>
        <v>#N/A</v>
      </c>
      <c r="H1574" s="6" t="e">
        <f>VLOOKUP('Customer Info'!A1566,'Customer Info'!A1566:I2066,3,FALSE)</f>
        <v>#N/A</v>
      </c>
      <c r="I1574" s="6" t="e">
        <f>VLOOKUP('Customer Info'!A1566,'Customer Info'!A1566:I2065,5,FALSE)</f>
        <v>#N/A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831</v>
      </c>
      <c r="R1574" s="2" t="s">
        <v>28</v>
      </c>
      <c r="S1574" s="9">
        <f t="shared" si="124"/>
        <v>0.05</v>
      </c>
    </row>
    <row r="1575" spans="1:19" x14ac:dyDescent="0.25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e">
        <f>VLOOKUP('Customer Info'!A1567,'Customer Info'!A1567:I2066,2,FALSE)</f>
        <v>#N/A</v>
      </c>
      <c r="H1575" s="6" t="e">
        <f>VLOOKUP('Customer Info'!A1567,'Customer Info'!A1567:I2067,3,FALSE)</f>
        <v>#N/A</v>
      </c>
      <c r="I1575" s="6" t="e">
        <f>VLOOKUP('Customer Info'!A1567,'Customer Info'!A1567:I2066,5,FALSE)</f>
        <v>#N/A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481</v>
      </c>
      <c r="R1575" s="2" t="s">
        <v>28</v>
      </c>
      <c r="S1575" s="9">
        <f t="shared" si="124"/>
        <v>0.02</v>
      </c>
    </row>
    <row r="1576" spans="1:19" x14ac:dyDescent="0.25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e">
        <f>VLOOKUP('Customer Info'!A1568,'Customer Info'!A1568:I2067,2,FALSE)</f>
        <v>#N/A</v>
      </c>
      <c r="H1576" s="6" t="e">
        <f>VLOOKUP('Customer Info'!A1568,'Customer Info'!A1568:I2068,3,FALSE)</f>
        <v>#N/A</v>
      </c>
      <c r="I1576" s="6" t="e">
        <f>VLOOKUP('Customer Info'!A1568,'Customer Info'!A1568:I2067,5,FALSE)</f>
        <v>#N/A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899</v>
      </c>
      <c r="R1576" s="2" t="s">
        <v>28</v>
      </c>
      <c r="S1576" s="9">
        <f t="shared" si="124"/>
        <v>0.05</v>
      </c>
    </row>
    <row r="1577" spans="1:19" x14ac:dyDescent="0.25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e">
        <f>VLOOKUP('Customer Info'!A1569,'Customer Info'!A1569:I2068,2,FALSE)</f>
        <v>#N/A</v>
      </c>
      <c r="H1577" s="6" t="e">
        <f>VLOOKUP('Customer Info'!A1569,'Customer Info'!A1569:I2069,3,FALSE)</f>
        <v>#N/A</v>
      </c>
      <c r="I1577" s="6" t="e">
        <f>VLOOKUP('Customer Info'!A1569,'Customer Info'!A1569:I2068,5,FALSE)</f>
        <v>#N/A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708</v>
      </c>
      <c r="R1577" s="2" t="s">
        <v>28</v>
      </c>
      <c r="S1577" s="9">
        <f t="shared" si="124"/>
        <v>0.05</v>
      </c>
    </row>
    <row r="1578" spans="1:19" x14ac:dyDescent="0.25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e">
        <f>VLOOKUP('Customer Info'!A1570,'Customer Info'!A1570:I2069,2,FALSE)</f>
        <v>#N/A</v>
      </c>
      <c r="H1578" s="6" t="e">
        <f>VLOOKUP('Customer Info'!A1570,'Customer Info'!A1570:I2070,3,FALSE)</f>
        <v>#N/A</v>
      </c>
      <c r="I1578" s="6" t="e">
        <f>VLOOKUP('Customer Info'!A1570,'Customer Info'!A1570:I2069,5,FALSE)</f>
        <v>#N/A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175</v>
      </c>
      <c r="R1578" s="2" t="s">
        <v>50</v>
      </c>
      <c r="S1578" s="9">
        <f t="shared" si="124"/>
        <v>0.02</v>
      </c>
    </row>
    <row r="1579" spans="1:19" x14ac:dyDescent="0.25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e">
        <f>VLOOKUP('Customer Info'!A1571,'Customer Info'!A1571:I2070,2,FALSE)</f>
        <v>#N/A</v>
      </c>
      <c r="H1579" s="6" t="e">
        <f>VLOOKUP('Customer Info'!A1571,'Customer Info'!A1571:I2071,3,FALSE)</f>
        <v>#N/A</v>
      </c>
      <c r="I1579" s="6" t="e">
        <f>VLOOKUP('Customer Info'!A1571,'Customer Info'!A1571:I2070,5,FALSE)</f>
        <v>#N/A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209</v>
      </c>
      <c r="R1579" s="2" t="s">
        <v>28</v>
      </c>
      <c r="S1579" s="9">
        <f t="shared" si="124"/>
        <v>0.02</v>
      </c>
    </row>
    <row r="1580" spans="1:19" x14ac:dyDescent="0.25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e">
        <f>VLOOKUP('Customer Info'!A1572,'Customer Info'!A1572:I2071,2,FALSE)</f>
        <v>#N/A</v>
      </c>
      <c r="H1580" s="6" t="e">
        <f>VLOOKUP('Customer Info'!A1572,'Customer Info'!A1572:I2072,3,FALSE)</f>
        <v>#N/A</v>
      </c>
      <c r="I1580" s="6" t="e">
        <f>VLOOKUP('Customer Info'!A1572,'Customer Info'!A1572:I2071,5,FALSE)</f>
        <v>#N/A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168</v>
      </c>
      <c r="R1580" s="2" t="s">
        <v>56</v>
      </c>
      <c r="S1580" s="9">
        <f t="shared" si="124"/>
        <v>0.02</v>
      </c>
    </row>
    <row r="1581" spans="1:19" x14ac:dyDescent="0.25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e">
        <f>VLOOKUP('Customer Info'!A1573,'Customer Info'!A1573:I2072,2,FALSE)</f>
        <v>#N/A</v>
      </c>
      <c r="H1581" s="6" t="e">
        <f>VLOOKUP('Customer Info'!A1573,'Customer Info'!A1573:I2073,3,FALSE)</f>
        <v>#N/A</v>
      </c>
      <c r="I1581" s="6" t="e">
        <f>VLOOKUP('Customer Info'!A1573,'Customer Info'!A1573:I2072,5,FALSE)</f>
        <v>#N/A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174</v>
      </c>
      <c r="R1581" s="2" t="s">
        <v>50</v>
      </c>
      <c r="S1581" s="9">
        <f t="shared" si="124"/>
        <v>0.02</v>
      </c>
    </row>
    <row r="1582" spans="1:19" x14ac:dyDescent="0.25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e">
        <f>VLOOKUP('Customer Info'!A1574,'Customer Info'!A1574:I2073,2,FALSE)</f>
        <v>#N/A</v>
      </c>
      <c r="H1582" s="6" t="e">
        <f>VLOOKUP('Customer Info'!A1574,'Customer Info'!A1574:I2074,3,FALSE)</f>
        <v>#N/A</v>
      </c>
      <c r="I1582" s="6" t="e">
        <f>VLOOKUP('Customer Info'!A1574,'Customer Info'!A1574:I2073,5,FALSE)</f>
        <v>#N/A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14368</v>
      </c>
      <c r="R1582" s="2" t="s">
        <v>50</v>
      </c>
      <c r="S1582" s="9">
        <f t="shared" si="124"/>
        <v>0.12</v>
      </c>
    </row>
    <row r="1583" spans="1:19" x14ac:dyDescent="0.25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e">
        <f>VLOOKUP('Customer Info'!A1575,'Customer Info'!A1575:I2074,2,FALSE)</f>
        <v>#N/A</v>
      </c>
      <c r="H1583" s="6" t="e">
        <f>VLOOKUP('Customer Info'!A1575,'Customer Info'!A1575:I2075,3,FALSE)</f>
        <v>#N/A</v>
      </c>
      <c r="I1583" s="6" t="e">
        <f>VLOOKUP('Customer Info'!A1575,'Customer Info'!A1575:I2074,5,FALSE)</f>
        <v>#N/A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238</v>
      </c>
      <c r="R1583" s="2" t="s">
        <v>26</v>
      </c>
      <c r="S1583" s="9">
        <f t="shared" si="124"/>
        <v>0.02</v>
      </c>
    </row>
    <row r="1584" spans="1:19" x14ac:dyDescent="0.25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e">
        <f>VLOOKUP('Customer Info'!A1576,'Customer Info'!A1576:I2075,2,FALSE)</f>
        <v>#N/A</v>
      </c>
      <c r="H1584" s="6" t="e">
        <f>VLOOKUP('Customer Info'!A1576,'Customer Info'!A1576:I2076,3,FALSE)</f>
        <v>#N/A</v>
      </c>
      <c r="I1584" s="6" t="e">
        <f>VLOOKUP('Customer Info'!A1576,'Customer Info'!A1576:I2075,5,FALSE)</f>
        <v>#N/A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832</v>
      </c>
      <c r="R1584" s="2" t="s">
        <v>50</v>
      </c>
      <c r="S1584" s="9">
        <f t="shared" si="124"/>
        <v>0.05</v>
      </c>
    </row>
    <row r="1585" spans="1:19" x14ac:dyDescent="0.25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e">
        <f>VLOOKUP('Customer Info'!A1577,'Customer Info'!A1577:I2076,2,FALSE)</f>
        <v>#N/A</v>
      </c>
      <c r="H1585" s="6" t="e">
        <f>VLOOKUP('Customer Info'!A1577,'Customer Info'!A1577:I2077,3,FALSE)</f>
        <v>#N/A</v>
      </c>
      <c r="I1585" s="6" t="e">
        <f>VLOOKUP('Customer Info'!A1577,'Customer Info'!A1577:I2076,5,FALSE)</f>
        <v>#N/A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1033</v>
      </c>
      <c r="R1585" s="2" t="s">
        <v>28</v>
      </c>
      <c r="S1585" s="9">
        <f t="shared" si="124"/>
        <v>0.05</v>
      </c>
    </row>
    <row r="1586" spans="1:19" x14ac:dyDescent="0.25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e">
        <f>VLOOKUP('Customer Info'!A1578,'Customer Info'!A1578:I2077,2,FALSE)</f>
        <v>#N/A</v>
      </c>
      <c r="H1586" s="6" t="e">
        <f>VLOOKUP('Customer Info'!A1578,'Customer Info'!A1578:I2078,3,FALSE)</f>
        <v>#N/A</v>
      </c>
      <c r="I1586" s="6" t="e">
        <f>VLOOKUP('Customer Info'!A1578,'Customer Info'!A1578:I2077,5,FALSE)</f>
        <v>#N/A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281</v>
      </c>
      <c r="R1586" s="2" t="s">
        <v>50</v>
      </c>
      <c r="S1586" s="9">
        <f t="shared" si="124"/>
        <v>0.05</v>
      </c>
    </row>
    <row r="1587" spans="1:19" x14ac:dyDescent="0.25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e">
        <f>VLOOKUP('Customer Info'!A1579,'Customer Info'!A1579:I2078,2,FALSE)</f>
        <v>#N/A</v>
      </c>
      <c r="H1587" s="6" t="e">
        <f>VLOOKUP('Customer Info'!A1579,'Customer Info'!A1579:I2079,3,FALSE)</f>
        <v>#N/A</v>
      </c>
      <c r="I1587" s="6" t="e">
        <f>VLOOKUP('Customer Info'!A1579,'Customer Info'!A1579:I2078,5,FALSE)</f>
        <v>#N/A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16</v>
      </c>
      <c r="R1587" s="2" t="s">
        <v>50</v>
      </c>
      <c r="S1587" s="9">
        <f t="shared" si="124"/>
        <v>0.02</v>
      </c>
    </row>
    <row r="1588" spans="1:19" x14ac:dyDescent="0.25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e">
        <f>VLOOKUP('Customer Info'!A1580,'Customer Info'!A1580:I2079,2,FALSE)</f>
        <v>#N/A</v>
      </c>
      <c r="H1588" s="6" t="e">
        <f>VLOOKUP('Customer Info'!A1580,'Customer Info'!A1580:I2080,3,FALSE)</f>
        <v>#N/A</v>
      </c>
      <c r="I1588" s="6" t="e">
        <f>VLOOKUP('Customer Info'!A1580,'Customer Info'!A1580:I2079,5,FALSE)</f>
        <v>#N/A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407</v>
      </c>
      <c r="R1588" s="2" t="s">
        <v>28</v>
      </c>
      <c r="S1588" s="9">
        <f t="shared" si="124"/>
        <v>0.05</v>
      </c>
    </row>
    <row r="1589" spans="1:19" x14ac:dyDescent="0.25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e">
        <f>VLOOKUP('Customer Info'!A1581,'Customer Info'!A1581:I2080,2,FALSE)</f>
        <v>#N/A</v>
      </c>
      <c r="H1589" s="6" t="e">
        <f>VLOOKUP('Customer Info'!A1581,'Customer Info'!A1581:I2081,3,FALSE)</f>
        <v>#N/A</v>
      </c>
      <c r="I1589" s="6" t="e">
        <f>VLOOKUP('Customer Info'!A1581,'Customer Info'!A1581:I2080,5,FALSE)</f>
        <v>#N/A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130</v>
      </c>
      <c r="R1589" s="2" t="s">
        <v>28</v>
      </c>
      <c r="S1589" s="9">
        <f t="shared" si="124"/>
        <v>0.02</v>
      </c>
    </row>
    <row r="1590" spans="1:19" x14ac:dyDescent="0.25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e">
        <f>VLOOKUP('Customer Info'!A1582,'Customer Info'!A1582:I2081,2,FALSE)</f>
        <v>#N/A</v>
      </c>
      <c r="H1590" s="6" t="e">
        <f>VLOOKUP('Customer Info'!A1582,'Customer Info'!A1582:I2082,3,FALSE)</f>
        <v>#N/A</v>
      </c>
      <c r="I1590" s="6" t="e">
        <f>VLOOKUP('Customer Info'!A1582,'Customer Info'!A1582:I2081,5,FALSE)</f>
        <v>#N/A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414</v>
      </c>
      <c r="R1590" s="2" t="s">
        <v>50</v>
      </c>
      <c r="S1590" s="9">
        <f t="shared" si="124"/>
        <v>0.05</v>
      </c>
    </row>
    <row r="1591" spans="1:19" x14ac:dyDescent="0.25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e">
        <f>VLOOKUP('Customer Info'!A1583,'Customer Info'!A1583:I2082,2,FALSE)</f>
        <v>#N/A</v>
      </c>
      <c r="H1591" s="6" t="e">
        <f>VLOOKUP('Customer Info'!A1583,'Customer Info'!A1583:I2083,3,FALSE)</f>
        <v>#N/A</v>
      </c>
      <c r="I1591" s="6" t="e">
        <f>VLOOKUP('Customer Info'!A1583,'Customer Info'!A1583:I2082,5,FALSE)</f>
        <v>#N/A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48</v>
      </c>
      <c r="R1591" s="2" t="s">
        <v>28</v>
      </c>
      <c r="S1591" s="9">
        <f t="shared" si="124"/>
        <v>0.02</v>
      </c>
    </row>
    <row r="1592" spans="1:19" x14ac:dyDescent="0.25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e">
        <f>VLOOKUP('Customer Info'!A1584,'Customer Info'!A1584:I2083,2,FALSE)</f>
        <v>#N/A</v>
      </c>
      <c r="H1592" s="6" t="e">
        <f>VLOOKUP('Customer Info'!A1584,'Customer Info'!A1584:I2084,3,FALSE)</f>
        <v>#N/A</v>
      </c>
      <c r="I1592" s="6" t="e">
        <f>VLOOKUP('Customer Info'!A1584,'Customer Info'!A1584:I2083,5,FALSE)</f>
        <v>#N/A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182</v>
      </c>
      <c r="R1592" s="2" t="s">
        <v>56</v>
      </c>
      <c r="S1592" s="9">
        <f t="shared" si="124"/>
        <v>0.02</v>
      </c>
    </row>
    <row r="1593" spans="1:19" x14ac:dyDescent="0.25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e">
        <f>VLOOKUP('Customer Info'!A1585,'Customer Info'!A1585:I2084,2,FALSE)</f>
        <v>#N/A</v>
      </c>
      <c r="H1593" s="6" t="e">
        <f>VLOOKUP('Customer Info'!A1585,'Customer Info'!A1585:I2085,3,FALSE)</f>
        <v>#N/A</v>
      </c>
      <c r="I1593" s="6" t="e">
        <f>VLOOKUP('Customer Info'!A1585,'Customer Info'!A1585:I2084,5,FALSE)</f>
        <v>#N/A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398</v>
      </c>
      <c r="R1593" s="2" t="s">
        <v>28</v>
      </c>
      <c r="S1593" s="9">
        <f t="shared" si="124"/>
        <v>0.05</v>
      </c>
    </row>
    <row r="1594" spans="1:19" x14ac:dyDescent="0.25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e">
        <f>VLOOKUP('Customer Info'!A1586,'Customer Info'!A1586:I2085,2,FALSE)</f>
        <v>#N/A</v>
      </c>
      <c r="H1594" s="6" t="e">
        <f>VLOOKUP('Customer Info'!A1586,'Customer Info'!A1586:I2086,3,FALSE)</f>
        <v>#N/A</v>
      </c>
      <c r="I1594" s="6" t="e">
        <f>VLOOKUP('Customer Info'!A1586,'Customer Info'!A1586:I2085,5,FALSE)</f>
        <v>#N/A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255</v>
      </c>
      <c r="R1594" s="2" t="s">
        <v>28</v>
      </c>
      <c r="S1594" s="9">
        <f t="shared" si="124"/>
        <v>0.02</v>
      </c>
    </row>
    <row r="1595" spans="1:19" x14ac:dyDescent="0.25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e">
        <f>VLOOKUP('Customer Info'!A1587,'Customer Info'!A1587:I2086,2,FALSE)</f>
        <v>#N/A</v>
      </c>
      <c r="H1595" s="6" t="e">
        <f>VLOOKUP('Customer Info'!A1587,'Customer Info'!A1587:I2087,3,FALSE)</f>
        <v>#N/A</v>
      </c>
      <c r="I1595" s="6" t="e">
        <f>VLOOKUP('Customer Info'!A1587,'Customer Info'!A1587:I2086,5,FALSE)</f>
        <v>#N/A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60</v>
      </c>
      <c r="R1595" s="2" t="s">
        <v>28</v>
      </c>
      <c r="S1595" s="9">
        <f t="shared" si="124"/>
        <v>0.02</v>
      </c>
    </row>
    <row r="1596" spans="1:19" x14ac:dyDescent="0.25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e">
        <f>VLOOKUP('Customer Info'!A1588,'Customer Info'!A1588:I2087,2,FALSE)</f>
        <v>#N/A</v>
      </c>
      <c r="H1596" s="6" t="e">
        <f>VLOOKUP('Customer Info'!A1588,'Customer Info'!A1588:I2088,3,FALSE)</f>
        <v>#N/A</v>
      </c>
      <c r="I1596" s="6" t="e">
        <f>VLOOKUP('Customer Info'!A1588,'Customer Info'!A1588:I2087,5,FALSE)</f>
        <v>#N/A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297</v>
      </c>
      <c r="R1596" s="2" t="s">
        <v>50</v>
      </c>
      <c r="S1596" s="9">
        <f t="shared" si="124"/>
        <v>0.02</v>
      </c>
    </row>
    <row r="1597" spans="1:19" x14ac:dyDescent="0.25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e">
        <f>VLOOKUP('Customer Info'!A1589,'Customer Info'!A1589:I2088,2,FALSE)</f>
        <v>#N/A</v>
      </c>
      <c r="H1597" s="6" t="e">
        <f>VLOOKUP('Customer Info'!A1589,'Customer Info'!A1589:I2089,3,FALSE)</f>
        <v>#N/A</v>
      </c>
      <c r="I1597" s="6" t="e">
        <f>VLOOKUP('Customer Info'!A1589,'Customer Info'!A1589:I2088,5,FALSE)</f>
        <v>#N/A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831</v>
      </c>
      <c r="R1597" s="2" t="s">
        <v>28</v>
      </c>
      <c r="S1597" s="9">
        <f t="shared" si="124"/>
        <v>0.05</v>
      </c>
    </row>
    <row r="1598" spans="1:19" x14ac:dyDescent="0.25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e">
        <f>VLOOKUP('Customer Info'!A1590,'Customer Info'!A1590:I2089,2,FALSE)</f>
        <v>#N/A</v>
      </c>
      <c r="H1598" s="6" t="e">
        <f>VLOOKUP('Customer Info'!A1590,'Customer Info'!A1590:I2090,3,FALSE)</f>
        <v>#N/A</v>
      </c>
      <c r="I1598" s="6" t="e">
        <f>VLOOKUP('Customer Info'!A1590,'Customer Info'!A1590:I2089,5,FALSE)</f>
        <v>#N/A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2097</v>
      </c>
      <c r="R1598" s="2" t="s">
        <v>50</v>
      </c>
      <c r="S1598" s="9">
        <f t="shared" si="124"/>
        <v>7.0000000000000007E-2</v>
      </c>
    </row>
    <row r="1599" spans="1:19" x14ac:dyDescent="0.25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e">
        <f>VLOOKUP('Customer Info'!A1591,'Customer Info'!A1591:I2090,2,FALSE)</f>
        <v>#N/A</v>
      </c>
      <c r="H1599" s="6" t="e">
        <f>VLOOKUP('Customer Info'!A1591,'Customer Info'!A1591:I2091,3,FALSE)</f>
        <v>#N/A</v>
      </c>
      <c r="I1599" s="6" t="e">
        <f>VLOOKUP('Customer Info'!A1591,'Customer Info'!A1591:I2090,5,FALSE)</f>
        <v>#N/A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737</v>
      </c>
      <c r="R1599" s="2" t="s">
        <v>50</v>
      </c>
      <c r="S1599" s="9">
        <f t="shared" si="124"/>
        <v>0.05</v>
      </c>
    </row>
    <row r="1600" spans="1:19" x14ac:dyDescent="0.25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e">
        <f>VLOOKUP('Customer Info'!A1592,'Customer Info'!A1592:I2091,2,FALSE)</f>
        <v>#N/A</v>
      </c>
      <c r="H1600" s="6" t="e">
        <f>VLOOKUP('Customer Info'!A1592,'Customer Info'!A1592:I2092,3,FALSE)</f>
        <v>#N/A</v>
      </c>
      <c r="I1600" s="6" t="e">
        <f>VLOOKUP('Customer Info'!A1592,'Customer Info'!A1592:I2091,5,FALSE)</f>
        <v>#N/A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4235</v>
      </c>
      <c r="R1600" s="2" t="s">
        <v>28</v>
      </c>
      <c r="S1600" s="9">
        <f t="shared" si="124"/>
        <v>0.09</v>
      </c>
    </row>
    <row r="1601" spans="1:19" x14ac:dyDescent="0.25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e">
        <f>VLOOKUP('Customer Info'!A1593,'Customer Info'!A1593:I2092,2,FALSE)</f>
        <v>#N/A</v>
      </c>
      <c r="H1601" s="6" t="e">
        <f>VLOOKUP('Customer Info'!A1593,'Customer Info'!A1593:I2093,3,FALSE)</f>
        <v>#N/A</v>
      </c>
      <c r="I1601" s="6" t="e">
        <f>VLOOKUP('Customer Info'!A1593,'Customer Info'!A1593:I2092,5,FALSE)</f>
        <v>#N/A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716</v>
      </c>
      <c r="R1601" s="2" t="s">
        <v>28</v>
      </c>
      <c r="S1601" s="9">
        <f t="shared" si="124"/>
        <v>0.05</v>
      </c>
    </row>
    <row r="1602" spans="1:19" x14ac:dyDescent="0.25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e">
        <f>VLOOKUP('Customer Info'!A1594,'Customer Info'!A1594:I2093,2,FALSE)</f>
        <v>#N/A</v>
      </c>
      <c r="H1602" s="6" t="e">
        <f>VLOOKUP('Customer Info'!A1594,'Customer Info'!A1594:I2094,3,FALSE)</f>
        <v>#N/A</v>
      </c>
      <c r="I1602" s="6" t="e">
        <f>VLOOKUP('Customer Info'!A1594,'Customer Info'!A1594:I2093,5,FALSE)</f>
        <v>#N/A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783</v>
      </c>
      <c r="R1602" s="2" t="s">
        <v>50</v>
      </c>
      <c r="S1602" s="9">
        <f t="shared" si="124"/>
        <v>0.05</v>
      </c>
    </row>
    <row r="1603" spans="1:19" x14ac:dyDescent="0.25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e">
        <f>VLOOKUP('Customer Info'!A1595,'Customer Info'!A1595:I2094,2,FALSE)</f>
        <v>#N/A</v>
      </c>
      <c r="H1603" s="6" t="e">
        <f>VLOOKUP('Customer Info'!A1595,'Customer Info'!A1595:I2095,3,FALSE)</f>
        <v>#N/A</v>
      </c>
      <c r="I1603" s="6" t="e">
        <f>VLOOKUP('Customer Info'!A1595,'Customer Info'!A1595:I2094,5,FALSE)</f>
        <v>#N/A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1395</v>
      </c>
      <c r="R1603" s="2" t="s">
        <v>28</v>
      </c>
      <c r="S1603" s="9">
        <f t="shared" si="124"/>
        <v>0.05</v>
      </c>
    </row>
    <row r="1604" spans="1:19" x14ac:dyDescent="0.25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e">
        <f>VLOOKUP('Customer Info'!A1596,'Customer Info'!A1596:I2095,2,FALSE)</f>
        <v>#N/A</v>
      </c>
      <c r="H1604" s="6" t="e">
        <f>VLOOKUP('Customer Info'!A1596,'Customer Info'!A1596:I2096,3,FALSE)</f>
        <v>#N/A</v>
      </c>
      <c r="I1604" s="6" t="e">
        <f>VLOOKUP('Customer Info'!A1596,'Customer Info'!A1596:I2095,5,FALSE)</f>
        <v>#N/A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560</v>
      </c>
      <c r="R1604" s="2" t="s">
        <v>50</v>
      </c>
      <c r="S1604" s="9">
        <f t="shared" si="124"/>
        <v>0.05</v>
      </c>
    </row>
    <row r="1605" spans="1:19" x14ac:dyDescent="0.25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e">
        <f>VLOOKUP('Customer Info'!A1597,'Customer Info'!A1597:I2096,2,FALSE)</f>
        <v>#N/A</v>
      </c>
      <c r="H1605" s="6" t="e">
        <f>VLOOKUP('Customer Info'!A1597,'Customer Info'!A1597:I2097,3,FALSE)</f>
        <v>#N/A</v>
      </c>
      <c r="I1605" s="6" t="e">
        <f>VLOOKUP('Customer Info'!A1597,'Customer Info'!A1597:I2096,5,FALSE)</f>
        <v>#N/A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464</v>
      </c>
      <c r="R1605" s="2" t="s">
        <v>28</v>
      </c>
      <c r="S1605" s="9">
        <f t="shared" si="124"/>
        <v>0.05</v>
      </c>
    </row>
    <row r="1606" spans="1:19" x14ac:dyDescent="0.25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e">
        <f>VLOOKUP('Customer Info'!A1598,'Customer Info'!A1598:I2097,2,FALSE)</f>
        <v>#N/A</v>
      </c>
      <c r="H1606" s="6" t="e">
        <f>VLOOKUP('Customer Info'!A1598,'Customer Info'!A1598:I2098,3,FALSE)</f>
        <v>#N/A</v>
      </c>
      <c r="I1606" s="6" t="e">
        <f>VLOOKUP('Customer Info'!A1598,'Customer Info'!A1598:I2097,5,FALSE)</f>
        <v>#N/A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477</v>
      </c>
      <c r="R1606" s="2" t="s">
        <v>50</v>
      </c>
      <c r="S1606" s="9">
        <f t="shared" si="124"/>
        <v>0.05</v>
      </c>
    </row>
    <row r="1607" spans="1:19" x14ac:dyDescent="0.25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e">
        <f>VLOOKUP('Customer Info'!A1599,'Customer Info'!A1599:I2098,2,FALSE)</f>
        <v>#N/A</v>
      </c>
      <c r="H1607" s="6" t="e">
        <f>VLOOKUP('Customer Info'!A1599,'Customer Info'!A1599:I2099,3,FALSE)</f>
        <v>#N/A</v>
      </c>
      <c r="I1607" s="6" t="e">
        <f>VLOOKUP('Customer Info'!A1599,'Customer Info'!A1599:I2098,5,FALSE)</f>
        <v>#N/A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11346</v>
      </c>
      <c r="R1607" s="2" t="s">
        <v>50</v>
      </c>
      <c r="S1607" s="9">
        <f t="shared" si="124"/>
        <v>0.12</v>
      </c>
    </row>
    <row r="1608" spans="1:19" x14ac:dyDescent="0.25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e">
        <f>VLOOKUP('Customer Info'!A1600,'Customer Info'!A1600:I2099,2,FALSE)</f>
        <v>#N/A</v>
      </c>
      <c r="H1608" s="6" t="e">
        <f>VLOOKUP('Customer Info'!A1600,'Customer Info'!A1600:I2100,3,FALSE)</f>
        <v>#N/A</v>
      </c>
      <c r="I1608" s="6" t="e">
        <f>VLOOKUP('Customer Info'!A1600,'Customer Info'!A1600:I2099,5,FALSE)</f>
        <v>#N/A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373</v>
      </c>
      <c r="R1608" s="2" t="s">
        <v>28</v>
      </c>
      <c r="S1608" s="9">
        <f t="shared" si="124"/>
        <v>0.05</v>
      </c>
    </row>
    <row r="1609" spans="1:19" x14ac:dyDescent="0.25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e">
        <f>VLOOKUP('Customer Info'!A1601,'Customer Info'!A1601:I2100,2,FALSE)</f>
        <v>#N/A</v>
      </c>
      <c r="H1609" s="6" t="e">
        <f>VLOOKUP('Customer Info'!A1601,'Customer Info'!A1601:I2101,3,FALSE)</f>
        <v>#N/A</v>
      </c>
      <c r="I1609" s="6" t="e">
        <f>VLOOKUP('Customer Info'!A1601,'Customer Info'!A1601:I2100,5,FALSE)</f>
        <v>#N/A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624</v>
      </c>
      <c r="R1609" s="2" t="s">
        <v>50</v>
      </c>
      <c r="S1609" s="9">
        <f t="shared" si="124"/>
        <v>0.05</v>
      </c>
    </row>
    <row r="1610" spans="1:19" x14ac:dyDescent="0.25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e">
        <f>VLOOKUP('Customer Info'!A1602,'Customer Info'!A1602:I2101,2,FALSE)</f>
        <v>#N/A</v>
      </c>
      <c r="H1610" s="6" t="e">
        <f>VLOOKUP('Customer Info'!A1602,'Customer Info'!A1602:I2102,3,FALSE)</f>
        <v>#N/A</v>
      </c>
      <c r="I1610" s="6" t="e">
        <f>VLOOKUP('Customer Info'!A1602,'Customer Info'!A1602:I2101,5,FALSE)</f>
        <v>#N/A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319</v>
      </c>
      <c r="R1610" s="2" t="s">
        <v>28</v>
      </c>
      <c r="S1610" s="9">
        <f t="shared" si="124"/>
        <v>0.02</v>
      </c>
    </row>
    <row r="1611" spans="1:19" x14ac:dyDescent="0.25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e">
        <f>VLOOKUP('Customer Info'!A1603,'Customer Info'!A1603:I2102,2,FALSE)</f>
        <v>#N/A</v>
      </c>
      <c r="H1611" s="6" t="e">
        <f>VLOOKUP('Customer Info'!A1603,'Customer Info'!A1603:I2103,3,FALSE)</f>
        <v>#N/A</v>
      </c>
      <c r="I1611" s="6" t="e">
        <f>VLOOKUP('Customer Info'!A1603,'Customer Info'!A1603:I2102,5,FALSE)</f>
        <v>#N/A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8">
        <f t="shared" ref="P1611:P1674" si="127">N1611+O1611</f>
        <v>157</v>
      </c>
      <c r="Q1611" s="8">
        <f t="shared" ref="Q1611:Q1674" si="128">P1611-M1611</f>
        <v>41</v>
      </c>
      <c r="R1611" s="2" t="s">
        <v>50</v>
      </c>
      <c r="S1611" s="9">
        <f t="shared" ref="S1611:S1674" si="129">VLOOKUP(P1611,$T$2:$U$7,2,TRUE)</f>
        <v>0.02</v>
      </c>
    </row>
    <row r="1612" spans="1:19" x14ac:dyDescent="0.25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e">
        <f>VLOOKUP('Customer Info'!A1604,'Customer Info'!A1604:I2103,2,FALSE)</f>
        <v>#N/A</v>
      </c>
      <c r="H1612" s="6" t="e">
        <f>VLOOKUP('Customer Info'!A1604,'Customer Info'!A1604:I2104,3,FALSE)</f>
        <v>#N/A</v>
      </c>
      <c r="I1612" s="6" t="e">
        <f>VLOOKUP('Customer Info'!A1604,'Customer Info'!A1604:I2103,5,FALSE)</f>
        <v>#N/A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429</v>
      </c>
      <c r="R1612" s="2" t="s">
        <v>50</v>
      </c>
      <c r="S1612" s="9">
        <f t="shared" si="129"/>
        <v>0.05</v>
      </c>
    </row>
    <row r="1613" spans="1:19" x14ac:dyDescent="0.25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e">
        <f>VLOOKUP('Customer Info'!A1605,'Customer Info'!A1605:I2104,2,FALSE)</f>
        <v>#N/A</v>
      </c>
      <c r="H1613" s="6" t="e">
        <f>VLOOKUP('Customer Info'!A1605,'Customer Info'!A1605:I2105,3,FALSE)</f>
        <v>#N/A</v>
      </c>
      <c r="I1613" s="6" t="e">
        <f>VLOOKUP('Customer Info'!A1605,'Customer Info'!A1605:I2104,5,FALSE)</f>
        <v>#N/A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25</v>
      </c>
      <c r="R1613" s="2" t="s">
        <v>50</v>
      </c>
      <c r="S1613" s="9">
        <f t="shared" si="129"/>
        <v>0.02</v>
      </c>
    </row>
    <row r="1614" spans="1:19" x14ac:dyDescent="0.25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e">
        <f>VLOOKUP('Customer Info'!A1606,'Customer Info'!A1606:I2105,2,FALSE)</f>
        <v>#N/A</v>
      </c>
      <c r="H1614" s="6" t="e">
        <f>VLOOKUP('Customer Info'!A1606,'Customer Info'!A1606:I2106,3,FALSE)</f>
        <v>#N/A</v>
      </c>
      <c r="I1614" s="6" t="e">
        <f>VLOOKUP('Customer Info'!A1606,'Customer Info'!A1606:I2105,5,FALSE)</f>
        <v>#N/A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317</v>
      </c>
      <c r="R1614" s="2" t="s">
        <v>28</v>
      </c>
      <c r="S1614" s="9">
        <f t="shared" si="129"/>
        <v>0.02</v>
      </c>
    </row>
    <row r="1615" spans="1:19" x14ac:dyDescent="0.25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e">
        <f>VLOOKUP('Customer Info'!A1607,'Customer Info'!A1607:I2106,2,FALSE)</f>
        <v>#N/A</v>
      </c>
      <c r="H1615" s="6" t="e">
        <f>VLOOKUP('Customer Info'!A1607,'Customer Info'!A1607:I2107,3,FALSE)</f>
        <v>#N/A</v>
      </c>
      <c r="I1615" s="6" t="e">
        <f>VLOOKUP('Customer Info'!A1607,'Customer Info'!A1607:I2106,5,FALSE)</f>
        <v>#N/A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649</v>
      </c>
      <c r="R1615" s="2" t="s">
        <v>50</v>
      </c>
      <c r="S1615" s="9">
        <f t="shared" si="129"/>
        <v>0.05</v>
      </c>
    </row>
    <row r="1616" spans="1:19" x14ac:dyDescent="0.25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e">
        <f>VLOOKUP('Customer Info'!A1608,'Customer Info'!A1608:I2107,2,FALSE)</f>
        <v>#N/A</v>
      </c>
      <c r="H1616" s="6" t="e">
        <f>VLOOKUP('Customer Info'!A1608,'Customer Info'!A1608:I2108,3,FALSE)</f>
        <v>#N/A</v>
      </c>
      <c r="I1616" s="6" t="e">
        <f>VLOOKUP('Customer Info'!A1608,'Customer Info'!A1608:I2107,5,FALSE)</f>
        <v>#N/A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1258</v>
      </c>
      <c r="R1616" s="2" t="s">
        <v>50</v>
      </c>
      <c r="S1616" s="9">
        <f t="shared" si="129"/>
        <v>0.05</v>
      </c>
    </row>
    <row r="1617" spans="1:19" x14ac:dyDescent="0.25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e">
        <f>VLOOKUP('Customer Info'!A1609,'Customer Info'!A1609:I2108,2,FALSE)</f>
        <v>#N/A</v>
      </c>
      <c r="H1617" s="6" t="e">
        <f>VLOOKUP('Customer Info'!A1609,'Customer Info'!A1609:I2109,3,FALSE)</f>
        <v>#N/A</v>
      </c>
      <c r="I1617" s="6" t="e">
        <f>VLOOKUP('Customer Info'!A1609,'Customer Info'!A1609:I2108,5,FALSE)</f>
        <v>#N/A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342</v>
      </c>
      <c r="R1617" s="2" t="s">
        <v>50</v>
      </c>
      <c r="S1617" s="9">
        <f t="shared" si="129"/>
        <v>0.02</v>
      </c>
    </row>
    <row r="1618" spans="1:19" x14ac:dyDescent="0.25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e">
        <f>VLOOKUP('Customer Info'!A1610,'Customer Info'!A1610:I2109,2,FALSE)</f>
        <v>#N/A</v>
      </c>
      <c r="H1618" s="6" t="e">
        <f>VLOOKUP('Customer Info'!A1610,'Customer Info'!A1610:I2110,3,FALSE)</f>
        <v>#N/A</v>
      </c>
      <c r="I1618" s="6" t="e">
        <f>VLOOKUP('Customer Info'!A1610,'Customer Info'!A1610:I2109,5,FALSE)</f>
        <v>#N/A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727</v>
      </c>
      <c r="R1618" s="2" t="s">
        <v>28</v>
      </c>
      <c r="S1618" s="9">
        <f t="shared" si="129"/>
        <v>0.05</v>
      </c>
    </row>
    <row r="1619" spans="1:19" x14ac:dyDescent="0.25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e">
        <f>VLOOKUP('Customer Info'!A1611,'Customer Info'!A1611:I2110,2,FALSE)</f>
        <v>#N/A</v>
      </c>
      <c r="H1619" s="6" t="e">
        <f>VLOOKUP('Customer Info'!A1611,'Customer Info'!A1611:I2111,3,FALSE)</f>
        <v>#N/A</v>
      </c>
      <c r="I1619" s="6" t="e">
        <f>VLOOKUP('Customer Info'!A1611,'Customer Info'!A1611:I2110,5,FALSE)</f>
        <v>#N/A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4143</v>
      </c>
      <c r="R1619" s="2" t="s">
        <v>28</v>
      </c>
      <c r="S1619" s="9">
        <f t="shared" si="129"/>
        <v>0.09</v>
      </c>
    </row>
    <row r="1620" spans="1:19" x14ac:dyDescent="0.25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e">
        <f>VLOOKUP('Customer Info'!A1612,'Customer Info'!A1612:I2111,2,FALSE)</f>
        <v>#N/A</v>
      </c>
      <c r="H1620" s="6" t="e">
        <f>VLOOKUP('Customer Info'!A1612,'Customer Info'!A1612:I2112,3,FALSE)</f>
        <v>#N/A</v>
      </c>
      <c r="I1620" s="6" t="e">
        <f>VLOOKUP('Customer Info'!A1612,'Customer Info'!A1612:I2111,5,FALSE)</f>
        <v>#N/A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25</v>
      </c>
      <c r="R1620" s="2" t="s">
        <v>28</v>
      </c>
      <c r="S1620" s="9">
        <f t="shared" si="129"/>
        <v>0.02</v>
      </c>
    </row>
    <row r="1621" spans="1:19" x14ac:dyDescent="0.25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e">
        <f>VLOOKUP('Customer Info'!A1613,'Customer Info'!A1613:I2112,2,FALSE)</f>
        <v>#N/A</v>
      </c>
      <c r="H1621" s="6" t="e">
        <f>VLOOKUP('Customer Info'!A1613,'Customer Info'!A1613:I2113,3,FALSE)</f>
        <v>#N/A</v>
      </c>
      <c r="I1621" s="6" t="e">
        <f>VLOOKUP('Customer Info'!A1613,'Customer Info'!A1613:I2112,5,FALSE)</f>
        <v>#N/A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4078</v>
      </c>
      <c r="R1621" s="2" t="s">
        <v>50</v>
      </c>
      <c r="S1621" s="9">
        <f t="shared" si="129"/>
        <v>7.0000000000000007E-2</v>
      </c>
    </row>
    <row r="1622" spans="1:19" x14ac:dyDescent="0.25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e">
        <f>VLOOKUP('Customer Info'!A1614,'Customer Info'!A1614:I2113,2,FALSE)</f>
        <v>#N/A</v>
      </c>
      <c r="H1622" s="6" t="e">
        <f>VLOOKUP('Customer Info'!A1614,'Customer Info'!A1614:I2114,3,FALSE)</f>
        <v>#N/A</v>
      </c>
      <c r="I1622" s="6" t="e">
        <f>VLOOKUP('Customer Info'!A1614,'Customer Info'!A1614:I2113,5,FALSE)</f>
        <v>#N/A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110</v>
      </c>
      <c r="R1622" s="2" t="s">
        <v>28</v>
      </c>
      <c r="S1622" s="9">
        <f t="shared" si="129"/>
        <v>0.02</v>
      </c>
    </row>
    <row r="1623" spans="1:19" x14ac:dyDescent="0.25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e">
        <f>VLOOKUP('Customer Info'!A1615,'Customer Info'!A1615:I2114,2,FALSE)</f>
        <v>#N/A</v>
      </c>
      <c r="H1623" s="6" t="e">
        <f>VLOOKUP('Customer Info'!A1615,'Customer Info'!A1615:I2115,3,FALSE)</f>
        <v>#N/A</v>
      </c>
      <c r="I1623" s="6" t="e">
        <f>VLOOKUP('Customer Info'!A1615,'Customer Info'!A1615:I2114,5,FALSE)</f>
        <v>#N/A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1363</v>
      </c>
      <c r="R1623" s="2" t="s">
        <v>50</v>
      </c>
      <c r="S1623" s="9">
        <f t="shared" si="129"/>
        <v>0.05</v>
      </c>
    </row>
    <row r="1624" spans="1:19" x14ac:dyDescent="0.25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e">
        <f>VLOOKUP('Customer Info'!A1616,'Customer Info'!A1616:I2115,2,FALSE)</f>
        <v>#N/A</v>
      </c>
      <c r="H1624" s="6" t="e">
        <f>VLOOKUP('Customer Info'!A1616,'Customer Info'!A1616:I2116,3,FALSE)</f>
        <v>#N/A</v>
      </c>
      <c r="I1624" s="6" t="e">
        <f>VLOOKUP('Customer Info'!A1616,'Customer Info'!A1616:I2115,5,FALSE)</f>
        <v>#N/A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1924</v>
      </c>
      <c r="R1624" s="2" t="s">
        <v>28</v>
      </c>
      <c r="S1624" s="9">
        <f t="shared" si="129"/>
        <v>7.0000000000000007E-2</v>
      </c>
    </row>
    <row r="1625" spans="1:19" x14ac:dyDescent="0.25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e">
        <f>VLOOKUP('Customer Info'!A1617,'Customer Info'!A1617:I2116,2,FALSE)</f>
        <v>#N/A</v>
      </c>
      <c r="H1625" s="6" t="e">
        <f>VLOOKUP('Customer Info'!A1617,'Customer Info'!A1617:I2117,3,FALSE)</f>
        <v>#N/A</v>
      </c>
      <c r="I1625" s="6" t="e">
        <f>VLOOKUP('Customer Info'!A1617,'Customer Info'!A1617:I2116,5,FALSE)</f>
        <v>#N/A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170</v>
      </c>
      <c r="R1625" s="2" t="s">
        <v>26</v>
      </c>
      <c r="S1625" s="9">
        <f t="shared" si="129"/>
        <v>0.05</v>
      </c>
    </row>
    <row r="1626" spans="1:19" x14ac:dyDescent="0.25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e">
        <f>VLOOKUP('Customer Info'!A1618,'Customer Info'!A1618:I2117,2,FALSE)</f>
        <v>#N/A</v>
      </c>
      <c r="H1626" s="6" t="e">
        <f>VLOOKUP('Customer Info'!A1618,'Customer Info'!A1618:I2118,3,FALSE)</f>
        <v>#N/A</v>
      </c>
      <c r="I1626" s="6" t="e">
        <f>VLOOKUP('Customer Info'!A1618,'Customer Info'!A1618:I2117,5,FALSE)</f>
        <v>#N/A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66</v>
      </c>
      <c r="R1626" s="2" t="s">
        <v>50</v>
      </c>
      <c r="S1626" s="9">
        <f t="shared" si="129"/>
        <v>0.02</v>
      </c>
    </row>
    <row r="1627" spans="1:19" x14ac:dyDescent="0.25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e">
        <f>VLOOKUP('Customer Info'!A1619,'Customer Info'!A1619:I2118,2,FALSE)</f>
        <v>#N/A</v>
      </c>
      <c r="H1627" s="6" t="e">
        <f>VLOOKUP('Customer Info'!A1619,'Customer Info'!A1619:I2119,3,FALSE)</f>
        <v>#N/A</v>
      </c>
      <c r="I1627" s="6" t="e">
        <f>VLOOKUP('Customer Info'!A1619,'Customer Info'!A1619:I2118,5,FALSE)</f>
        <v>#N/A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1030</v>
      </c>
      <c r="R1627" s="2" t="s">
        <v>28</v>
      </c>
      <c r="S1627" s="9">
        <f t="shared" si="129"/>
        <v>0.05</v>
      </c>
    </row>
    <row r="1628" spans="1:19" x14ac:dyDescent="0.25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e">
        <f>VLOOKUP('Customer Info'!A1620,'Customer Info'!A1620:I2119,2,FALSE)</f>
        <v>#N/A</v>
      </c>
      <c r="H1628" s="6" t="e">
        <f>VLOOKUP('Customer Info'!A1620,'Customer Info'!A1620:I2120,3,FALSE)</f>
        <v>#N/A</v>
      </c>
      <c r="I1628" s="6" t="e">
        <f>VLOOKUP('Customer Info'!A1620,'Customer Info'!A1620:I2119,5,FALSE)</f>
        <v>#N/A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12532</v>
      </c>
      <c r="R1628" s="2" t="s">
        <v>26</v>
      </c>
      <c r="S1628" s="9">
        <f t="shared" si="129"/>
        <v>0.12</v>
      </c>
    </row>
    <row r="1629" spans="1:19" x14ac:dyDescent="0.25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e">
        <f>VLOOKUP('Customer Info'!A1621,'Customer Info'!A1621:I2120,2,FALSE)</f>
        <v>#N/A</v>
      </c>
      <c r="H1629" s="6" t="e">
        <f>VLOOKUP('Customer Info'!A1621,'Customer Info'!A1621:I2121,3,FALSE)</f>
        <v>#N/A</v>
      </c>
      <c r="I1629" s="6" t="e">
        <f>VLOOKUP('Customer Info'!A1621,'Customer Info'!A1621:I2120,5,FALSE)</f>
        <v>#N/A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504</v>
      </c>
      <c r="R1629" s="2" t="s">
        <v>50</v>
      </c>
      <c r="S1629" s="9">
        <f t="shared" si="129"/>
        <v>0.05</v>
      </c>
    </row>
    <row r="1630" spans="1:19" x14ac:dyDescent="0.25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e">
        <f>VLOOKUP('Customer Info'!A1622,'Customer Info'!A1622:I2121,2,FALSE)</f>
        <v>#N/A</v>
      </c>
      <c r="H1630" s="6" t="e">
        <f>VLOOKUP('Customer Info'!A1622,'Customer Info'!A1622:I2122,3,FALSE)</f>
        <v>#N/A</v>
      </c>
      <c r="I1630" s="6" t="e">
        <f>VLOOKUP('Customer Info'!A1622,'Customer Info'!A1622:I2121,5,FALSE)</f>
        <v>#N/A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884</v>
      </c>
      <c r="R1630" s="2" t="s">
        <v>28</v>
      </c>
      <c r="S1630" s="9">
        <f t="shared" si="129"/>
        <v>0.05</v>
      </c>
    </row>
    <row r="1631" spans="1:19" x14ac:dyDescent="0.25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e">
        <f>VLOOKUP('Customer Info'!A1623,'Customer Info'!A1623:I2122,2,FALSE)</f>
        <v>#N/A</v>
      </c>
      <c r="H1631" s="6" t="e">
        <f>VLOOKUP('Customer Info'!A1623,'Customer Info'!A1623:I2123,3,FALSE)</f>
        <v>#N/A</v>
      </c>
      <c r="I1631" s="6" t="e">
        <f>VLOOKUP('Customer Info'!A1623,'Customer Info'!A1623:I2122,5,FALSE)</f>
        <v>#N/A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314</v>
      </c>
      <c r="R1631" s="2" t="s">
        <v>50</v>
      </c>
      <c r="S1631" s="9">
        <f t="shared" si="129"/>
        <v>0.02</v>
      </c>
    </row>
    <row r="1632" spans="1:19" x14ac:dyDescent="0.25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e">
        <f>VLOOKUP('Customer Info'!A1624,'Customer Info'!A1624:I2123,2,FALSE)</f>
        <v>#N/A</v>
      </c>
      <c r="H1632" s="6" t="e">
        <f>VLOOKUP('Customer Info'!A1624,'Customer Info'!A1624:I2124,3,FALSE)</f>
        <v>#N/A</v>
      </c>
      <c r="I1632" s="6" t="e">
        <f>VLOOKUP('Customer Info'!A1624,'Customer Info'!A1624:I2123,5,FALSE)</f>
        <v>#N/A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123</v>
      </c>
      <c r="R1632" s="2" t="s">
        <v>50</v>
      </c>
      <c r="S1632" s="9">
        <f t="shared" si="129"/>
        <v>0.02</v>
      </c>
    </row>
    <row r="1633" spans="1:19" x14ac:dyDescent="0.25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e">
        <f>VLOOKUP('Customer Info'!A1625,'Customer Info'!A1625:I2124,2,FALSE)</f>
        <v>#N/A</v>
      </c>
      <c r="H1633" s="6" t="e">
        <f>VLOOKUP('Customer Info'!A1625,'Customer Info'!A1625:I2125,3,FALSE)</f>
        <v>#N/A</v>
      </c>
      <c r="I1633" s="6" t="e">
        <f>VLOOKUP('Customer Info'!A1625,'Customer Info'!A1625:I2124,5,FALSE)</f>
        <v>#N/A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1084</v>
      </c>
      <c r="R1633" s="2" t="s">
        <v>50</v>
      </c>
      <c r="S1633" s="9">
        <f t="shared" si="129"/>
        <v>0.05</v>
      </c>
    </row>
    <row r="1634" spans="1:19" x14ac:dyDescent="0.25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e">
        <f>VLOOKUP('Customer Info'!A1626,'Customer Info'!A1626:I2125,2,FALSE)</f>
        <v>#N/A</v>
      </c>
      <c r="H1634" s="6" t="e">
        <f>VLOOKUP('Customer Info'!A1626,'Customer Info'!A1626:I2126,3,FALSE)</f>
        <v>#N/A</v>
      </c>
      <c r="I1634" s="6" t="e">
        <f>VLOOKUP('Customer Info'!A1626,'Customer Info'!A1626:I2125,5,FALSE)</f>
        <v>#N/A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70</v>
      </c>
      <c r="R1634" s="2" t="s">
        <v>50</v>
      </c>
      <c r="S1634" s="9">
        <f t="shared" si="129"/>
        <v>0.02</v>
      </c>
    </row>
    <row r="1635" spans="1:19" x14ac:dyDescent="0.25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e">
        <f>VLOOKUP('Customer Info'!A1627,'Customer Info'!A1627:I2126,2,FALSE)</f>
        <v>#N/A</v>
      </c>
      <c r="H1635" s="6" t="e">
        <f>VLOOKUP('Customer Info'!A1627,'Customer Info'!A1627:I2127,3,FALSE)</f>
        <v>#N/A</v>
      </c>
      <c r="I1635" s="6" t="e">
        <f>VLOOKUP('Customer Info'!A1627,'Customer Info'!A1627:I2126,5,FALSE)</f>
        <v>#N/A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39</v>
      </c>
      <c r="R1635" s="2" t="s">
        <v>28</v>
      </c>
      <c r="S1635" s="9">
        <f t="shared" si="129"/>
        <v>0.02</v>
      </c>
    </row>
    <row r="1636" spans="1:19" x14ac:dyDescent="0.25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e">
        <f>VLOOKUP('Customer Info'!A1628,'Customer Info'!A1628:I2127,2,FALSE)</f>
        <v>#N/A</v>
      </c>
      <c r="H1636" s="6" t="e">
        <f>VLOOKUP('Customer Info'!A1628,'Customer Info'!A1628:I2128,3,FALSE)</f>
        <v>#N/A</v>
      </c>
      <c r="I1636" s="6" t="e">
        <f>VLOOKUP('Customer Info'!A1628,'Customer Info'!A1628:I2127,5,FALSE)</f>
        <v>#N/A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4745</v>
      </c>
      <c r="R1636" s="2" t="s">
        <v>28</v>
      </c>
      <c r="S1636" s="9">
        <f t="shared" si="129"/>
        <v>7.0000000000000007E-2</v>
      </c>
    </row>
    <row r="1637" spans="1:19" x14ac:dyDescent="0.25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e">
        <f>VLOOKUP('Customer Info'!A1629,'Customer Info'!A1629:I2128,2,FALSE)</f>
        <v>#N/A</v>
      </c>
      <c r="H1637" s="6" t="e">
        <f>VLOOKUP('Customer Info'!A1629,'Customer Info'!A1629:I2129,3,FALSE)</f>
        <v>#N/A</v>
      </c>
      <c r="I1637" s="6" t="e">
        <f>VLOOKUP('Customer Info'!A1629,'Customer Info'!A1629:I2128,5,FALSE)</f>
        <v>#N/A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148</v>
      </c>
      <c r="R1637" s="2" t="s">
        <v>28</v>
      </c>
      <c r="S1637" s="9">
        <f t="shared" si="129"/>
        <v>0.02</v>
      </c>
    </row>
    <row r="1638" spans="1:19" x14ac:dyDescent="0.25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e">
        <f>VLOOKUP('Customer Info'!A1630,'Customer Info'!A1630:I2129,2,FALSE)</f>
        <v>#N/A</v>
      </c>
      <c r="H1638" s="6" t="e">
        <f>VLOOKUP('Customer Info'!A1630,'Customer Info'!A1630:I2130,3,FALSE)</f>
        <v>#N/A</v>
      </c>
      <c r="I1638" s="6" t="e">
        <f>VLOOKUP('Customer Info'!A1630,'Customer Info'!A1630:I2129,5,FALSE)</f>
        <v>#N/A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1916</v>
      </c>
      <c r="R1638" s="2" t="s">
        <v>28</v>
      </c>
      <c r="S1638" s="9">
        <f t="shared" si="129"/>
        <v>0.05</v>
      </c>
    </row>
    <row r="1639" spans="1:19" x14ac:dyDescent="0.25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e">
        <f>VLOOKUP('Customer Info'!A1631,'Customer Info'!A1631:I2130,2,FALSE)</f>
        <v>#N/A</v>
      </c>
      <c r="H1639" s="6" t="e">
        <f>VLOOKUP('Customer Info'!A1631,'Customer Info'!A1631:I2131,3,FALSE)</f>
        <v>#N/A</v>
      </c>
      <c r="I1639" s="6" t="e">
        <f>VLOOKUP('Customer Info'!A1631,'Customer Info'!A1631:I2130,5,FALSE)</f>
        <v>#N/A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1120</v>
      </c>
      <c r="R1639" s="2" t="s">
        <v>28</v>
      </c>
      <c r="S1639" s="9">
        <f t="shared" si="129"/>
        <v>7.0000000000000007E-2</v>
      </c>
    </row>
    <row r="1640" spans="1:19" x14ac:dyDescent="0.25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e">
        <f>VLOOKUP('Customer Info'!A1632,'Customer Info'!A1632:I2131,2,FALSE)</f>
        <v>#N/A</v>
      </c>
      <c r="H1640" s="6" t="e">
        <f>VLOOKUP('Customer Info'!A1632,'Customer Info'!A1632:I2132,3,FALSE)</f>
        <v>#N/A</v>
      </c>
      <c r="I1640" s="6" t="e">
        <f>VLOOKUP('Customer Info'!A1632,'Customer Info'!A1632:I2131,5,FALSE)</f>
        <v>#N/A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259</v>
      </c>
      <c r="R1640" s="2" t="s">
        <v>28</v>
      </c>
      <c r="S1640" s="9">
        <f t="shared" si="129"/>
        <v>0.05</v>
      </c>
    </row>
    <row r="1641" spans="1:19" x14ac:dyDescent="0.25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e">
        <f>VLOOKUP('Customer Info'!A1633,'Customer Info'!A1633:I2132,2,FALSE)</f>
        <v>#N/A</v>
      </c>
      <c r="H1641" s="6" t="e">
        <f>VLOOKUP('Customer Info'!A1633,'Customer Info'!A1633:I2133,3,FALSE)</f>
        <v>#N/A</v>
      </c>
      <c r="I1641" s="6" t="e">
        <f>VLOOKUP('Customer Info'!A1633,'Customer Info'!A1633:I2132,5,FALSE)</f>
        <v>#N/A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22</v>
      </c>
      <c r="R1641" s="2" t="s">
        <v>50</v>
      </c>
      <c r="S1641" s="9">
        <f t="shared" si="129"/>
        <v>0.02</v>
      </c>
    </row>
    <row r="1642" spans="1:19" x14ac:dyDescent="0.25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e">
        <f>VLOOKUP('Customer Info'!A1634,'Customer Info'!A1634:I2133,2,FALSE)</f>
        <v>#N/A</v>
      </c>
      <c r="H1642" s="6" t="e">
        <f>VLOOKUP('Customer Info'!A1634,'Customer Info'!A1634:I2134,3,FALSE)</f>
        <v>#N/A</v>
      </c>
      <c r="I1642" s="6" t="e">
        <f>VLOOKUP('Customer Info'!A1634,'Customer Info'!A1634:I2133,5,FALSE)</f>
        <v>#N/A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127</v>
      </c>
      <c r="R1642" s="2" t="s">
        <v>28</v>
      </c>
      <c r="S1642" s="9">
        <f t="shared" si="129"/>
        <v>0.02</v>
      </c>
    </row>
    <row r="1643" spans="1:19" x14ac:dyDescent="0.25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e">
        <f>VLOOKUP('Customer Info'!A1635,'Customer Info'!A1635:I2134,2,FALSE)</f>
        <v>#N/A</v>
      </c>
      <c r="H1643" s="6" t="e">
        <f>VLOOKUP('Customer Info'!A1635,'Customer Info'!A1635:I2135,3,FALSE)</f>
        <v>#N/A</v>
      </c>
      <c r="I1643" s="6" t="e">
        <f>VLOOKUP('Customer Info'!A1635,'Customer Info'!A1635:I2134,5,FALSE)</f>
        <v>#N/A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80</v>
      </c>
      <c r="R1643" s="2" t="s">
        <v>28</v>
      </c>
      <c r="S1643" s="9">
        <f t="shared" si="129"/>
        <v>0.02</v>
      </c>
    </row>
    <row r="1644" spans="1:19" x14ac:dyDescent="0.25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e">
        <f>VLOOKUP('Customer Info'!A1636,'Customer Info'!A1636:I2135,2,FALSE)</f>
        <v>#N/A</v>
      </c>
      <c r="H1644" s="6" t="e">
        <f>VLOOKUP('Customer Info'!A1636,'Customer Info'!A1636:I2136,3,FALSE)</f>
        <v>#N/A</v>
      </c>
      <c r="I1644" s="6" t="e">
        <f>VLOOKUP('Customer Info'!A1636,'Customer Info'!A1636:I2135,5,FALSE)</f>
        <v>#N/A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688</v>
      </c>
      <c r="R1644" s="2" t="s">
        <v>28</v>
      </c>
      <c r="S1644" s="9">
        <f t="shared" si="129"/>
        <v>0.05</v>
      </c>
    </row>
    <row r="1645" spans="1:19" x14ac:dyDescent="0.25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e">
        <f>VLOOKUP('Customer Info'!A1637,'Customer Info'!A1637:I2136,2,FALSE)</f>
        <v>#N/A</v>
      </c>
      <c r="H1645" s="6" t="e">
        <f>VLOOKUP('Customer Info'!A1637,'Customer Info'!A1637:I2137,3,FALSE)</f>
        <v>#N/A</v>
      </c>
      <c r="I1645" s="6" t="e">
        <f>VLOOKUP('Customer Info'!A1637,'Customer Info'!A1637:I2136,5,FALSE)</f>
        <v>#N/A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365</v>
      </c>
      <c r="R1645" s="2" t="s">
        <v>28</v>
      </c>
      <c r="S1645" s="9">
        <f t="shared" si="129"/>
        <v>0.05</v>
      </c>
    </row>
    <row r="1646" spans="1:19" x14ac:dyDescent="0.25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e">
        <f>VLOOKUP('Customer Info'!A1638,'Customer Info'!A1638:I2137,2,FALSE)</f>
        <v>#N/A</v>
      </c>
      <c r="H1646" s="6" t="e">
        <f>VLOOKUP('Customer Info'!A1638,'Customer Info'!A1638:I2138,3,FALSE)</f>
        <v>#N/A</v>
      </c>
      <c r="I1646" s="6" t="e">
        <f>VLOOKUP('Customer Info'!A1638,'Customer Info'!A1638:I2137,5,FALSE)</f>
        <v>#N/A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1013</v>
      </c>
      <c r="R1646" s="2" t="s">
        <v>28</v>
      </c>
      <c r="S1646" s="9">
        <f t="shared" si="129"/>
        <v>0.05</v>
      </c>
    </row>
    <row r="1647" spans="1:19" x14ac:dyDescent="0.25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e">
        <f>VLOOKUP('Customer Info'!A1639,'Customer Info'!A1639:I2138,2,FALSE)</f>
        <v>#N/A</v>
      </c>
      <c r="H1647" s="6" t="e">
        <f>VLOOKUP('Customer Info'!A1639,'Customer Info'!A1639:I2139,3,FALSE)</f>
        <v>#N/A</v>
      </c>
      <c r="I1647" s="6" t="e">
        <f>VLOOKUP('Customer Info'!A1639,'Customer Info'!A1639:I2138,5,FALSE)</f>
        <v>#N/A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14</v>
      </c>
      <c r="R1647" s="2" t="s">
        <v>28</v>
      </c>
      <c r="S1647" s="9">
        <f t="shared" si="129"/>
        <v>0.02</v>
      </c>
    </row>
    <row r="1648" spans="1:19" x14ac:dyDescent="0.25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e">
        <f>VLOOKUP('Customer Info'!A1640,'Customer Info'!A1640:I2139,2,FALSE)</f>
        <v>#N/A</v>
      </c>
      <c r="H1648" s="6" t="e">
        <f>VLOOKUP('Customer Info'!A1640,'Customer Info'!A1640:I2140,3,FALSE)</f>
        <v>#N/A</v>
      </c>
      <c r="I1648" s="6" t="e">
        <f>VLOOKUP('Customer Info'!A1640,'Customer Info'!A1640:I2139,5,FALSE)</f>
        <v>#N/A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2050</v>
      </c>
      <c r="R1648" s="2" t="s">
        <v>50</v>
      </c>
      <c r="S1648" s="9">
        <f t="shared" si="129"/>
        <v>7.0000000000000007E-2</v>
      </c>
    </row>
    <row r="1649" spans="1:19" x14ac:dyDescent="0.25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e">
        <f>VLOOKUP('Customer Info'!A1641,'Customer Info'!A1641:I2140,2,FALSE)</f>
        <v>#N/A</v>
      </c>
      <c r="H1649" s="6" t="e">
        <f>VLOOKUP('Customer Info'!A1641,'Customer Info'!A1641:I2141,3,FALSE)</f>
        <v>#N/A</v>
      </c>
      <c r="I1649" s="6" t="e">
        <f>VLOOKUP('Customer Info'!A1641,'Customer Info'!A1641:I2140,5,FALSE)</f>
        <v>#N/A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510</v>
      </c>
      <c r="R1649" s="2" t="s">
        <v>50</v>
      </c>
      <c r="S1649" s="9">
        <f t="shared" si="129"/>
        <v>0.05</v>
      </c>
    </row>
    <row r="1650" spans="1:19" x14ac:dyDescent="0.25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e">
        <f>VLOOKUP('Customer Info'!A1642,'Customer Info'!A1642:I2141,2,FALSE)</f>
        <v>#N/A</v>
      </c>
      <c r="H1650" s="6" t="e">
        <f>VLOOKUP('Customer Info'!A1642,'Customer Info'!A1642:I2142,3,FALSE)</f>
        <v>#N/A</v>
      </c>
      <c r="I1650" s="6" t="e">
        <f>VLOOKUP('Customer Info'!A1642,'Customer Info'!A1642:I2141,5,FALSE)</f>
        <v>#N/A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34</v>
      </c>
      <c r="R1650" s="2" t="s">
        <v>50</v>
      </c>
      <c r="S1650" s="9">
        <f t="shared" si="129"/>
        <v>0.02</v>
      </c>
    </row>
    <row r="1651" spans="1:19" x14ac:dyDescent="0.25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e">
        <f>VLOOKUP('Customer Info'!A1643,'Customer Info'!A1643:I2142,2,FALSE)</f>
        <v>#N/A</v>
      </c>
      <c r="H1651" s="6" t="e">
        <f>VLOOKUP('Customer Info'!A1643,'Customer Info'!A1643:I2143,3,FALSE)</f>
        <v>#N/A</v>
      </c>
      <c r="I1651" s="6" t="e">
        <f>VLOOKUP('Customer Info'!A1643,'Customer Info'!A1643:I2142,5,FALSE)</f>
        <v>#N/A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180</v>
      </c>
      <c r="R1651" s="2" t="s">
        <v>28</v>
      </c>
      <c r="S1651" s="9">
        <f t="shared" si="129"/>
        <v>0.02</v>
      </c>
    </row>
    <row r="1652" spans="1:19" x14ac:dyDescent="0.25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e">
        <f>VLOOKUP('Customer Info'!A1644,'Customer Info'!A1644:I2143,2,FALSE)</f>
        <v>#N/A</v>
      </c>
      <c r="H1652" s="6" t="e">
        <f>VLOOKUP('Customer Info'!A1644,'Customer Info'!A1644:I2144,3,FALSE)</f>
        <v>#N/A</v>
      </c>
      <c r="I1652" s="6" t="e">
        <f>VLOOKUP('Customer Info'!A1644,'Customer Info'!A1644:I2143,5,FALSE)</f>
        <v>#N/A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909</v>
      </c>
      <c r="R1652" s="2" t="s">
        <v>26</v>
      </c>
      <c r="S1652" s="9">
        <f t="shared" si="129"/>
        <v>0.05</v>
      </c>
    </row>
    <row r="1653" spans="1:19" x14ac:dyDescent="0.25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e">
        <f>VLOOKUP('Customer Info'!A1645,'Customer Info'!A1645:I2144,2,FALSE)</f>
        <v>#N/A</v>
      </c>
      <c r="H1653" s="6" t="e">
        <f>VLOOKUP('Customer Info'!A1645,'Customer Info'!A1645:I2145,3,FALSE)</f>
        <v>#N/A</v>
      </c>
      <c r="I1653" s="6" t="e">
        <f>VLOOKUP('Customer Info'!A1645,'Customer Info'!A1645:I2144,5,FALSE)</f>
        <v>#N/A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333</v>
      </c>
      <c r="R1653" s="2" t="s">
        <v>28</v>
      </c>
      <c r="S1653" s="9">
        <f t="shared" si="129"/>
        <v>0.02</v>
      </c>
    </row>
    <row r="1654" spans="1:19" x14ac:dyDescent="0.25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e">
        <f>VLOOKUP('Customer Info'!A1646,'Customer Info'!A1646:I2145,2,FALSE)</f>
        <v>#N/A</v>
      </c>
      <c r="H1654" s="6" t="e">
        <f>VLOOKUP('Customer Info'!A1646,'Customer Info'!A1646:I2146,3,FALSE)</f>
        <v>#N/A</v>
      </c>
      <c r="I1654" s="6" t="e">
        <f>VLOOKUP('Customer Info'!A1646,'Customer Info'!A1646:I2145,5,FALSE)</f>
        <v>#N/A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1670</v>
      </c>
      <c r="R1654" s="2" t="s">
        <v>28</v>
      </c>
      <c r="S1654" s="9">
        <f t="shared" si="129"/>
        <v>0.05</v>
      </c>
    </row>
    <row r="1655" spans="1:19" x14ac:dyDescent="0.25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e">
        <f>VLOOKUP('Customer Info'!A1647,'Customer Info'!A1647:I2146,2,FALSE)</f>
        <v>#N/A</v>
      </c>
      <c r="H1655" s="6" t="e">
        <f>VLOOKUP('Customer Info'!A1647,'Customer Info'!A1647:I2147,3,FALSE)</f>
        <v>#N/A</v>
      </c>
      <c r="I1655" s="6" t="e">
        <f>VLOOKUP('Customer Info'!A1647,'Customer Info'!A1647:I2146,5,FALSE)</f>
        <v>#N/A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158</v>
      </c>
      <c r="R1655" s="2" t="s">
        <v>28</v>
      </c>
      <c r="S1655" s="9">
        <f t="shared" si="129"/>
        <v>0.02</v>
      </c>
    </row>
    <row r="1656" spans="1:19" x14ac:dyDescent="0.25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e">
        <f>VLOOKUP('Customer Info'!A1648,'Customer Info'!A1648:I2147,2,FALSE)</f>
        <v>#N/A</v>
      </c>
      <c r="H1656" s="6" t="e">
        <f>VLOOKUP('Customer Info'!A1648,'Customer Info'!A1648:I2148,3,FALSE)</f>
        <v>#N/A</v>
      </c>
      <c r="I1656" s="6" t="e">
        <f>VLOOKUP('Customer Info'!A1648,'Customer Info'!A1648:I2147,5,FALSE)</f>
        <v>#N/A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560</v>
      </c>
      <c r="R1656" s="2" t="s">
        <v>56</v>
      </c>
      <c r="S1656" s="9">
        <f t="shared" si="129"/>
        <v>0.05</v>
      </c>
    </row>
    <row r="1657" spans="1:19" x14ac:dyDescent="0.25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e">
        <f>VLOOKUP('Customer Info'!A1649,'Customer Info'!A1649:I2148,2,FALSE)</f>
        <v>#N/A</v>
      </c>
      <c r="H1657" s="6" t="e">
        <f>VLOOKUP('Customer Info'!A1649,'Customer Info'!A1649:I2149,3,FALSE)</f>
        <v>#N/A</v>
      </c>
      <c r="I1657" s="6" t="e">
        <f>VLOOKUP('Customer Info'!A1649,'Customer Info'!A1649:I2148,5,FALSE)</f>
        <v>#N/A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18</v>
      </c>
      <c r="R1657" s="2" t="s">
        <v>28</v>
      </c>
      <c r="S1657" s="9">
        <f t="shared" si="129"/>
        <v>0.02</v>
      </c>
    </row>
    <row r="1658" spans="1:19" x14ac:dyDescent="0.25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e">
        <f>VLOOKUP('Customer Info'!A1650,'Customer Info'!A1650:I2149,2,FALSE)</f>
        <v>#N/A</v>
      </c>
      <c r="H1658" s="6" t="e">
        <f>VLOOKUP('Customer Info'!A1650,'Customer Info'!A1650:I2150,3,FALSE)</f>
        <v>#N/A</v>
      </c>
      <c r="I1658" s="6" t="e">
        <f>VLOOKUP('Customer Info'!A1650,'Customer Info'!A1650:I2149,5,FALSE)</f>
        <v>#N/A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215</v>
      </c>
      <c r="R1658" s="2" t="s">
        <v>56</v>
      </c>
      <c r="S1658" s="9">
        <f t="shared" si="129"/>
        <v>0.02</v>
      </c>
    </row>
    <row r="1659" spans="1:19" x14ac:dyDescent="0.25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e">
        <f>VLOOKUP('Customer Info'!A1651,'Customer Info'!A1651:I2150,2,FALSE)</f>
        <v>#N/A</v>
      </c>
      <c r="H1659" s="6" t="e">
        <f>VLOOKUP('Customer Info'!A1651,'Customer Info'!A1651:I2151,3,FALSE)</f>
        <v>#N/A</v>
      </c>
      <c r="I1659" s="6" t="e">
        <f>VLOOKUP('Customer Info'!A1651,'Customer Info'!A1651:I2150,5,FALSE)</f>
        <v>#N/A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385</v>
      </c>
      <c r="R1659" s="2" t="s">
        <v>50</v>
      </c>
      <c r="S1659" s="9">
        <f t="shared" si="129"/>
        <v>0.02</v>
      </c>
    </row>
    <row r="1660" spans="1:19" x14ac:dyDescent="0.25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e">
        <f>VLOOKUP('Customer Info'!A1652,'Customer Info'!A1652:I2151,2,FALSE)</f>
        <v>#N/A</v>
      </c>
      <c r="H1660" s="6" t="e">
        <f>VLOOKUP('Customer Info'!A1652,'Customer Info'!A1652:I2152,3,FALSE)</f>
        <v>#N/A</v>
      </c>
      <c r="I1660" s="6" t="e">
        <f>VLOOKUP('Customer Info'!A1652,'Customer Info'!A1652:I2151,5,FALSE)</f>
        <v>#N/A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377</v>
      </c>
      <c r="R1660" s="2" t="s">
        <v>50</v>
      </c>
      <c r="S1660" s="9">
        <f t="shared" si="129"/>
        <v>0.05</v>
      </c>
    </row>
    <row r="1661" spans="1:19" x14ac:dyDescent="0.25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e">
        <f>VLOOKUP('Customer Info'!A1653,'Customer Info'!A1653:I2152,2,FALSE)</f>
        <v>#N/A</v>
      </c>
      <c r="H1661" s="6" t="e">
        <f>VLOOKUP('Customer Info'!A1653,'Customer Info'!A1653:I2153,3,FALSE)</f>
        <v>#N/A</v>
      </c>
      <c r="I1661" s="6" t="e">
        <f>VLOOKUP('Customer Info'!A1653,'Customer Info'!A1653:I2152,5,FALSE)</f>
        <v>#N/A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46</v>
      </c>
      <c r="R1661" s="2" t="s">
        <v>28</v>
      </c>
      <c r="S1661" s="9">
        <f t="shared" si="129"/>
        <v>0.02</v>
      </c>
    </row>
    <row r="1662" spans="1:19" x14ac:dyDescent="0.25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e">
        <f>VLOOKUP('Customer Info'!A1654,'Customer Info'!A1654:I2153,2,FALSE)</f>
        <v>#N/A</v>
      </c>
      <c r="H1662" s="6" t="e">
        <f>VLOOKUP('Customer Info'!A1654,'Customer Info'!A1654:I2154,3,FALSE)</f>
        <v>#N/A</v>
      </c>
      <c r="I1662" s="6" t="e">
        <f>VLOOKUP('Customer Info'!A1654,'Customer Info'!A1654:I2153,5,FALSE)</f>
        <v>#N/A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721</v>
      </c>
      <c r="R1662" s="2" t="s">
        <v>50</v>
      </c>
      <c r="S1662" s="9">
        <f t="shared" si="129"/>
        <v>0.05</v>
      </c>
    </row>
    <row r="1663" spans="1:19" x14ac:dyDescent="0.25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e">
        <f>VLOOKUP('Customer Info'!A1655,'Customer Info'!A1655:I2154,2,FALSE)</f>
        <v>#N/A</v>
      </c>
      <c r="H1663" s="6" t="e">
        <f>VLOOKUP('Customer Info'!A1655,'Customer Info'!A1655:I2155,3,FALSE)</f>
        <v>#N/A</v>
      </c>
      <c r="I1663" s="6" t="e">
        <f>VLOOKUP('Customer Info'!A1655,'Customer Info'!A1655:I2154,5,FALSE)</f>
        <v>#N/A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163</v>
      </c>
      <c r="R1663" s="2" t="s">
        <v>28</v>
      </c>
      <c r="S1663" s="9">
        <f t="shared" si="129"/>
        <v>0.02</v>
      </c>
    </row>
    <row r="1664" spans="1:19" x14ac:dyDescent="0.25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e">
        <f>VLOOKUP('Customer Info'!A1656,'Customer Info'!A1656:I2155,2,FALSE)</f>
        <v>#N/A</v>
      </c>
      <c r="H1664" s="6" t="e">
        <f>VLOOKUP('Customer Info'!A1656,'Customer Info'!A1656:I2156,3,FALSE)</f>
        <v>#N/A</v>
      </c>
      <c r="I1664" s="6" t="e">
        <f>VLOOKUP('Customer Info'!A1656,'Customer Info'!A1656:I2155,5,FALSE)</f>
        <v>#N/A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478</v>
      </c>
      <c r="R1664" s="2" t="s">
        <v>50</v>
      </c>
      <c r="S1664" s="9">
        <f t="shared" si="129"/>
        <v>0.05</v>
      </c>
    </row>
    <row r="1665" spans="1:19" x14ac:dyDescent="0.25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e">
        <f>VLOOKUP('Customer Info'!A1657,'Customer Info'!A1657:I2156,2,FALSE)</f>
        <v>#N/A</v>
      </c>
      <c r="H1665" s="6" t="e">
        <f>VLOOKUP('Customer Info'!A1657,'Customer Info'!A1657:I2157,3,FALSE)</f>
        <v>#N/A</v>
      </c>
      <c r="I1665" s="6" t="e">
        <f>VLOOKUP('Customer Info'!A1657,'Customer Info'!A1657:I2156,5,FALSE)</f>
        <v>#N/A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142</v>
      </c>
      <c r="R1665" s="2" t="s">
        <v>50</v>
      </c>
      <c r="S1665" s="9">
        <f t="shared" si="129"/>
        <v>0.02</v>
      </c>
    </row>
    <row r="1666" spans="1:19" x14ac:dyDescent="0.25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e">
        <f>VLOOKUP('Customer Info'!A1658,'Customer Info'!A1658:I2157,2,FALSE)</f>
        <v>#N/A</v>
      </c>
      <c r="H1666" s="6" t="e">
        <f>VLOOKUP('Customer Info'!A1658,'Customer Info'!A1658:I2158,3,FALSE)</f>
        <v>#N/A</v>
      </c>
      <c r="I1666" s="6" t="e">
        <f>VLOOKUP('Customer Info'!A1658,'Customer Info'!A1658:I2157,5,FALSE)</f>
        <v>#N/A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374</v>
      </c>
      <c r="R1666" s="2" t="s">
        <v>28</v>
      </c>
      <c r="S1666" s="9">
        <f t="shared" si="129"/>
        <v>0.05</v>
      </c>
    </row>
    <row r="1667" spans="1:19" x14ac:dyDescent="0.25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e">
        <f>VLOOKUP('Customer Info'!A1659,'Customer Info'!A1659:I2158,2,FALSE)</f>
        <v>#N/A</v>
      </c>
      <c r="H1667" s="6" t="e">
        <f>VLOOKUP('Customer Info'!A1659,'Customer Info'!A1659:I2159,3,FALSE)</f>
        <v>#N/A</v>
      </c>
      <c r="I1667" s="6" t="e">
        <f>VLOOKUP('Customer Info'!A1659,'Customer Info'!A1659:I2158,5,FALSE)</f>
        <v>#N/A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9544</v>
      </c>
      <c r="R1667" s="2" t="s">
        <v>50</v>
      </c>
      <c r="S1667" s="9">
        <f t="shared" si="129"/>
        <v>0.12</v>
      </c>
    </row>
    <row r="1668" spans="1:19" x14ac:dyDescent="0.25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e">
        <f>VLOOKUP('Customer Info'!A1660,'Customer Info'!A1660:I2159,2,FALSE)</f>
        <v>#N/A</v>
      </c>
      <c r="H1668" s="6" t="e">
        <f>VLOOKUP('Customer Info'!A1660,'Customer Info'!A1660:I2160,3,FALSE)</f>
        <v>#N/A</v>
      </c>
      <c r="I1668" s="6" t="e">
        <f>VLOOKUP('Customer Info'!A1660,'Customer Info'!A1660:I2159,5,FALSE)</f>
        <v>#N/A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128</v>
      </c>
      <c r="R1668" s="2" t="s">
        <v>28</v>
      </c>
      <c r="S1668" s="9">
        <f t="shared" si="129"/>
        <v>0.02</v>
      </c>
    </row>
    <row r="1669" spans="1:19" x14ac:dyDescent="0.25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e">
        <f>VLOOKUP('Customer Info'!A1661,'Customer Info'!A1661:I2160,2,FALSE)</f>
        <v>#N/A</v>
      </c>
      <c r="H1669" s="6" t="e">
        <f>VLOOKUP('Customer Info'!A1661,'Customer Info'!A1661:I2161,3,FALSE)</f>
        <v>#N/A</v>
      </c>
      <c r="I1669" s="6" t="e">
        <f>VLOOKUP('Customer Info'!A1661,'Customer Info'!A1661:I2160,5,FALSE)</f>
        <v>#N/A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893</v>
      </c>
      <c r="R1669" s="2" t="s">
        <v>26</v>
      </c>
      <c r="S1669" s="9">
        <f t="shared" si="129"/>
        <v>0.05</v>
      </c>
    </row>
    <row r="1670" spans="1:19" x14ac:dyDescent="0.25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e">
        <f>VLOOKUP('Customer Info'!A1662,'Customer Info'!A1662:I2161,2,FALSE)</f>
        <v>#N/A</v>
      </c>
      <c r="H1670" s="6" t="e">
        <f>VLOOKUP('Customer Info'!A1662,'Customer Info'!A1662:I2162,3,FALSE)</f>
        <v>#N/A</v>
      </c>
      <c r="I1670" s="6" t="e">
        <f>VLOOKUP('Customer Info'!A1662,'Customer Info'!A1662:I2161,5,FALSE)</f>
        <v>#N/A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186</v>
      </c>
      <c r="R1670" s="2" t="s">
        <v>28</v>
      </c>
      <c r="S1670" s="9">
        <f t="shared" si="129"/>
        <v>0.02</v>
      </c>
    </row>
    <row r="1671" spans="1:19" x14ac:dyDescent="0.25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e">
        <f>VLOOKUP('Customer Info'!A1663,'Customer Info'!A1663:I2162,2,FALSE)</f>
        <v>#N/A</v>
      </c>
      <c r="H1671" s="6" t="e">
        <f>VLOOKUP('Customer Info'!A1663,'Customer Info'!A1663:I2163,3,FALSE)</f>
        <v>#N/A</v>
      </c>
      <c r="I1671" s="6" t="e">
        <f>VLOOKUP('Customer Info'!A1663,'Customer Info'!A1663:I2162,5,FALSE)</f>
        <v>#N/A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147</v>
      </c>
      <c r="R1671" s="2" t="s">
        <v>28</v>
      </c>
      <c r="S1671" s="9">
        <f t="shared" si="129"/>
        <v>0.02</v>
      </c>
    </row>
    <row r="1672" spans="1:19" x14ac:dyDescent="0.25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e">
        <f>VLOOKUP('Customer Info'!A1664,'Customer Info'!A1664:I2163,2,FALSE)</f>
        <v>#N/A</v>
      </c>
      <c r="H1672" s="6" t="e">
        <f>VLOOKUP('Customer Info'!A1664,'Customer Info'!A1664:I2164,3,FALSE)</f>
        <v>#N/A</v>
      </c>
      <c r="I1672" s="6" t="e">
        <f>VLOOKUP('Customer Info'!A1664,'Customer Info'!A1664:I2163,5,FALSE)</f>
        <v>#N/A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1355</v>
      </c>
      <c r="R1672" s="2" t="s">
        <v>56</v>
      </c>
      <c r="S1672" s="9">
        <f t="shared" si="129"/>
        <v>0.05</v>
      </c>
    </row>
    <row r="1673" spans="1:19" x14ac:dyDescent="0.25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e">
        <f>VLOOKUP('Customer Info'!A1665,'Customer Info'!A1665:I2164,2,FALSE)</f>
        <v>#N/A</v>
      </c>
      <c r="H1673" s="6" t="e">
        <f>VLOOKUP('Customer Info'!A1665,'Customer Info'!A1665:I2165,3,FALSE)</f>
        <v>#N/A</v>
      </c>
      <c r="I1673" s="6" t="e">
        <f>VLOOKUP('Customer Info'!A1665,'Customer Info'!A1665:I2164,5,FALSE)</f>
        <v>#N/A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421</v>
      </c>
      <c r="R1673" s="2" t="s">
        <v>28</v>
      </c>
      <c r="S1673" s="9">
        <f t="shared" si="129"/>
        <v>0.05</v>
      </c>
    </row>
    <row r="1674" spans="1:19" x14ac:dyDescent="0.25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e">
        <f>VLOOKUP('Customer Info'!A1666,'Customer Info'!A1666:I2165,2,FALSE)</f>
        <v>#N/A</v>
      </c>
      <c r="H1674" s="6" t="e">
        <f>VLOOKUP('Customer Info'!A1666,'Customer Info'!A1666:I2166,3,FALSE)</f>
        <v>#N/A</v>
      </c>
      <c r="I1674" s="6" t="e">
        <f>VLOOKUP('Customer Info'!A1666,'Customer Info'!A1666:I2165,5,FALSE)</f>
        <v>#N/A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361</v>
      </c>
      <c r="R1674" s="2" t="s">
        <v>28</v>
      </c>
      <c r="S1674" s="9">
        <f t="shared" si="129"/>
        <v>0.05</v>
      </c>
    </row>
    <row r="1675" spans="1:19" x14ac:dyDescent="0.25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e">
        <f>VLOOKUP('Customer Info'!A1667,'Customer Info'!A1667:I2166,2,FALSE)</f>
        <v>#N/A</v>
      </c>
      <c r="H1675" s="6" t="e">
        <f>VLOOKUP('Customer Info'!A1667,'Customer Info'!A1667:I2167,3,FALSE)</f>
        <v>#N/A</v>
      </c>
      <c r="I1675" s="6" t="e">
        <f>VLOOKUP('Customer Info'!A1667,'Customer Info'!A1667:I2166,5,FALSE)</f>
        <v>#N/A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8">
        <f t="shared" ref="P1675:P1738" si="132">N1675+O1675</f>
        <v>190</v>
      </c>
      <c r="Q1675" s="8">
        <f t="shared" ref="Q1675:Q1738" si="133">P1675-M1675</f>
        <v>28</v>
      </c>
      <c r="R1675" s="2" t="s">
        <v>26</v>
      </c>
      <c r="S1675" s="9">
        <f t="shared" ref="S1675:S1738" si="134">VLOOKUP(P1675,$T$2:$U$7,2,TRUE)</f>
        <v>0.02</v>
      </c>
    </row>
    <row r="1676" spans="1:19" x14ac:dyDescent="0.25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e">
        <f>VLOOKUP('Customer Info'!A1668,'Customer Info'!A1668:I2167,2,FALSE)</f>
        <v>#N/A</v>
      </c>
      <c r="H1676" s="6" t="e">
        <f>VLOOKUP('Customer Info'!A1668,'Customer Info'!A1668:I2168,3,FALSE)</f>
        <v>#N/A</v>
      </c>
      <c r="I1676" s="6" t="e">
        <f>VLOOKUP('Customer Info'!A1668,'Customer Info'!A1668:I2167,5,FALSE)</f>
        <v>#N/A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12430</v>
      </c>
      <c r="R1676" s="2" t="s">
        <v>56</v>
      </c>
      <c r="S1676" s="9">
        <f t="shared" si="134"/>
        <v>0.12</v>
      </c>
    </row>
    <row r="1677" spans="1:19" x14ac:dyDescent="0.25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e">
        <f>VLOOKUP('Customer Info'!A1669,'Customer Info'!A1669:I2168,2,FALSE)</f>
        <v>#N/A</v>
      </c>
      <c r="H1677" s="6" t="e">
        <f>VLOOKUP('Customer Info'!A1669,'Customer Info'!A1669:I2169,3,FALSE)</f>
        <v>#N/A</v>
      </c>
      <c r="I1677" s="6" t="e">
        <f>VLOOKUP('Customer Info'!A1669,'Customer Info'!A1669:I2168,5,FALSE)</f>
        <v>#N/A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308</v>
      </c>
      <c r="R1677" s="2" t="s">
        <v>28</v>
      </c>
      <c r="S1677" s="9">
        <f t="shared" si="134"/>
        <v>0.05</v>
      </c>
    </row>
    <row r="1678" spans="1:19" x14ac:dyDescent="0.25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e">
        <f>VLOOKUP('Customer Info'!A1670,'Customer Info'!A1670:I2169,2,FALSE)</f>
        <v>#N/A</v>
      </c>
      <c r="H1678" s="6" t="e">
        <f>VLOOKUP('Customer Info'!A1670,'Customer Info'!A1670:I2170,3,FALSE)</f>
        <v>#N/A</v>
      </c>
      <c r="I1678" s="6" t="e">
        <f>VLOOKUP('Customer Info'!A1670,'Customer Info'!A1670:I2169,5,FALSE)</f>
        <v>#N/A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48</v>
      </c>
      <c r="R1678" s="2" t="s">
        <v>28</v>
      </c>
      <c r="S1678" s="9">
        <f t="shared" si="134"/>
        <v>0.02</v>
      </c>
    </row>
    <row r="1679" spans="1:19" x14ac:dyDescent="0.25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e">
        <f>VLOOKUP('Customer Info'!A1671,'Customer Info'!A1671:I2170,2,FALSE)</f>
        <v>#N/A</v>
      </c>
      <c r="H1679" s="6" t="e">
        <f>VLOOKUP('Customer Info'!A1671,'Customer Info'!A1671:I2171,3,FALSE)</f>
        <v>#N/A</v>
      </c>
      <c r="I1679" s="6" t="e">
        <f>VLOOKUP('Customer Info'!A1671,'Customer Info'!A1671:I2170,5,FALSE)</f>
        <v>#N/A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5445</v>
      </c>
      <c r="R1679" s="2" t="s">
        <v>50</v>
      </c>
      <c r="S1679" s="9">
        <f t="shared" si="134"/>
        <v>0.09</v>
      </c>
    </row>
    <row r="1680" spans="1:19" x14ac:dyDescent="0.25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e">
        <f>VLOOKUP('Customer Info'!A1672,'Customer Info'!A1672:I2171,2,FALSE)</f>
        <v>#N/A</v>
      </c>
      <c r="H1680" s="6" t="e">
        <f>VLOOKUP('Customer Info'!A1672,'Customer Info'!A1672:I2172,3,FALSE)</f>
        <v>#N/A</v>
      </c>
      <c r="I1680" s="6" t="e">
        <f>VLOOKUP('Customer Info'!A1672,'Customer Info'!A1672:I2171,5,FALSE)</f>
        <v>#N/A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52</v>
      </c>
      <c r="R1680" s="2" t="s">
        <v>28</v>
      </c>
      <c r="S1680" s="9">
        <f t="shared" si="134"/>
        <v>0.02</v>
      </c>
    </row>
    <row r="1681" spans="1:19" x14ac:dyDescent="0.25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e">
        <f>VLOOKUP('Customer Info'!A1673,'Customer Info'!A1673:I2172,2,FALSE)</f>
        <v>#N/A</v>
      </c>
      <c r="H1681" s="6" t="e">
        <f>VLOOKUP('Customer Info'!A1673,'Customer Info'!A1673:I2173,3,FALSE)</f>
        <v>#N/A</v>
      </c>
      <c r="I1681" s="6" t="e">
        <f>VLOOKUP('Customer Info'!A1673,'Customer Info'!A1673:I2172,5,FALSE)</f>
        <v>#N/A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1923</v>
      </c>
      <c r="R1681" s="2" t="s">
        <v>28</v>
      </c>
      <c r="S1681" s="9">
        <f t="shared" si="134"/>
        <v>0.05</v>
      </c>
    </row>
    <row r="1682" spans="1:19" x14ac:dyDescent="0.25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e">
        <f>VLOOKUP('Customer Info'!A1674,'Customer Info'!A1674:I2173,2,FALSE)</f>
        <v>#N/A</v>
      </c>
      <c r="H1682" s="6" t="e">
        <f>VLOOKUP('Customer Info'!A1674,'Customer Info'!A1674:I2174,3,FALSE)</f>
        <v>#N/A</v>
      </c>
      <c r="I1682" s="6" t="e">
        <f>VLOOKUP('Customer Info'!A1674,'Customer Info'!A1674:I2173,5,FALSE)</f>
        <v>#N/A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126</v>
      </c>
      <c r="R1682" s="2" t="s">
        <v>50</v>
      </c>
      <c r="S1682" s="9">
        <f t="shared" si="134"/>
        <v>0.02</v>
      </c>
    </row>
    <row r="1683" spans="1:19" x14ac:dyDescent="0.25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e">
        <f>VLOOKUP('Customer Info'!A1675,'Customer Info'!A1675:I2174,2,FALSE)</f>
        <v>#N/A</v>
      </c>
      <c r="H1683" s="6" t="e">
        <f>VLOOKUP('Customer Info'!A1675,'Customer Info'!A1675:I2175,3,FALSE)</f>
        <v>#N/A</v>
      </c>
      <c r="I1683" s="6" t="e">
        <f>VLOOKUP('Customer Info'!A1675,'Customer Info'!A1675:I2174,5,FALSE)</f>
        <v>#N/A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26</v>
      </c>
      <c r="R1683" s="2" t="s">
        <v>50</v>
      </c>
      <c r="S1683" s="9">
        <f t="shared" si="134"/>
        <v>0.02</v>
      </c>
    </row>
    <row r="1684" spans="1:19" x14ac:dyDescent="0.25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e">
        <f>VLOOKUP('Customer Info'!A1676,'Customer Info'!A1676:I2175,2,FALSE)</f>
        <v>#N/A</v>
      </c>
      <c r="H1684" s="6" t="e">
        <f>VLOOKUP('Customer Info'!A1676,'Customer Info'!A1676:I2176,3,FALSE)</f>
        <v>#N/A</v>
      </c>
      <c r="I1684" s="6" t="e">
        <f>VLOOKUP('Customer Info'!A1676,'Customer Info'!A1676:I2175,5,FALSE)</f>
        <v>#N/A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266</v>
      </c>
      <c r="R1684" s="2" t="s">
        <v>26</v>
      </c>
      <c r="S1684" s="9">
        <f t="shared" si="134"/>
        <v>0.02</v>
      </c>
    </row>
    <row r="1685" spans="1:19" x14ac:dyDescent="0.25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e">
        <f>VLOOKUP('Customer Info'!A1677,'Customer Info'!A1677:I2176,2,FALSE)</f>
        <v>#N/A</v>
      </c>
      <c r="H1685" s="6" t="e">
        <f>VLOOKUP('Customer Info'!A1677,'Customer Info'!A1677:I2177,3,FALSE)</f>
        <v>#N/A</v>
      </c>
      <c r="I1685" s="6" t="e">
        <f>VLOOKUP('Customer Info'!A1677,'Customer Info'!A1677:I2176,5,FALSE)</f>
        <v>#N/A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50</v>
      </c>
      <c r="R1685" s="2" t="s">
        <v>28</v>
      </c>
      <c r="S1685" s="9">
        <f t="shared" si="134"/>
        <v>0.02</v>
      </c>
    </row>
    <row r="1686" spans="1:19" x14ac:dyDescent="0.25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e">
        <f>VLOOKUP('Customer Info'!A1678,'Customer Info'!A1678:I2177,2,FALSE)</f>
        <v>#N/A</v>
      </c>
      <c r="H1686" s="6" t="e">
        <f>VLOOKUP('Customer Info'!A1678,'Customer Info'!A1678:I2178,3,FALSE)</f>
        <v>#N/A</v>
      </c>
      <c r="I1686" s="6" t="e">
        <f>VLOOKUP('Customer Info'!A1678,'Customer Info'!A1678:I2177,5,FALSE)</f>
        <v>#N/A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84</v>
      </c>
      <c r="R1686" s="2" t="s">
        <v>28</v>
      </c>
      <c r="S1686" s="9">
        <f t="shared" si="134"/>
        <v>0.02</v>
      </c>
    </row>
    <row r="1687" spans="1:19" x14ac:dyDescent="0.25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e">
        <f>VLOOKUP('Customer Info'!A1679,'Customer Info'!A1679:I2178,2,FALSE)</f>
        <v>#N/A</v>
      </c>
      <c r="H1687" s="6" t="e">
        <f>VLOOKUP('Customer Info'!A1679,'Customer Info'!A1679:I2179,3,FALSE)</f>
        <v>#N/A</v>
      </c>
      <c r="I1687" s="6" t="e">
        <f>VLOOKUP('Customer Info'!A1679,'Customer Info'!A1679:I2178,5,FALSE)</f>
        <v>#N/A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90</v>
      </c>
      <c r="R1687" s="2" t="s">
        <v>28</v>
      </c>
      <c r="S1687" s="9">
        <f t="shared" si="134"/>
        <v>0.02</v>
      </c>
    </row>
    <row r="1688" spans="1:19" x14ac:dyDescent="0.25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e">
        <f>VLOOKUP('Customer Info'!A1680,'Customer Info'!A1680:I2179,2,FALSE)</f>
        <v>#N/A</v>
      </c>
      <c r="H1688" s="6" t="e">
        <f>VLOOKUP('Customer Info'!A1680,'Customer Info'!A1680:I2180,3,FALSE)</f>
        <v>#N/A</v>
      </c>
      <c r="I1688" s="6" t="e">
        <f>VLOOKUP('Customer Info'!A1680,'Customer Info'!A1680:I2179,5,FALSE)</f>
        <v>#N/A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439</v>
      </c>
      <c r="R1688" s="2" t="s">
        <v>50</v>
      </c>
      <c r="S1688" s="9">
        <f t="shared" si="134"/>
        <v>0.05</v>
      </c>
    </row>
    <row r="1689" spans="1:19" x14ac:dyDescent="0.25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e">
        <f>VLOOKUP('Customer Info'!A1681,'Customer Info'!A1681:I2180,2,FALSE)</f>
        <v>#N/A</v>
      </c>
      <c r="H1689" s="6" t="e">
        <f>VLOOKUP('Customer Info'!A1681,'Customer Info'!A1681:I2181,3,FALSE)</f>
        <v>#N/A</v>
      </c>
      <c r="I1689" s="6" t="e">
        <f>VLOOKUP('Customer Info'!A1681,'Customer Info'!A1681:I2180,5,FALSE)</f>
        <v>#N/A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86</v>
      </c>
      <c r="R1689" s="2" t="s">
        <v>28</v>
      </c>
      <c r="S1689" s="9">
        <f t="shared" si="134"/>
        <v>0.02</v>
      </c>
    </row>
    <row r="1690" spans="1:19" x14ac:dyDescent="0.25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e">
        <f>VLOOKUP('Customer Info'!A1682,'Customer Info'!A1682:I2181,2,FALSE)</f>
        <v>#N/A</v>
      </c>
      <c r="H1690" s="6" t="e">
        <f>VLOOKUP('Customer Info'!A1682,'Customer Info'!A1682:I2182,3,FALSE)</f>
        <v>#N/A</v>
      </c>
      <c r="I1690" s="6" t="e">
        <f>VLOOKUP('Customer Info'!A1682,'Customer Info'!A1682:I2181,5,FALSE)</f>
        <v>#N/A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250</v>
      </c>
      <c r="R1690" s="2" t="s">
        <v>28</v>
      </c>
      <c r="S1690" s="9">
        <f t="shared" si="134"/>
        <v>0.05</v>
      </c>
    </row>
    <row r="1691" spans="1:19" x14ac:dyDescent="0.25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e">
        <f>VLOOKUP('Customer Info'!A1683,'Customer Info'!A1683:I2182,2,FALSE)</f>
        <v>#N/A</v>
      </c>
      <c r="H1691" s="6" t="e">
        <f>VLOOKUP('Customer Info'!A1683,'Customer Info'!A1683:I2183,3,FALSE)</f>
        <v>#N/A</v>
      </c>
      <c r="I1691" s="6" t="e">
        <f>VLOOKUP('Customer Info'!A1683,'Customer Info'!A1683:I2182,5,FALSE)</f>
        <v>#N/A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1582</v>
      </c>
      <c r="R1691" s="2" t="s">
        <v>50</v>
      </c>
      <c r="S1691" s="9">
        <f t="shared" si="134"/>
        <v>0.05</v>
      </c>
    </row>
    <row r="1692" spans="1:19" x14ac:dyDescent="0.25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e">
        <f>VLOOKUP('Customer Info'!A1684,'Customer Info'!A1684:I2183,2,FALSE)</f>
        <v>#N/A</v>
      </c>
      <c r="H1692" s="6" t="e">
        <f>VLOOKUP('Customer Info'!A1684,'Customer Info'!A1684:I2184,3,FALSE)</f>
        <v>#N/A</v>
      </c>
      <c r="I1692" s="6" t="e">
        <f>VLOOKUP('Customer Info'!A1684,'Customer Info'!A1684:I2183,5,FALSE)</f>
        <v>#N/A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403</v>
      </c>
      <c r="R1692" s="2" t="s">
        <v>28</v>
      </c>
      <c r="S1692" s="9">
        <f t="shared" si="134"/>
        <v>0.05</v>
      </c>
    </row>
    <row r="1693" spans="1:19" x14ac:dyDescent="0.25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e">
        <f>VLOOKUP('Customer Info'!A1685,'Customer Info'!A1685:I2184,2,FALSE)</f>
        <v>#N/A</v>
      </c>
      <c r="H1693" s="6" t="e">
        <f>VLOOKUP('Customer Info'!A1685,'Customer Info'!A1685:I2185,3,FALSE)</f>
        <v>#N/A</v>
      </c>
      <c r="I1693" s="6" t="e">
        <f>VLOOKUP('Customer Info'!A1685,'Customer Info'!A1685:I2184,5,FALSE)</f>
        <v>#N/A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1283</v>
      </c>
      <c r="R1693" s="2" t="s">
        <v>26</v>
      </c>
      <c r="S1693" s="9">
        <f t="shared" si="134"/>
        <v>0.05</v>
      </c>
    </row>
    <row r="1694" spans="1:19" x14ac:dyDescent="0.25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e">
        <f>VLOOKUP('Customer Info'!A1686,'Customer Info'!A1686:I2185,2,FALSE)</f>
        <v>#N/A</v>
      </c>
      <c r="H1694" s="6" t="e">
        <f>VLOOKUP('Customer Info'!A1686,'Customer Info'!A1686:I2186,3,FALSE)</f>
        <v>#N/A</v>
      </c>
      <c r="I1694" s="6" t="e">
        <f>VLOOKUP('Customer Info'!A1686,'Customer Info'!A1686:I2185,5,FALSE)</f>
        <v>#N/A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220</v>
      </c>
      <c r="R1694" s="2" t="s">
        <v>28</v>
      </c>
      <c r="S1694" s="9">
        <f t="shared" si="134"/>
        <v>0.02</v>
      </c>
    </row>
    <row r="1695" spans="1:19" x14ac:dyDescent="0.25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e">
        <f>VLOOKUP('Customer Info'!A1687,'Customer Info'!A1687:I2186,2,FALSE)</f>
        <v>#N/A</v>
      </c>
      <c r="H1695" s="6" t="e">
        <f>VLOOKUP('Customer Info'!A1687,'Customer Info'!A1687:I2187,3,FALSE)</f>
        <v>#N/A</v>
      </c>
      <c r="I1695" s="6" t="e">
        <f>VLOOKUP('Customer Info'!A1687,'Customer Info'!A1687:I2186,5,FALSE)</f>
        <v>#N/A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242</v>
      </c>
      <c r="R1695" s="2" t="s">
        <v>50</v>
      </c>
      <c r="S1695" s="9">
        <f t="shared" si="134"/>
        <v>0.05</v>
      </c>
    </row>
    <row r="1696" spans="1:19" x14ac:dyDescent="0.25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e">
        <f>VLOOKUP('Customer Info'!A1688,'Customer Info'!A1688:I2187,2,FALSE)</f>
        <v>#N/A</v>
      </c>
      <c r="H1696" s="6" t="e">
        <f>VLOOKUP('Customer Info'!A1688,'Customer Info'!A1688:I2188,3,FALSE)</f>
        <v>#N/A</v>
      </c>
      <c r="I1696" s="6" t="e">
        <f>VLOOKUP('Customer Info'!A1688,'Customer Info'!A1688:I2187,5,FALSE)</f>
        <v>#N/A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18</v>
      </c>
      <c r="R1696" s="2" t="s">
        <v>28</v>
      </c>
      <c r="S1696" s="9">
        <f t="shared" si="134"/>
        <v>0.02</v>
      </c>
    </row>
    <row r="1697" spans="1:19" x14ac:dyDescent="0.25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e">
        <f>VLOOKUP('Customer Info'!A1689,'Customer Info'!A1689:I2188,2,FALSE)</f>
        <v>#N/A</v>
      </c>
      <c r="H1697" s="6" t="e">
        <f>VLOOKUP('Customer Info'!A1689,'Customer Info'!A1689:I2189,3,FALSE)</f>
        <v>#N/A</v>
      </c>
      <c r="I1697" s="6" t="e">
        <f>VLOOKUP('Customer Info'!A1689,'Customer Info'!A1689:I2188,5,FALSE)</f>
        <v>#N/A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30</v>
      </c>
      <c r="R1697" s="2" t="s">
        <v>28</v>
      </c>
      <c r="S1697" s="9">
        <f t="shared" si="134"/>
        <v>0.02</v>
      </c>
    </row>
    <row r="1698" spans="1:19" x14ac:dyDescent="0.25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e">
        <f>VLOOKUP('Customer Info'!A1690,'Customer Info'!A1690:I2189,2,FALSE)</f>
        <v>#N/A</v>
      </c>
      <c r="H1698" s="6" t="e">
        <f>VLOOKUP('Customer Info'!A1690,'Customer Info'!A1690:I2190,3,FALSE)</f>
        <v>#N/A</v>
      </c>
      <c r="I1698" s="6" t="e">
        <f>VLOOKUP('Customer Info'!A1690,'Customer Info'!A1690:I2189,5,FALSE)</f>
        <v>#N/A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3094</v>
      </c>
      <c r="R1698" s="2" t="s">
        <v>26</v>
      </c>
      <c r="S1698" s="9">
        <f t="shared" si="134"/>
        <v>0.12</v>
      </c>
    </row>
    <row r="1699" spans="1:19" x14ac:dyDescent="0.25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e">
        <f>VLOOKUP('Customer Info'!A1691,'Customer Info'!A1691:I2190,2,FALSE)</f>
        <v>#N/A</v>
      </c>
      <c r="H1699" s="6" t="e">
        <f>VLOOKUP('Customer Info'!A1691,'Customer Info'!A1691:I2191,3,FALSE)</f>
        <v>#N/A</v>
      </c>
      <c r="I1699" s="6" t="e">
        <f>VLOOKUP('Customer Info'!A1691,'Customer Info'!A1691:I2190,5,FALSE)</f>
        <v>#N/A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139</v>
      </c>
      <c r="R1699" s="2" t="s">
        <v>28</v>
      </c>
      <c r="S1699" s="9">
        <f t="shared" si="134"/>
        <v>0.02</v>
      </c>
    </row>
    <row r="1700" spans="1:19" x14ac:dyDescent="0.25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e">
        <f>VLOOKUP('Customer Info'!A1692,'Customer Info'!A1692:I2191,2,FALSE)</f>
        <v>#N/A</v>
      </c>
      <c r="H1700" s="6" t="e">
        <f>VLOOKUP('Customer Info'!A1692,'Customer Info'!A1692:I2192,3,FALSE)</f>
        <v>#N/A</v>
      </c>
      <c r="I1700" s="6" t="e">
        <f>VLOOKUP('Customer Info'!A1692,'Customer Info'!A1692:I2191,5,FALSE)</f>
        <v>#N/A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1032</v>
      </c>
      <c r="R1700" s="2" t="s">
        <v>28</v>
      </c>
      <c r="S1700" s="9">
        <f t="shared" si="134"/>
        <v>0.05</v>
      </c>
    </row>
    <row r="1701" spans="1:19" x14ac:dyDescent="0.25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e">
        <f>VLOOKUP('Customer Info'!A1693,'Customer Info'!A1693:I2192,2,FALSE)</f>
        <v>#N/A</v>
      </c>
      <c r="H1701" s="6" t="e">
        <f>VLOOKUP('Customer Info'!A1693,'Customer Info'!A1693:I2193,3,FALSE)</f>
        <v>#N/A</v>
      </c>
      <c r="I1701" s="6" t="e">
        <f>VLOOKUP('Customer Info'!A1693,'Customer Info'!A1693:I2192,5,FALSE)</f>
        <v>#N/A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190</v>
      </c>
      <c r="R1701" s="2" t="s">
        <v>28</v>
      </c>
      <c r="S1701" s="9">
        <f t="shared" si="134"/>
        <v>0.02</v>
      </c>
    </row>
    <row r="1702" spans="1:19" x14ac:dyDescent="0.25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e">
        <f>VLOOKUP('Customer Info'!A1694,'Customer Info'!A1694:I2193,2,FALSE)</f>
        <v>#N/A</v>
      </c>
      <c r="H1702" s="6" t="e">
        <f>VLOOKUP('Customer Info'!A1694,'Customer Info'!A1694:I2194,3,FALSE)</f>
        <v>#N/A</v>
      </c>
      <c r="I1702" s="6" t="e">
        <f>VLOOKUP('Customer Info'!A1694,'Customer Info'!A1694:I2193,5,FALSE)</f>
        <v>#N/A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1376</v>
      </c>
      <c r="R1702" s="2" t="s">
        <v>56</v>
      </c>
      <c r="S1702" s="9">
        <f t="shared" si="134"/>
        <v>0.05</v>
      </c>
    </row>
    <row r="1703" spans="1:19" x14ac:dyDescent="0.25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e">
        <f>VLOOKUP('Customer Info'!A1695,'Customer Info'!A1695:I2194,2,FALSE)</f>
        <v>#N/A</v>
      </c>
      <c r="H1703" s="6" t="e">
        <f>VLOOKUP('Customer Info'!A1695,'Customer Info'!A1695:I2195,3,FALSE)</f>
        <v>#N/A</v>
      </c>
      <c r="I1703" s="6" t="e">
        <f>VLOOKUP('Customer Info'!A1695,'Customer Info'!A1695:I2194,5,FALSE)</f>
        <v>#N/A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223</v>
      </c>
      <c r="R1703" s="2" t="s">
        <v>28</v>
      </c>
      <c r="S1703" s="9">
        <f t="shared" si="134"/>
        <v>0.02</v>
      </c>
    </row>
    <row r="1704" spans="1:19" x14ac:dyDescent="0.25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e">
        <f>VLOOKUP('Customer Info'!A1696,'Customer Info'!A1696:I2195,2,FALSE)</f>
        <v>#N/A</v>
      </c>
      <c r="H1704" s="6" t="e">
        <f>VLOOKUP('Customer Info'!A1696,'Customer Info'!A1696:I2196,3,FALSE)</f>
        <v>#N/A</v>
      </c>
      <c r="I1704" s="6" t="e">
        <f>VLOOKUP('Customer Info'!A1696,'Customer Info'!A1696:I2195,5,FALSE)</f>
        <v>#N/A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541</v>
      </c>
      <c r="R1704" s="2" t="s">
        <v>28</v>
      </c>
      <c r="S1704" s="9">
        <f t="shared" si="134"/>
        <v>0.05</v>
      </c>
    </row>
    <row r="1705" spans="1:19" x14ac:dyDescent="0.25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e">
        <f>VLOOKUP('Customer Info'!A1697,'Customer Info'!A1697:I2196,2,FALSE)</f>
        <v>#N/A</v>
      </c>
      <c r="H1705" s="6" t="e">
        <f>VLOOKUP('Customer Info'!A1697,'Customer Info'!A1697:I2197,3,FALSE)</f>
        <v>#N/A</v>
      </c>
      <c r="I1705" s="6" t="e">
        <f>VLOOKUP('Customer Info'!A1697,'Customer Info'!A1697:I2196,5,FALSE)</f>
        <v>#N/A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170</v>
      </c>
      <c r="R1705" s="2" t="s">
        <v>26</v>
      </c>
      <c r="S1705" s="9">
        <f t="shared" si="134"/>
        <v>0.02</v>
      </c>
    </row>
    <row r="1706" spans="1:19" x14ac:dyDescent="0.25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e">
        <f>VLOOKUP('Customer Info'!A1698,'Customer Info'!A1698:I2197,2,FALSE)</f>
        <v>#N/A</v>
      </c>
      <c r="H1706" s="6" t="e">
        <f>VLOOKUP('Customer Info'!A1698,'Customer Info'!A1698:I2198,3,FALSE)</f>
        <v>#N/A</v>
      </c>
      <c r="I1706" s="6" t="e">
        <f>VLOOKUP('Customer Info'!A1698,'Customer Info'!A1698:I2197,5,FALSE)</f>
        <v>#N/A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142</v>
      </c>
      <c r="R1706" s="2" t="s">
        <v>28</v>
      </c>
      <c r="S1706" s="9">
        <f t="shared" si="134"/>
        <v>0.02</v>
      </c>
    </row>
    <row r="1707" spans="1:19" x14ac:dyDescent="0.25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e">
        <f>VLOOKUP('Customer Info'!A1699,'Customer Info'!A1699:I2198,2,FALSE)</f>
        <v>#N/A</v>
      </c>
      <c r="H1707" s="6" t="e">
        <f>VLOOKUP('Customer Info'!A1699,'Customer Info'!A1699:I2199,3,FALSE)</f>
        <v>#N/A</v>
      </c>
      <c r="I1707" s="6" t="e">
        <f>VLOOKUP('Customer Info'!A1699,'Customer Info'!A1699:I2198,5,FALSE)</f>
        <v>#N/A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112</v>
      </c>
      <c r="R1707" s="2" t="s">
        <v>28</v>
      </c>
      <c r="S1707" s="9">
        <f t="shared" si="134"/>
        <v>0.02</v>
      </c>
    </row>
    <row r="1708" spans="1:19" x14ac:dyDescent="0.25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e">
        <f>VLOOKUP('Customer Info'!A1700,'Customer Info'!A1700:I2199,2,FALSE)</f>
        <v>#N/A</v>
      </c>
      <c r="H1708" s="6" t="e">
        <f>VLOOKUP('Customer Info'!A1700,'Customer Info'!A1700:I2200,3,FALSE)</f>
        <v>#N/A</v>
      </c>
      <c r="I1708" s="6" t="e">
        <f>VLOOKUP('Customer Info'!A1700,'Customer Info'!A1700:I2199,5,FALSE)</f>
        <v>#N/A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122</v>
      </c>
      <c r="R1708" s="2" t="s">
        <v>28</v>
      </c>
      <c r="S1708" s="9">
        <f t="shared" si="134"/>
        <v>0.02</v>
      </c>
    </row>
    <row r="1709" spans="1:19" x14ac:dyDescent="0.25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e">
        <f>VLOOKUP('Customer Info'!A1701,'Customer Info'!A1701:I2200,2,FALSE)</f>
        <v>#N/A</v>
      </c>
      <c r="H1709" s="6" t="e">
        <f>VLOOKUP('Customer Info'!A1701,'Customer Info'!A1701:I2201,3,FALSE)</f>
        <v>#N/A</v>
      </c>
      <c r="I1709" s="6" t="e">
        <f>VLOOKUP('Customer Info'!A1701,'Customer Info'!A1701:I2200,5,FALSE)</f>
        <v>#N/A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315</v>
      </c>
      <c r="R1709" s="2" t="s">
        <v>28</v>
      </c>
      <c r="S1709" s="9">
        <f t="shared" si="134"/>
        <v>0.02</v>
      </c>
    </row>
    <row r="1710" spans="1:19" x14ac:dyDescent="0.25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e">
        <f>VLOOKUP('Customer Info'!A1702,'Customer Info'!A1702:I2201,2,FALSE)</f>
        <v>#N/A</v>
      </c>
      <c r="H1710" s="6" t="e">
        <f>VLOOKUP('Customer Info'!A1702,'Customer Info'!A1702:I2202,3,FALSE)</f>
        <v>#N/A</v>
      </c>
      <c r="I1710" s="6" t="e">
        <f>VLOOKUP('Customer Info'!A1702,'Customer Info'!A1702:I2201,5,FALSE)</f>
        <v>#N/A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3220</v>
      </c>
      <c r="R1710" s="2" t="s">
        <v>50</v>
      </c>
      <c r="S1710" s="9">
        <f t="shared" si="134"/>
        <v>7.0000000000000007E-2</v>
      </c>
    </row>
    <row r="1711" spans="1:19" x14ac:dyDescent="0.25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e">
        <f>VLOOKUP('Customer Info'!A1703,'Customer Info'!A1703:I2202,2,FALSE)</f>
        <v>#N/A</v>
      </c>
      <c r="H1711" s="6" t="e">
        <f>VLOOKUP('Customer Info'!A1703,'Customer Info'!A1703:I2203,3,FALSE)</f>
        <v>#N/A</v>
      </c>
      <c r="I1711" s="6" t="e">
        <f>VLOOKUP('Customer Info'!A1703,'Customer Info'!A1703:I2202,5,FALSE)</f>
        <v>#N/A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263</v>
      </c>
      <c r="R1711" s="2" t="s">
        <v>50</v>
      </c>
      <c r="S1711" s="9">
        <f t="shared" si="134"/>
        <v>0.02</v>
      </c>
    </row>
    <row r="1712" spans="1:19" x14ac:dyDescent="0.25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e">
        <f>VLOOKUP('Customer Info'!A1704,'Customer Info'!A1704:I2203,2,FALSE)</f>
        <v>#N/A</v>
      </c>
      <c r="H1712" s="6" t="e">
        <f>VLOOKUP('Customer Info'!A1704,'Customer Info'!A1704:I2204,3,FALSE)</f>
        <v>#N/A</v>
      </c>
      <c r="I1712" s="6" t="e">
        <f>VLOOKUP('Customer Info'!A1704,'Customer Info'!A1704:I2203,5,FALSE)</f>
        <v>#N/A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14</v>
      </c>
      <c r="R1712" s="2" t="s">
        <v>50</v>
      </c>
      <c r="S1712" s="9">
        <f t="shared" si="134"/>
        <v>0.02</v>
      </c>
    </row>
    <row r="1713" spans="1:19" x14ac:dyDescent="0.25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e">
        <f>VLOOKUP('Customer Info'!A1705,'Customer Info'!A1705:I2204,2,FALSE)</f>
        <v>#N/A</v>
      </c>
      <c r="H1713" s="6" t="e">
        <f>VLOOKUP('Customer Info'!A1705,'Customer Info'!A1705:I2205,3,FALSE)</f>
        <v>#N/A</v>
      </c>
      <c r="I1713" s="6" t="e">
        <f>VLOOKUP('Customer Info'!A1705,'Customer Info'!A1705:I2204,5,FALSE)</f>
        <v>#N/A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194</v>
      </c>
      <c r="R1713" s="2" t="s">
        <v>50</v>
      </c>
      <c r="S1713" s="9">
        <f t="shared" si="134"/>
        <v>0.02</v>
      </c>
    </row>
    <row r="1714" spans="1:19" x14ac:dyDescent="0.25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e">
        <f>VLOOKUP('Customer Info'!A1706,'Customer Info'!A1706:I2205,2,FALSE)</f>
        <v>#N/A</v>
      </c>
      <c r="H1714" s="6" t="e">
        <f>VLOOKUP('Customer Info'!A1706,'Customer Info'!A1706:I2206,3,FALSE)</f>
        <v>#N/A</v>
      </c>
      <c r="I1714" s="6" t="e">
        <f>VLOOKUP('Customer Info'!A1706,'Customer Info'!A1706:I2205,5,FALSE)</f>
        <v>#N/A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73</v>
      </c>
      <c r="R1714" s="2" t="s">
        <v>50</v>
      </c>
      <c r="S1714" s="9">
        <f t="shared" si="134"/>
        <v>0.02</v>
      </c>
    </row>
    <row r="1715" spans="1:19" x14ac:dyDescent="0.25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e">
        <f>VLOOKUP('Customer Info'!A1707,'Customer Info'!A1707:I2206,2,FALSE)</f>
        <v>#N/A</v>
      </c>
      <c r="H1715" s="6" t="e">
        <f>VLOOKUP('Customer Info'!A1707,'Customer Info'!A1707:I2207,3,FALSE)</f>
        <v>#N/A</v>
      </c>
      <c r="I1715" s="6" t="e">
        <f>VLOOKUP('Customer Info'!A1707,'Customer Info'!A1707:I2206,5,FALSE)</f>
        <v>#N/A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179</v>
      </c>
      <c r="R1715" s="2" t="s">
        <v>28</v>
      </c>
      <c r="S1715" s="9">
        <f t="shared" si="134"/>
        <v>0.02</v>
      </c>
    </row>
    <row r="1716" spans="1:19" x14ac:dyDescent="0.25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e">
        <f>VLOOKUP('Customer Info'!A1708,'Customer Info'!A1708:I2207,2,FALSE)</f>
        <v>#N/A</v>
      </c>
      <c r="H1716" s="6" t="e">
        <f>VLOOKUP('Customer Info'!A1708,'Customer Info'!A1708:I2208,3,FALSE)</f>
        <v>#N/A</v>
      </c>
      <c r="I1716" s="6" t="e">
        <f>VLOOKUP('Customer Info'!A1708,'Customer Info'!A1708:I2207,5,FALSE)</f>
        <v>#N/A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63</v>
      </c>
      <c r="R1716" s="2" t="s">
        <v>28</v>
      </c>
      <c r="S1716" s="9">
        <f t="shared" si="134"/>
        <v>0.02</v>
      </c>
    </row>
    <row r="1717" spans="1:19" x14ac:dyDescent="0.25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e">
        <f>VLOOKUP('Customer Info'!A1709,'Customer Info'!A1709:I2208,2,FALSE)</f>
        <v>#N/A</v>
      </c>
      <c r="H1717" s="6" t="e">
        <f>VLOOKUP('Customer Info'!A1709,'Customer Info'!A1709:I2209,3,FALSE)</f>
        <v>#N/A</v>
      </c>
      <c r="I1717" s="6" t="e">
        <f>VLOOKUP('Customer Info'!A1709,'Customer Info'!A1709:I2208,5,FALSE)</f>
        <v>#N/A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757</v>
      </c>
      <c r="R1717" s="2" t="s">
        <v>28</v>
      </c>
      <c r="S1717" s="9">
        <f t="shared" si="134"/>
        <v>0.05</v>
      </c>
    </row>
    <row r="1718" spans="1:19" x14ac:dyDescent="0.25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e">
        <f>VLOOKUP('Customer Info'!A1710,'Customer Info'!A1710:I2209,2,FALSE)</f>
        <v>#N/A</v>
      </c>
      <c r="H1718" s="6" t="e">
        <f>VLOOKUP('Customer Info'!A1710,'Customer Info'!A1710:I2210,3,FALSE)</f>
        <v>#N/A</v>
      </c>
      <c r="I1718" s="6" t="e">
        <f>VLOOKUP('Customer Info'!A1710,'Customer Info'!A1710:I2209,5,FALSE)</f>
        <v>#N/A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192</v>
      </c>
      <c r="R1718" s="2" t="s">
        <v>26</v>
      </c>
      <c r="S1718" s="9">
        <f t="shared" si="134"/>
        <v>0.05</v>
      </c>
    </row>
    <row r="1719" spans="1:19" x14ac:dyDescent="0.25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e">
        <f>VLOOKUP('Customer Info'!A1711,'Customer Info'!A1711:I2210,2,FALSE)</f>
        <v>#N/A</v>
      </c>
      <c r="H1719" s="6" t="e">
        <f>VLOOKUP('Customer Info'!A1711,'Customer Info'!A1711:I2211,3,FALSE)</f>
        <v>#N/A</v>
      </c>
      <c r="I1719" s="6" t="e">
        <f>VLOOKUP('Customer Info'!A1711,'Customer Info'!A1711:I2210,5,FALSE)</f>
        <v>#N/A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2591</v>
      </c>
      <c r="R1719" s="2" t="s">
        <v>50</v>
      </c>
      <c r="S1719" s="9">
        <f t="shared" si="134"/>
        <v>7.0000000000000007E-2</v>
      </c>
    </row>
    <row r="1720" spans="1:19" x14ac:dyDescent="0.25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e">
        <f>VLOOKUP('Customer Info'!A1712,'Customer Info'!A1712:I2211,2,FALSE)</f>
        <v>#N/A</v>
      </c>
      <c r="H1720" s="6" t="e">
        <f>VLOOKUP('Customer Info'!A1712,'Customer Info'!A1712:I2212,3,FALSE)</f>
        <v>#N/A</v>
      </c>
      <c r="I1720" s="6" t="e">
        <f>VLOOKUP('Customer Info'!A1712,'Customer Info'!A1712:I2211,5,FALSE)</f>
        <v>#N/A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137</v>
      </c>
      <c r="R1720" s="2" t="s">
        <v>28</v>
      </c>
      <c r="S1720" s="9">
        <f t="shared" si="134"/>
        <v>0.02</v>
      </c>
    </row>
    <row r="1721" spans="1:19" x14ac:dyDescent="0.25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e">
        <f>VLOOKUP('Customer Info'!A1713,'Customer Info'!A1713:I2212,2,FALSE)</f>
        <v>#N/A</v>
      </c>
      <c r="H1721" s="6" t="e">
        <f>VLOOKUP('Customer Info'!A1713,'Customer Info'!A1713:I2213,3,FALSE)</f>
        <v>#N/A</v>
      </c>
      <c r="I1721" s="6" t="e">
        <f>VLOOKUP('Customer Info'!A1713,'Customer Info'!A1713:I2212,5,FALSE)</f>
        <v>#N/A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46</v>
      </c>
      <c r="R1721" s="2" t="s">
        <v>28</v>
      </c>
      <c r="S1721" s="9">
        <f t="shared" si="134"/>
        <v>0.02</v>
      </c>
    </row>
    <row r="1722" spans="1:19" x14ac:dyDescent="0.25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e">
        <f>VLOOKUP('Customer Info'!A1714,'Customer Info'!A1714:I2213,2,FALSE)</f>
        <v>#N/A</v>
      </c>
      <c r="H1722" s="6" t="e">
        <f>VLOOKUP('Customer Info'!A1714,'Customer Info'!A1714:I2214,3,FALSE)</f>
        <v>#N/A</v>
      </c>
      <c r="I1722" s="6" t="e">
        <f>VLOOKUP('Customer Info'!A1714,'Customer Info'!A1714:I2213,5,FALSE)</f>
        <v>#N/A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456</v>
      </c>
      <c r="R1722" s="2" t="s">
        <v>50</v>
      </c>
      <c r="S1722" s="9">
        <f t="shared" si="134"/>
        <v>0.05</v>
      </c>
    </row>
    <row r="1723" spans="1:19" x14ac:dyDescent="0.25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e">
        <f>VLOOKUP('Customer Info'!A1715,'Customer Info'!A1715:I2214,2,FALSE)</f>
        <v>#N/A</v>
      </c>
      <c r="H1723" s="6" t="e">
        <f>VLOOKUP('Customer Info'!A1715,'Customer Info'!A1715:I2215,3,FALSE)</f>
        <v>#N/A</v>
      </c>
      <c r="I1723" s="6" t="e">
        <f>VLOOKUP('Customer Info'!A1715,'Customer Info'!A1715:I2214,5,FALSE)</f>
        <v>#N/A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211</v>
      </c>
      <c r="R1723" s="2" t="s">
        <v>50</v>
      </c>
      <c r="S1723" s="9">
        <f t="shared" si="134"/>
        <v>0.02</v>
      </c>
    </row>
    <row r="1724" spans="1:19" x14ac:dyDescent="0.25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e">
        <f>VLOOKUP('Customer Info'!A1716,'Customer Info'!A1716:I2215,2,FALSE)</f>
        <v>#N/A</v>
      </c>
      <c r="H1724" s="6" t="e">
        <f>VLOOKUP('Customer Info'!A1716,'Customer Info'!A1716:I2216,3,FALSE)</f>
        <v>#N/A</v>
      </c>
      <c r="I1724" s="6" t="e">
        <f>VLOOKUP('Customer Info'!A1716,'Customer Info'!A1716:I2215,5,FALSE)</f>
        <v>#N/A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495</v>
      </c>
      <c r="R1724" s="2" t="s">
        <v>28</v>
      </c>
      <c r="S1724" s="9">
        <f t="shared" si="134"/>
        <v>0.05</v>
      </c>
    </row>
    <row r="1725" spans="1:19" x14ac:dyDescent="0.25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e">
        <f>VLOOKUP('Customer Info'!A1717,'Customer Info'!A1717:I2216,2,FALSE)</f>
        <v>#N/A</v>
      </c>
      <c r="H1725" s="6" t="e">
        <f>VLOOKUP('Customer Info'!A1717,'Customer Info'!A1717:I2217,3,FALSE)</f>
        <v>#N/A</v>
      </c>
      <c r="I1725" s="6" t="e">
        <f>VLOOKUP('Customer Info'!A1717,'Customer Info'!A1717:I2216,5,FALSE)</f>
        <v>#N/A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338</v>
      </c>
      <c r="R1725" s="2" t="s">
        <v>50</v>
      </c>
      <c r="S1725" s="9">
        <f t="shared" si="134"/>
        <v>0.05</v>
      </c>
    </row>
    <row r="1726" spans="1:19" x14ac:dyDescent="0.25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e">
        <f>VLOOKUP('Customer Info'!A1718,'Customer Info'!A1718:I2217,2,FALSE)</f>
        <v>#N/A</v>
      </c>
      <c r="H1726" s="6" t="e">
        <f>VLOOKUP('Customer Info'!A1718,'Customer Info'!A1718:I2218,3,FALSE)</f>
        <v>#N/A</v>
      </c>
      <c r="I1726" s="6" t="e">
        <f>VLOOKUP('Customer Info'!A1718,'Customer Info'!A1718:I2217,5,FALSE)</f>
        <v>#N/A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3573</v>
      </c>
      <c r="R1726" s="2" t="s">
        <v>50</v>
      </c>
      <c r="S1726" s="9">
        <f t="shared" si="134"/>
        <v>7.0000000000000007E-2</v>
      </c>
    </row>
    <row r="1727" spans="1:19" x14ac:dyDescent="0.25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e">
        <f>VLOOKUP('Customer Info'!A1719,'Customer Info'!A1719:I2218,2,FALSE)</f>
        <v>#N/A</v>
      </c>
      <c r="H1727" s="6" t="e">
        <f>VLOOKUP('Customer Info'!A1719,'Customer Info'!A1719:I2219,3,FALSE)</f>
        <v>#N/A</v>
      </c>
      <c r="I1727" s="6" t="e">
        <f>VLOOKUP('Customer Info'!A1719,'Customer Info'!A1719:I2218,5,FALSE)</f>
        <v>#N/A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272</v>
      </c>
      <c r="R1727" s="2" t="s">
        <v>28</v>
      </c>
      <c r="S1727" s="9">
        <f t="shared" si="134"/>
        <v>0.02</v>
      </c>
    </row>
    <row r="1728" spans="1:19" x14ac:dyDescent="0.25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e">
        <f>VLOOKUP('Customer Info'!A1720,'Customer Info'!A1720:I2219,2,FALSE)</f>
        <v>#N/A</v>
      </c>
      <c r="H1728" s="6" t="e">
        <f>VLOOKUP('Customer Info'!A1720,'Customer Info'!A1720:I2220,3,FALSE)</f>
        <v>#N/A</v>
      </c>
      <c r="I1728" s="6" t="e">
        <f>VLOOKUP('Customer Info'!A1720,'Customer Info'!A1720:I2219,5,FALSE)</f>
        <v>#N/A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307</v>
      </c>
      <c r="R1728" s="2" t="s">
        <v>50</v>
      </c>
      <c r="S1728" s="9">
        <f t="shared" si="134"/>
        <v>0.02</v>
      </c>
    </row>
    <row r="1729" spans="1:19" x14ac:dyDescent="0.25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e">
        <f>VLOOKUP('Customer Info'!A1721,'Customer Info'!A1721:I2220,2,FALSE)</f>
        <v>#N/A</v>
      </c>
      <c r="H1729" s="6" t="e">
        <f>VLOOKUP('Customer Info'!A1721,'Customer Info'!A1721:I2221,3,FALSE)</f>
        <v>#N/A</v>
      </c>
      <c r="I1729" s="6" t="e">
        <f>VLOOKUP('Customer Info'!A1721,'Customer Info'!A1721:I2220,5,FALSE)</f>
        <v>#N/A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732</v>
      </c>
      <c r="R1729" s="2" t="s">
        <v>50</v>
      </c>
      <c r="S1729" s="9">
        <f t="shared" si="134"/>
        <v>0.05</v>
      </c>
    </row>
    <row r="1730" spans="1:19" x14ac:dyDescent="0.25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e">
        <f>VLOOKUP('Customer Info'!A1722,'Customer Info'!A1722:I2221,2,FALSE)</f>
        <v>#N/A</v>
      </c>
      <c r="H1730" s="6" t="e">
        <f>VLOOKUP('Customer Info'!A1722,'Customer Info'!A1722:I2222,3,FALSE)</f>
        <v>#N/A</v>
      </c>
      <c r="I1730" s="6" t="e">
        <f>VLOOKUP('Customer Info'!A1722,'Customer Info'!A1722:I2221,5,FALSE)</f>
        <v>#N/A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188</v>
      </c>
      <c r="R1730" s="2" t="s">
        <v>28</v>
      </c>
      <c r="S1730" s="9">
        <f t="shared" si="134"/>
        <v>0.02</v>
      </c>
    </row>
    <row r="1731" spans="1:19" x14ac:dyDescent="0.25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e">
        <f>VLOOKUP('Customer Info'!A1723,'Customer Info'!A1723:I2222,2,FALSE)</f>
        <v>#N/A</v>
      </c>
      <c r="H1731" s="6" t="e">
        <f>VLOOKUP('Customer Info'!A1723,'Customer Info'!A1723:I2223,3,FALSE)</f>
        <v>#N/A</v>
      </c>
      <c r="I1731" s="6" t="e">
        <f>VLOOKUP('Customer Info'!A1723,'Customer Info'!A1723:I2222,5,FALSE)</f>
        <v>#N/A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437</v>
      </c>
      <c r="R1731" s="2" t="s">
        <v>50</v>
      </c>
      <c r="S1731" s="9">
        <f t="shared" si="134"/>
        <v>0.05</v>
      </c>
    </row>
    <row r="1732" spans="1:19" x14ac:dyDescent="0.25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e">
        <f>VLOOKUP('Customer Info'!A1724,'Customer Info'!A1724:I2223,2,FALSE)</f>
        <v>#N/A</v>
      </c>
      <c r="H1732" s="6" t="e">
        <f>VLOOKUP('Customer Info'!A1724,'Customer Info'!A1724:I2224,3,FALSE)</f>
        <v>#N/A</v>
      </c>
      <c r="I1732" s="6" t="e">
        <f>VLOOKUP('Customer Info'!A1724,'Customer Info'!A1724:I2223,5,FALSE)</f>
        <v>#N/A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237</v>
      </c>
      <c r="R1732" s="2" t="s">
        <v>28</v>
      </c>
      <c r="S1732" s="9">
        <f t="shared" si="134"/>
        <v>0.02</v>
      </c>
    </row>
    <row r="1733" spans="1:19" x14ac:dyDescent="0.25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e">
        <f>VLOOKUP('Customer Info'!A1725,'Customer Info'!A1725:I2224,2,FALSE)</f>
        <v>#N/A</v>
      </c>
      <c r="H1733" s="6" t="e">
        <f>VLOOKUP('Customer Info'!A1725,'Customer Info'!A1725:I2225,3,FALSE)</f>
        <v>#N/A</v>
      </c>
      <c r="I1733" s="6" t="e">
        <f>VLOOKUP('Customer Info'!A1725,'Customer Info'!A1725:I2224,5,FALSE)</f>
        <v>#N/A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393</v>
      </c>
      <c r="R1733" s="2" t="s">
        <v>28</v>
      </c>
      <c r="S1733" s="9">
        <f t="shared" si="134"/>
        <v>0.05</v>
      </c>
    </row>
    <row r="1734" spans="1:19" x14ac:dyDescent="0.25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e">
        <f>VLOOKUP('Customer Info'!A1726,'Customer Info'!A1726:I2225,2,FALSE)</f>
        <v>#N/A</v>
      </c>
      <c r="H1734" s="6" t="e">
        <f>VLOOKUP('Customer Info'!A1726,'Customer Info'!A1726:I2226,3,FALSE)</f>
        <v>#N/A</v>
      </c>
      <c r="I1734" s="6" t="e">
        <f>VLOOKUP('Customer Info'!A1726,'Customer Info'!A1726:I2225,5,FALSE)</f>
        <v>#N/A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129</v>
      </c>
      <c r="R1734" s="2" t="s">
        <v>28</v>
      </c>
      <c r="S1734" s="9">
        <f t="shared" si="134"/>
        <v>0.02</v>
      </c>
    </row>
    <row r="1735" spans="1:19" x14ac:dyDescent="0.25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e">
        <f>VLOOKUP('Customer Info'!A1727,'Customer Info'!A1727:I2226,2,FALSE)</f>
        <v>#N/A</v>
      </c>
      <c r="H1735" s="6" t="e">
        <f>VLOOKUP('Customer Info'!A1727,'Customer Info'!A1727:I2227,3,FALSE)</f>
        <v>#N/A</v>
      </c>
      <c r="I1735" s="6" t="e">
        <f>VLOOKUP('Customer Info'!A1727,'Customer Info'!A1727:I2226,5,FALSE)</f>
        <v>#N/A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1366</v>
      </c>
      <c r="R1735" s="2" t="s">
        <v>28</v>
      </c>
      <c r="S1735" s="9">
        <f t="shared" si="134"/>
        <v>7.0000000000000007E-2</v>
      </c>
    </row>
    <row r="1736" spans="1:19" x14ac:dyDescent="0.25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e">
        <f>VLOOKUP('Customer Info'!A1728,'Customer Info'!A1728:I2227,2,FALSE)</f>
        <v>#N/A</v>
      </c>
      <c r="H1736" s="6" t="e">
        <f>VLOOKUP('Customer Info'!A1728,'Customer Info'!A1728:I2228,3,FALSE)</f>
        <v>#N/A</v>
      </c>
      <c r="I1736" s="6" t="e">
        <f>VLOOKUP('Customer Info'!A1728,'Customer Info'!A1728:I2227,5,FALSE)</f>
        <v>#N/A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60</v>
      </c>
      <c r="R1736" s="2" t="s">
        <v>50</v>
      </c>
      <c r="S1736" s="9">
        <f t="shared" si="134"/>
        <v>0.02</v>
      </c>
    </row>
    <row r="1737" spans="1:19" x14ac:dyDescent="0.25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e">
        <f>VLOOKUP('Customer Info'!A1729,'Customer Info'!A1729:I2228,2,FALSE)</f>
        <v>#N/A</v>
      </c>
      <c r="H1737" s="6" t="e">
        <f>VLOOKUP('Customer Info'!A1729,'Customer Info'!A1729:I2229,3,FALSE)</f>
        <v>#N/A</v>
      </c>
      <c r="I1737" s="6" t="e">
        <f>VLOOKUP('Customer Info'!A1729,'Customer Info'!A1729:I2228,5,FALSE)</f>
        <v>#N/A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365</v>
      </c>
      <c r="R1737" s="2" t="s">
        <v>56</v>
      </c>
      <c r="S1737" s="9">
        <f t="shared" si="134"/>
        <v>0.02</v>
      </c>
    </row>
    <row r="1738" spans="1:19" x14ac:dyDescent="0.25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e">
        <f>VLOOKUP('Customer Info'!A1730,'Customer Info'!A1730:I2229,2,FALSE)</f>
        <v>#N/A</v>
      </c>
      <c r="H1738" s="6" t="e">
        <f>VLOOKUP('Customer Info'!A1730,'Customer Info'!A1730:I2230,3,FALSE)</f>
        <v>#N/A</v>
      </c>
      <c r="I1738" s="6" t="e">
        <f>VLOOKUP('Customer Info'!A1730,'Customer Info'!A1730:I2229,5,FALSE)</f>
        <v>#N/A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381</v>
      </c>
      <c r="R1738" s="2" t="s">
        <v>28</v>
      </c>
      <c r="S1738" s="9">
        <f t="shared" si="134"/>
        <v>0.05</v>
      </c>
    </row>
    <row r="1739" spans="1:19" x14ac:dyDescent="0.25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e">
        <f>VLOOKUP('Customer Info'!A1731,'Customer Info'!A1731:I2230,2,FALSE)</f>
        <v>#N/A</v>
      </c>
      <c r="H1739" s="6" t="e">
        <f>VLOOKUP('Customer Info'!A1731,'Customer Info'!A1731:I2231,3,FALSE)</f>
        <v>#N/A</v>
      </c>
      <c r="I1739" s="6" t="e">
        <f>VLOOKUP('Customer Info'!A1731,'Customer Info'!A1731:I2230,5,FALSE)</f>
        <v>#N/A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8">
        <f t="shared" ref="P1739:P1802" si="137">N1739+O1739</f>
        <v>3088</v>
      </c>
      <c r="Q1739" s="8">
        <f t="shared" ref="Q1739:Q1802" si="138">P1739-M1739</f>
        <v>276</v>
      </c>
      <c r="R1739" s="2" t="s">
        <v>56</v>
      </c>
      <c r="S1739" s="9">
        <f t="shared" ref="S1739:S1802" si="139">VLOOKUP(P1739,$T$2:$U$7,2,TRUE)</f>
        <v>0.02</v>
      </c>
    </row>
    <row r="1740" spans="1:19" x14ac:dyDescent="0.25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e">
        <f>VLOOKUP('Customer Info'!A1732,'Customer Info'!A1732:I2231,2,FALSE)</f>
        <v>#N/A</v>
      </c>
      <c r="H1740" s="6" t="e">
        <f>VLOOKUP('Customer Info'!A1732,'Customer Info'!A1732:I2232,3,FALSE)</f>
        <v>#N/A</v>
      </c>
      <c r="I1740" s="6" t="e">
        <f>VLOOKUP('Customer Info'!A1732,'Customer Info'!A1732:I2231,5,FALSE)</f>
        <v>#N/A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290</v>
      </c>
      <c r="R1740" s="2" t="s">
        <v>28</v>
      </c>
      <c r="S1740" s="9">
        <f t="shared" si="139"/>
        <v>0.02</v>
      </c>
    </row>
    <row r="1741" spans="1:19" x14ac:dyDescent="0.25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e">
        <f>VLOOKUP('Customer Info'!A1733,'Customer Info'!A1733:I2232,2,FALSE)</f>
        <v>#N/A</v>
      </c>
      <c r="H1741" s="6" t="e">
        <f>VLOOKUP('Customer Info'!A1733,'Customer Info'!A1733:I2233,3,FALSE)</f>
        <v>#N/A</v>
      </c>
      <c r="I1741" s="6" t="e">
        <f>VLOOKUP('Customer Info'!A1733,'Customer Info'!A1733:I2232,5,FALSE)</f>
        <v>#N/A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30</v>
      </c>
      <c r="R1741" s="2" t="s">
        <v>50</v>
      </c>
      <c r="S1741" s="9">
        <f t="shared" si="139"/>
        <v>0.02</v>
      </c>
    </row>
    <row r="1742" spans="1:19" x14ac:dyDescent="0.25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e">
        <f>VLOOKUP('Customer Info'!A1734,'Customer Info'!A1734:I2233,2,FALSE)</f>
        <v>#N/A</v>
      </c>
      <c r="H1742" s="6" t="e">
        <f>VLOOKUP('Customer Info'!A1734,'Customer Info'!A1734:I2234,3,FALSE)</f>
        <v>#N/A</v>
      </c>
      <c r="I1742" s="6" t="e">
        <f>VLOOKUP('Customer Info'!A1734,'Customer Info'!A1734:I2233,5,FALSE)</f>
        <v>#N/A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2831</v>
      </c>
      <c r="R1742" s="2" t="s">
        <v>28</v>
      </c>
      <c r="S1742" s="9">
        <f t="shared" si="139"/>
        <v>0.09</v>
      </c>
    </row>
    <row r="1743" spans="1:19" x14ac:dyDescent="0.25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e">
        <f>VLOOKUP('Customer Info'!A1735,'Customer Info'!A1735:I2234,2,FALSE)</f>
        <v>#N/A</v>
      </c>
      <c r="H1743" s="6" t="e">
        <f>VLOOKUP('Customer Info'!A1735,'Customer Info'!A1735:I2235,3,FALSE)</f>
        <v>#N/A</v>
      </c>
      <c r="I1743" s="6" t="e">
        <f>VLOOKUP('Customer Info'!A1735,'Customer Info'!A1735:I2234,5,FALSE)</f>
        <v>#N/A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25</v>
      </c>
      <c r="R1743" s="2" t="s">
        <v>28</v>
      </c>
      <c r="S1743" s="9">
        <f t="shared" si="139"/>
        <v>0.02</v>
      </c>
    </row>
    <row r="1744" spans="1:19" x14ac:dyDescent="0.25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e">
        <f>VLOOKUP('Customer Info'!A1736,'Customer Info'!A1736:I2235,2,FALSE)</f>
        <v>#N/A</v>
      </c>
      <c r="H1744" s="6" t="e">
        <f>VLOOKUP('Customer Info'!A1736,'Customer Info'!A1736:I2236,3,FALSE)</f>
        <v>#N/A</v>
      </c>
      <c r="I1744" s="6" t="e">
        <f>VLOOKUP('Customer Info'!A1736,'Customer Info'!A1736:I2235,5,FALSE)</f>
        <v>#N/A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581</v>
      </c>
      <c r="R1744" s="2" t="s">
        <v>28</v>
      </c>
      <c r="S1744" s="9">
        <f t="shared" si="139"/>
        <v>0.05</v>
      </c>
    </row>
    <row r="1745" spans="1:19" x14ac:dyDescent="0.25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e">
        <f>VLOOKUP('Customer Info'!A1737,'Customer Info'!A1737:I2236,2,FALSE)</f>
        <v>#N/A</v>
      </c>
      <c r="H1745" s="6" t="e">
        <f>VLOOKUP('Customer Info'!A1737,'Customer Info'!A1737:I2237,3,FALSE)</f>
        <v>#N/A</v>
      </c>
      <c r="I1745" s="6" t="e">
        <f>VLOOKUP('Customer Info'!A1737,'Customer Info'!A1737:I2236,5,FALSE)</f>
        <v>#N/A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312</v>
      </c>
      <c r="R1745" s="2" t="s">
        <v>26</v>
      </c>
      <c r="S1745" s="9">
        <f t="shared" si="139"/>
        <v>0.02</v>
      </c>
    </row>
    <row r="1746" spans="1:19" x14ac:dyDescent="0.25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e">
        <f>VLOOKUP('Customer Info'!A1738,'Customer Info'!A1738:I2237,2,FALSE)</f>
        <v>#N/A</v>
      </c>
      <c r="H1746" s="6" t="e">
        <f>VLOOKUP('Customer Info'!A1738,'Customer Info'!A1738:I2238,3,FALSE)</f>
        <v>#N/A</v>
      </c>
      <c r="I1746" s="6" t="e">
        <f>VLOOKUP('Customer Info'!A1738,'Customer Info'!A1738:I2237,5,FALSE)</f>
        <v>#N/A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184</v>
      </c>
      <c r="R1746" s="2" t="s">
        <v>28</v>
      </c>
      <c r="S1746" s="9">
        <f t="shared" si="139"/>
        <v>0.02</v>
      </c>
    </row>
    <row r="1747" spans="1:19" x14ac:dyDescent="0.25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e">
        <f>VLOOKUP('Customer Info'!A1739,'Customer Info'!A1739:I2238,2,FALSE)</f>
        <v>#N/A</v>
      </c>
      <c r="H1747" s="6" t="e">
        <f>VLOOKUP('Customer Info'!A1739,'Customer Info'!A1739:I2239,3,FALSE)</f>
        <v>#N/A</v>
      </c>
      <c r="I1747" s="6" t="e">
        <f>VLOOKUP('Customer Info'!A1739,'Customer Info'!A1739:I2238,5,FALSE)</f>
        <v>#N/A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62</v>
      </c>
      <c r="R1747" s="2" t="s">
        <v>50</v>
      </c>
      <c r="S1747" s="9">
        <f t="shared" si="139"/>
        <v>0.02</v>
      </c>
    </row>
    <row r="1748" spans="1:19" x14ac:dyDescent="0.25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e">
        <f>VLOOKUP('Customer Info'!A1740,'Customer Info'!A1740:I2239,2,FALSE)</f>
        <v>#N/A</v>
      </c>
      <c r="H1748" s="6" t="e">
        <f>VLOOKUP('Customer Info'!A1740,'Customer Info'!A1740:I2240,3,FALSE)</f>
        <v>#N/A</v>
      </c>
      <c r="I1748" s="6" t="e">
        <f>VLOOKUP('Customer Info'!A1740,'Customer Info'!A1740:I2239,5,FALSE)</f>
        <v>#N/A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104</v>
      </c>
      <c r="R1748" s="2" t="s">
        <v>28</v>
      </c>
      <c r="S1748" s="9">
        <f t="shared" si="139"/>
        <v>0.02</v>
      </c>
    </row>
    <row r="1749" spans="1:19" x14ac:dyDescent="0.25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e">
        <f>VLOOKUP('Customer Info'!A1741,'Customer Info'!A1741:I2240,2,FALSE)</f>
        <v>#N/A</v>
      </c>
      <c r="H1749" s="6" t="e">
        <f>VLOOKUP('Customer Info'!A1741,'Customer Info'!A1741:I2241,3,FALSE)</f>
        <v>#N/A</v>
      </c>
      <c r="I1749" s="6" t="e">
        <f>VLOOKUP('Customer Info'!A1741,'Customer Info'!A1741:I2240,5,FALSE)</f>
        <v>#N/A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1663</v>
      </c>
      <c r="R1749" s="2" t="s">
        <v>28</v>
      </c>
      <c r="S1749" s="9">
        <f t="shared" si="139"/>
        <v>7.0000000000000007E-2</v>
      </c>
    </row>
    <row r="1750" spans="1:19" x14ac:dyDescent="0.25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e">
        <f>VLOOKUP('Customer Info'!A1742,'Customer Info'!A1742:I2241,2,FALSE)</f>
        <v>#N/A</v>
      </c>
      <c r="H1750" s="6" t="e">
        <f>VLOOKUP('Customer Info'!A1742,'Customer Info'!A1742:I2242,3,FALSE)</f>
        <v>#N/A</v>
      </c>
      <c r="I1750" s="6" t="e">
        <f>VLOOKUP('Customer Info'!A1742,'Customer Info'!A1742:I2241,5,FALSE)</f>
        <v>#N/A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65</v>
      </c>
      <c r="R1750" s="2" t="s">
        <v>50</v>
      </c>
      <c r="S1750" s="9">
        <f t="shared" si="139"/>
        <v>0.02</v>
      </c>
    </row>
    <row r="1751" spans="1:19" x14ac:dyDescent="0.25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e">
        <f>VLOOKUP('Customer Info'!A1743,'Customer Info'!A1743:I2242,2,FALSE)</f>
        <v>#N/A</v>
      </c>
      <c r="H1751" s="6" t="e">
        <f>VLOOKUP('Customer Info'!A1743,'Customer Info'!A1743:I2243,3,FALSE)</f>
        <v>#N/A</v>
      </c>
      <c r="I1751" s="6" t="e">
        <f>VLOOKUP('Customer Info'!A1743,'Customer Info'!A1743:I2242,5,FALSE)</f>
        <v>#N/A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176</v>
      </c>
      <c r="R1751" s="2" t="s">
        <v>28</v>
      </c>
      <c r="S1751" s="9">
        <f t="shared" si="139"/>
        <v>0.02</v>
      </c>
    </row>
    <row r="1752" spans="1:19" x14ac:dyDescent="0.25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e">
        <f>VLOOKUP('Customer Info'!A1744,'Customer Info'!A1744:I2243,2,FALSE)</f>
        <v>#N/A</v>
      </c>
      <c r="H1752" s="6" t="e">
        <f>VLOOKUP('Customer Info'!A1744,'Customer Info'!A1744:I2244,3,FALSE)</f>
        <v>#N/A</v>
      </c>
      <c r="I1752" s="6" t="e">
        <f>VLOOKUP('Customer Info'!A1744,'Customer Info'!A1744:I2243,5,FALSE)</f>
        <v>#N/A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128</v>
      </c>
      <c r="R1752" s="2" t="s">
        <v>26</v>
      </c>
      <c r="S1752" s="9">
        <f t="shared" si="139"/>
        <v>0.02</v>
      </c>
    </row>
    <row r="1753" spans="1:19" x14ac:dyDescent="0.25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e">
        <f>VLOOKUP('Customer Info'!A1745,'Customer Info'!A1745:I2244,2,FALSE)</f>
        <v>#N/A</v>
      </c>
      <c r="H1753" s="6" t="e">
        <f>VLOOKUP('Customer Info'!A1745,'Customer Info'!A1745:I2245,3,FALSE)</f>
        <v>#N/A</v>
      </c>
      <c r="I1753" s="6" t="e">
        <f>VLOOKUP('Customer Info'!A1745,'Customer Info'!A1745:I2244,5,FALSE)</f>
        <v>#N/A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373</v>
      </c>
      <c r="R1753" s="2" t="s">
        <v>28</v>
      </c>
      <c r="S1753" s="9">
        <f t="shared" si="139"/>
        <v>0.02</v>
      </c>
    </row>
    <row r="1754" spans="1:19" x14ac:dyDescent="0.25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e">
        <f>VLOOKUP('Customer Info'!A1746,'Customer Info'!A1746:I2245,2,FALSE)</f>
        <v>#N/A</v>
      </c>
      <c r="H1754" s="6" t="e">
        <f>VLOOKUP('Customer Info'!A1746,'Customer Info'!A1746:I2246,3,FALSE)</f>
        <v>#N/A</v>
      </c>
      <c r="I1754" s="6" t="e">
        <f>VLOOKUP('Customer Info'!A1746,'Customer Info'!A1746:I2245,5,FALSE)</f>
        <v>#N/A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302</v>
      </c>
      <c r="R1754" s="2" t="s">
        <v>28</v>
      </c>
      <c r="S1754" s="9">
        <f t="shared" si="139"/>
        <v>0.05</v>
      </c>
    </row>
    <row r="1755" spans="1:19" x14ac:dyDescent="0.25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e">
        <f>VLOOKUP('Customer Info'!A1747,'Customer Info'!A1747:I2246,2,FALSE)</f>
        <v>#N/A</v>
      </c>
      <c r="H1755" s="6" t="e">
        <f>VLOOKUP('Customer Info'!A1747,'Customer Info'!A1747:I2247,3,FALSE)</f>
        <v>#N/A</v>
      </c>
      <c r="I1755" s="6" t="e">
        <f>VLOOKUP('Customer Info'!A1747,'Customer Info'!A1747:I2246,5,FALSE)</f>
        <v>#N/A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1801</v>
      </c>
      <c r="R1755" s="2" t="s">
        <v>28</v>
      </c>
      <c r="S1755" s="9">
        <f t="shared" si="139"/>
        <v>7.0000000000000007E-2</v>
      </c>
    </row>
    <row r="1756" spans="1:19" x14ac:dyDescent="0.25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e">
        <f>VLOOKUP('Customer Info'!A1748,'Customer Info'!A1748:I2247,2,FALSE)</f>
        <v>#N/A</v>
      </c>
      <c r="H1756" s="6" t="e">
        <f>VLOOKUP('Customer Info'!A1748,'Customer Info'!A1748:I2248,3,FALSE)</f>
        <v>#N/A</v>
      </c>
      <c r="I1756" s="6" t="e">
        <f>VLOOKUP('Customer Info'!A1748,'Customer Info'!A1748:I2247,5,FALSE)</f>
        <v>#N/A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507</v>
      </c>
      <c r="R1756" s="2" t="s">
        <v>50</v>
      </c>
      <c r="S1756" s="9">
        <f t="shared" si="139"/>
        <v>0.05</v>
      </c>
    </row>
    <row r="1757" spans="1:19" x14ac:dyDescent="0.25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e">
        <f>VLOOKUP('Customer Info'!A1749,'Customer Info'!A1749:I2248,2,FALSE)</f>
        <v>#N/A</v>
      </c>
      <c r="H1757" s="6" t="e">
        <f>VLOOKUP('Customer Info'!A1749,'Customer Info'!A1749:I2249,3,FALSE)</f>
        <v>#N/A</v>
      </c>
      <c r="I1757" s="6" t="e">
        <f>VLOOKUP('Customer Info'!A1749,'Customer Info'!A1749:I2248,5,FALSE)</f>
        <v>#N/A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516</v>
      </c>
      <c r="R1757" s="2" t="s">
        <v>28</v>
      </c>
      <c r="S1757" s="9">
        <f t="shared" si="139"/>
        <v>0.05</v>
      </c>
    </row>
    <row r="1758" spans="1:19" x14ac:dyDescent="0.25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e">
        <f>VLOOKUP('Customer Info'!A1750,'Customer Info'!A1750:I2249,2,FALSE)</f>
        <v>#N/A</v>
      </c>
      <c r="H1758" s="6" t="e">
        <f>VLOOKUP('Customer Info'!A1750,'Customer Info'!A1750:I2250,3,FALSE)</f>
        <v>#N/A</v>
      </c>
      <c r="I1758" s="6" t="e">
        <f>VLOOKUP('Customer Info'!A1750,'Customer Info'!A1750:I2249,5,FALSE)</f>
        <v>#N/A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60</v>
      </c>
      <c r="R1758" s="2" t="s">
        <v>28</v>
      </c>
      <c r="S1758" s="9">
        <f t="shared" si="139"/>
        <v>0.02</v>
      </c>
    </row>
    <row r="1759" spans="1:19" x14ac:dyDescent="0.25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e">
        <f>VLOOKUP('Customer Info'!A1751,'Customer Info'!A1751:I2250,2,FALSE)</f>
        <v>#N/A</v>
      </c>
      <c r="H1759" s="6" t="e">
        <f>VLOOKUP('Customer Info'!A1751,'Customer Info'!A1751:I2251,3,FALSE)</f>
        <v>#N/A</v>
      </c>
      <c r="I1759" s="6" t="e">
        <f>VLOOKUP('Customer Info'!A1751,'Customer Info'!A1751:I2250,5,FALSE)</f>
        <v>#N/A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177</v>
      </c>
      <c r="R1759" s="2" t="s">
        <v>28</v>
      </c>
      <c r="S1759" s="9">
        <f t="shared" si="139"/>
        <v>0.02</v>
      </c>
    </row>
    <row r="1760" spans="1:19" x14ac:dyDescent="0.25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e">
        <f>VLOOKUP('Customer Info'!A1752,'Customer Info'!A1752:I2251,2,FALSE)</f>
        <v>#N/A</v>
      </c>
      <c r="H1760" s="6" t="e">
        <f>VLOOKUP('Customer Info'!A1752,'Customer Info'!A1752:I2252,3,FALSE)</f>
        <v>#N/A</v>
      </c>
      <c r="I1760" s="6" t="e">
        <f>VLOOKUP('Customer Info'!A1752,'Customer Info'!A1752:I2251,5,FALSE)</f>
        <v>#N/A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102</v>
      </c>
      <c r="R1760" s="2" t="s">
        <v>28</v>
      </c>
      <c r="S1760" s="9">
        <f t="shared" si="139"/>
        <v>0.02</v>
      </c>
    </row>
    <row r="1761" spans="1:19" x14ac:dyDescent="0.25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e">
        <f>VLOOKUP('Customer Info'!A1753,'Customer Info'!A1753:I2252,2,FALSE)</f>
        <v>#N/A</v>
      </c>
      <c r="H1761" s="6" t="e">
        <f>VLOOKUP('Customer Info'!A1753,'Customer Info'!A1753:I2253,3,FALSE)</f>
        <v>#N/A</v>
      </c>
      <c r="I1761" s="6" t="e">
        <f>VLOOKUP('Customer Info'!A1753,'Customer Info'!A1753:I2252,5,FALSE)</f>
        <v>#N/A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476</v>
      </c>
      <c r="R1761" s="2" t="s">
        <v>50</v>
      </c>
      <c r="S1761" s="9">
        <f t="shared" si="139"/>
        <v>0.02</v>
      </c>
    </row>
    <row r="1762" spans="1:19" x14ac:dyDescent="0.25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e">
        <f>VLOOKUP('Customer Info'!A1754,'Customer Info'!A1754:I2253,2,FALSE)</f>
        <v>#N/A</v>
      </c>
      <c r="H1762" s="6" t="e">
        <f>VLOOKUP('Customer Info'!A1754,'Customer Info'!A1754:I2254,3,FALSE)</f>
        <v>#N/A</v>
      </c>
      <c r="I1762" s="6" t="e">
        <f>VLOOKUP('Customer Info'!A1754,'Customer Info'!A1754:I2253,5,FALSE)</f>
        <v>#N/A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145</v>
      </c>
      <c r="R1762" s="2" t="s">
        <v>50</v>
      </c>
      <c r="S1762" s="9">
        <f t="shared" si="139"/>
        <v>0.02</v>
      </c>
    </row>
    <row r="1763" spans="1:19" x14ac:dyDescent="0.25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e">
        <f>VLOOKUP('Customer Info'!A1755,'Customer Info'!A1755:I2254,2,FALSE)</f>
        <v>#N/A</v>
      </c>
      <c r="H1763" s="6" t="e">
        <f>VLOOKUP('Customer Info'!A1755,'Customer Info'!A1755:I2255,3,FALSE)</f>
        <v>#N/A</v>
      </c>
      <c r="I1763" s="6" t="e">
        <f>VLOOKUP('Customer Info'!A1755,'Customer Info'!A1755:I2254,5,FALSE)</f>
        <v>#N/A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752</v>
      </c>
      <c r="R1763" s="2" t="s">
        <v>28</v>
      </c>
      <c r="S1763" s="9">
        <f t="shared" si="139"/>
        <v>0.05</v>
      </c>
    </row>
    <row r="1764" spans="1:19" x14ac:dyDescent="0.25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e">
        <f>VLOOKUP('Customer Info'!A1756,'Customer Info'!A1756:I2255,2,FALSE)</f>
        <v>#N/A</v>
      </c>
      <c r="H1764" s="6" t="e">
        <f>VLOOKUP('Customer Info'!A1756,'Customer Info'!A1756:I2256,3,FALSE)</f>
        <v>#N/A</v>
      </c>
      <c r="I1764" s="6" t="e">
        <f>VLOOKUP('Customer Info'!A1756,'Customer Info'!A1756:I2255,5,FALSE)</f>
        <v>#N/A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106</v>
      </c>
      <c r="R1764" s="2" t="s">
        <v>28</v>
      </c>
      <c r="S1764" s="9">
        <f t="shared" si="139"/>
        <v>0.02</v>
      </c>
    </row>
    <row r="1765" spans="1:19" x14ac:dyDescent="0.25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e">
        <f>VLOOKUP('Customer Info'!A1757,'Customer Info'!A1757:I2256,2,FALSE)</f>
        <v>#N/A</v>
      </c>
      <c r="H1765" s="6" t="e">
        <f>VLOOKUP('Customer Info'!A1757,'Customer Info'!A1757:I2257,3,FALSE)</f>
        <v>#N/A</v>
      </c>
      <c r="I1765" s="6" t="e">
        <f>VLOOKUP('Customer Info'!A1757,'Customer Info'!A1757:I2256,5,FALSE)</f>
        <v>#N/A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20</v>
      </c>
      <c r="R1765" s="2" t="s">
        <v>28</v>
      </c>
      <c r="S1765" s="9">
        <f t="shared" si="139"/>
        <v>0.02</v>
      </c>
    </row>
    <row r="1766" spans="1:19" x14ac:dyDescent="0.25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e">
        <f>VLOOKUP('Customer Info'!A1758,'Customer Info'!A1758:I2257,2,FALSE)</f>
        <v>#N/A</v>
      </c>
      <c r="H1766" s="6" t="e">
        <f>VLOOKUP('Customer Info'!A1758,'Customer Info'!A1758:I2258,3,FALSE)</f>
        <v>#N/A</v>
      </c>
      <c r="I1766" s="6" t="e">
        <f>VLOOKUP('Customer Info'!A1758,'Customer Info'!A1758:I2257,5,FALSE)</f>
        <v>#N/A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1884</v>
      </c>
      <c r="R1766" s="2" t="s">
        <v>28</v>
      </c>
      <c r="S1766" s="9">
        <f t="shared" si="139"/>
        <v>7.0000000000000007E-2</v>
      </c>
    </row>
    <row r="1767" spans="1:19" x14ac:dyDescent="0.25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e">
        <f>VLOOKUP('Customer Info'!A1759,'Customer Info'!A1759:I2258,2,FALSE)</f>
        <v>#N/A</v>
      </c>
      <c r="H1767" s="6" t="e">
        <f>VLOOKUP('Customer Info'!A1759,'Customer Info'!A1759:I2259,3,FALSE)</f>
        <v>#N/A</v>
      </c>
      <c r="I1767" s="6" t="e">
        <f>VLOOKUP('Customer Info'!A1759,'Customer Info'!A1759:I2258,5,FALSE)</f>
        <v>#N/A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356</v>
      </c>
      <c r="R1767" s="2" t="s">
        <v>28</v>
      </c>
      <c r="S1767" s="9">
        <f t="shared" si="139"/>
        <v>0.02</v>
      </c>
    </row>
    <row r="1768" spans="1:19" x14ac:dyDescent="0.25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e">
        <f>VLOOKUP('Customer Info'!A1760,'Customer Info'!A1760:I2259,2,FALSE)</f>
        <v>#N/A</v>
      </c>
      <c r="H1768" s="6" t="e">
        <f>VLOOKUP('Customer Info'!A1760,'Customer Info'!A1760:I2260,3,FALSE)</f>
        <v>#N/A</v>
      </c>
      <c r="I1768" s="6" t="e">
        <f>VLOOKUP('Customer Info'!A1760,'Customer Info'!A1760:I2259,5,FALSE)</f>
        <v>#N/A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490</v>
      </c>
      <c r="R1768" s="2" t="s">
        <v>50</v>
      </c>
      <c r="S1768" s="9">
        <f t="shared" si="139"/>
        <v>0.05</v>
      </c>
    </row>
    <row r="1769" spans="1:19" x14ac:dyDescent="0.25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e">
        <f>VLOOKUP('Customer Info'!A1761,'Customer Info'!A1761:I2260,2,FALSE)</f>
        <v>#N/A</v>
      </c>
      <c r="H1769" s="6" t="e">
        <f>VLOOKUP('Customer Info'!A1761,'Customer Info'!A1761:I2261,3,FALSE)</f>
        <v>#N/A</v>
      </c>
      <c r="I1769" s="6" t="e">
        <f>VLOOKUP('Customer Info'!A1761,'Customer Info'!A1761:I2260,5,FALSE)</f>
        <v>#N/A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427</v>
      </c>
      <c r="R1769" s="2" t="s">
        <v>28</v>
      </c>
      <c r="S1769" s="9">
        <f t="shared" si="139"/>
        <v>0.05</v>
      </c>
    </row>
    <row r="1770" spans="1:19" x14ac:dyDescent="0.25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e">
        <f>VLOOKUP('Customer Info'!A1762,'Customer Info'!A1762:I2261,2,FALSE)</f>
        <v>#N/A</v>
      </c>
      <c r="H1770" s="6" t="e">
        <f>VLOOKUP('Customer Info'!A1762,'Customer Info'!A1762:I2262,3,FALSE)</f>
        <v>#N/A</v>
      </c>
      <c r="I1770" s="6" t="e">
        <f>VLOOKUP('Customer Info'!A1762,'Customer Info'!A1762:I2261,5,FALSE)</f>
        <v>#N/A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42</v>
      </c>
      <c r="R1770" s="2" t="s">
        <v>28</v>
      </c>
      <c r="S1770" s="9">
        <f t="shared" si="139"/>
        <v>0.02</v>
      </c>
    </row>
    <row r="1771" spans="1:19" x14ac:dyDescent="0.25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e">
        <f>VLOOKUP('Customer Info'!A1763,'Customer Info'!A1763:I2262,2,FALSE)</f>
        <v>#N/A</v>
      </c>
      <c r="H1771" s="6" t="e">
        <f>VLOOKUP('Customer Info'!A1763,'Customer Info'!A1763:I2263,3,FALSE)</f>
        <v>#N/A</v>
      </c>
      <c r="I1771" s="6" t="e">
        <f>VLOOKUP('Customer Info'!A1763,'Customer Info'!A1763:I2262,5,FALSE)</f>
        <v>#N/A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100</v>
      </c>
      <c r="R1771" s="2" t="s">
        <v>28</v>
      </c>
      <c r="S1771" s="9">
        <f t="shared" si="139"/>
        <v>0.02</v>
      </c>
    </row>
    <row r="1772" spans="1:19" x14ac:dyDescent="0.25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e">
        <f>VLOOKUP('Customer Info'!A1764,'Customer Info'!A1764:I2263,2,FALSE)</f>
        <v>#N/A</v>
      </c>
      <c r="H1772" s="6" t="e">
        <f>VLOOKUP('Customer Info'!A1764,'Customer Info'!A1764:I2264,3,FALSE)</f>
        <v>#N/A</v>
      </c>
      <c r="I1772" s="6" t="e">
        <f>VLOOKUP('Customer Info'!A1764,'Customer Info'!A1764:I2263,5,FALSE)</f>
        <v>#N/A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389</v>
      </c>
      <c r="R1772" s="2" t="s">
        <v>28</v>
      </c>
      <c r="S1772" s="9">
        <f t="shared" si="139"/>
        <v>0.05</v>
      </c>
    </row>
    <row r="1773" spans="1:19" x14ac:dyDescent="0.25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e">
        <f>VLOOKUP('Customer Info'!A1765,'Customer Info'!A1765:I2264,2,FALSE)</f>
        <v>#N/A</v>
      </c>
      <c r="H1773" s="6" t="e">
        <f>VLOOKUP('Customer Info'!A1765,'Customer Info'!A1765:I2265,3,FALSE)</f>
        <v>#N/A</v>
      </c>
      <c r="I1773" s="6" t="e">
        <f>VLOOKUP('Customer Info'!A1765,'Customer Info'!A1765:I2264,5,FALSE)</f>
        <v>#N/A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337</v>
      </c>
      <c r="R1773" s="2" t="s">
        <v>28</v>
      </c>
      <c r="S1773" s="9">
        <f t="shared" si="139"/>
        <v>0.05</v>
      </c>
    </row>
    <row r="1774" spans="1:19" x14ac:dyDescent="0.25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e">
        <f>VLOOKUP('Customer Info'!A1766,'Customer Info'!A1766:I2265,2,FALSE)</f>
        <v>#N/A</v>
      </c>
      <c r="H1774" s="6" t="e">
        <f>VLOOKUP('Customer Info'!A1766,'Customer Info'!A1766:I2266,3,FALSE)</f>
        <v>#N/A</v>
      </c>
      <c r="I1774" s="6" t="e">
        <f>VLOOKUP('Customer Info'!A1766,'Customer Info'!A1766:I2265,5,FALSE)</f>
        <v>#N/A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57</v>
      </c>
      <c r="R1774" s="2" t="s">
        <v>28</v>
      </c>
      <c r="S1774" s="9">
        <f t="shared" si="139"/>
        <v>0.02</v>
      </c>
    </row>
    <row r="1775" spans="1:19" x14ac:dyDescent="0.25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e">
        <f>VLOOKUP('Customer Info'!A1767,'Customer Info'!A1767:I2266,2,FALSE)</f>
        <v>#N/A</v>
      </c>
      <c r="H1775" s="6" t="e">
        <f>VLOOKUP('Customer Info'!A1767,'Customer Info'!A1767:I2267,3,FALSE)</f>
        <v>#N/A</v>
      </c>
      <c r="I1775" s="6" t="e">
        <f>VLOOKUP('Customer Info'!A1767,'Customer Info'!A1767:I2266,5,FALSE)</f>
        <v>#N/A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380</v>
      </c>
      <c r="R1775" s="2" t="s">
        <v>28</v>
      </c>
      <c r="S1775" s="9">
        <f t="shared" si="139"/>
        <v>0.05</v>
      </c>
    </row>
    <row r="1776" spans="1:19" x14ac:dyDescent="0.25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e">
        <f>VLOOKUP('Customer Info'!A1768,'Customer Info'!A1768:I2267,2,FALSE)</f>
        <v>#N/A</v>
      </c>
      <c r="H1776" s="6" t="e">
        <f>VLOOKUP('Customer Info'!A1768,'Customer Info'!A1768:I2268,3,FALSE)</f>
        <v>#N/A</v>
      </c>
      <c r="I1776" s="6" t="e">
        <f>VLOOKUP('Customer Info'!A1768,'Customer Info'!A1768:I2267,5,FALSE)</f>
        <v>#N/A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114</v>
      </c>
      <c r="R1776" s="2" t="s">
        <v>28</v>
      </c>
      <c r="S1776" s="9">
        <f t="shared" si="139"/>
        <v>0.02</v>
      </c>
    </row>
    <row r="1777" spans="1:19" x14ac:dyDescent="0.25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e">
        <f>VLOOKUP('Customer Info'!A1769,'Customer Info'!A1769:I2268,2,FALSE)</f>
        <v>#N/A</v>
      </c>
      <c r="H1777" s="6" t="e">
        <f>VLOOKUP('Customer Info'!A1769,'Customer Info'!A1769:I2269,3,FALSE)</f>
        <v>#N/A</v>
      </c>
      <c r="I1777" s="6" t="e">
        <f>VLOOKUP('Customer Info'!A1769,'Customer Info'!A1769:I2268,5,FALSE)</f>
        <v>#N/A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708</v>
      </c>
      <c r="R1777" s="2" t="s">
        <v>28</v>
      </c>
      <c r="S1777" s="9">
        <f t="shared" si="139"/>
        <v>0.05</v>
      </c>
    </row>
    <row r="1778" spans="1:19" x14ac:dyDescent="0.25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e">
        <f>VLOOKUP('Customer Info'!A1770,'Customer Info'!A1770:I2269,2,FALSE)</f>
        <v>#N/A</v>
      </c>
      <c r="H1778" s="6" t="e">
        <f>VLOOKUP('Customer Info'!A1770,'Customer Info'!A1770:I2270,3,FALSE)</f>
        <v>#N/A</v>
      </c>
      <c r="I1778" s="6" t="e">
        <f>VLOOKUP('Customer Info'!A1770,'Customer Info'!A1770:I2269,5,FALSE)</f>
        <v>#N/A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633</v>
      </c>
      <c r="R1778" s="2" t="s">
        <v>28</v>
      </c>
      <c r="S1778" s="9">
        <f t="shared" si="139"/>
        <v>0.05</v>
      </c>
    </row>
    <row r="1779" spans="1:19" x14ac:dyDescent="0.25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e">
        <f>VLOOKUP('Customer Info'!A1771,'Customer Info'!A1771:I2270,2,FALSE)</f>
        <v>#N/A</v>
      </c>
      <c r="H1779" s="6" t="e">
        <f>VLOOKUP('Customer Info'!A1771,'Customer Info'!A1771:I2271,3,FALSE)</f>
        <v>#N/A</v>
      </c>
      <c r="I1779" s="6" t="e">
        <f>VLOOKUP('Customer Info'!A1771,'Customer Info'!A1771:I2270,5,FALSE)</f>
        <v>#N/A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90</v>
      </c>
      <c r="R1779" s="2" t="s">
        <v>28</v>
      </c>
      <c r="S1779" s="9">
        <f t="shared" si="139"/>
        <v>0.02</v>
      </c>
    </row>
    <row r="1780" spans="1:19" x14ac:dyDescent="0.25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e">
        <f>VLOOKUP('Customer Info'!A1772,'Customer Info'!A1772:I2271,2,FALSE)</f>
        <v>#N/A</v>
      </c>
      <c r="H1780" s="6" t="e">
        <f>VLOOKUP('Customer Info'!A1772,'Customer Info'!A1772:I2272,3,FALSE)</f>
        <v>#N/A</v>
      </c>
      <c r="I1780" s="6" t="e">
        <f>VLOOKUP('Customer Info'!A1772,'Customer Info'!A1772:I2271,5,FALSE)</f>
        <v>#N/A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577</v>
      </c>
      <c r="R1780" s="2" t="s">
        <v>28</v>
      </c>
      <c r="S1780" s="9">
        <f t="shared" si="139"/>
        <v>0.05</v>
      </c>
    </row>
    <row r="1781" spans="1:19" x14ac:dyDescent="0.25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e">
        <f>VLOOKUP('Customer Info'!A1773,'Customer Info'!A1773:I2272,2,FALSE)</f>
        <v>#N/A</v>
      </c>
      <c r="H1781" s="6" t="e">
        <f>VLOOKUP('Customer Info'!A1773,'Customer Info'!A1773:I2273,3,FALSE)</f>
        <v>#N/A</v>
      </c>
      <c r="I1781" s="6" t="e">
        <f>VLOOKUP('Customer Info'!A1773,'Customer Info'!A1773:I2272,5,FALSE)</f>
        <v>#N/A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863</v>
      </c>
      <c r="R1781" s="2" t="s">
        <v>28</v>
      </c>
      <c r="S1781" s="9">
        <f t="shared" si="139"/>
        <v>0.05</v>
      </c>
    </row>
    <row r="1782" spans="1:19" x14ac:dyDescent="0.25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e">
        <f>VLOOKUP('Customer Info'!A1774,'Customer Info'!A1774:I2273,2,FALSE)</f>
        <v>#N/A</v>
      </c>
      <c r="H1782" s="6" t="e">
        <f>VLOOKUP('Customer Info'!A1774,'Customer Info'!A1774:I2274,3,FALSE)</f>
        <v>#N/A</v>
      </c>
      <c r="I1782" s="6" t="e">
        <f>VLOOKUP('Customer Info'!A1774,'Customer Info'!A1774:I2273,5,FALSE)</f>
        <v>#N/A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5958</v>
      </c>
      <c r="R1782" s="2" t="s">
        <v>28</v>
      </c>
      <c r="S1782" s="9">
        <f t="shared" si="139"/>
        <v>0.12</v>
      </c>
    </row>
    <row r="1783" spans="1:19" x14ac:dyDescent="0.25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e">
        <f>VLOOKUP('Customer Info'!A1775,'Customer Info'!A1775:I2274,2,FALSE)</f>
        <v>#N/A</v>
      </c>
      <c r="H1783" s="6" t="e">
        <f>VLOOKUP('Customer Info'!A1775,'Customer Info'!A1775:I2275,3,FALSE)</f>
        <v>#N/A</v>
      </c>
      <c r="I1783" s="6" t="e">
        <f>VLOOKUP('Customer Info'!A1775,'Customer Info'!A1775:I2274,5,FALSE)</f>
        <v>#N/A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498</v>
      </c>
      <c r="R1783" s="2" t="s">
        <v>56</v>
      </c>
      <c r="S1783" s="9">
        <f t="shared" si="139"/>
        <v>0.05</v>
      </c>
    </row>
    <row r="1784" spans="1:19" x14ac:dyDescent="0.25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e">
        <f>VLOOKUP('Customer Info'!A1776,'Customer Info'!A1776:I2275,2,FALSE)</f>
        <v>#N/A</v>
      </c>
      <c r="H1784" s="6" t="e">
        <f>VLOOKUP('Customer Info'!A1776,'Customer Info'!A1776:I2276,3,FALSE)</f>
        <v>#N/A</v>
      </c>
      <c r="I1784" s="6" t="e">
        <f>VLOOKUP('Customer Info'!A1776,'Customer Info'!A1776:I2275,5,FALSE)</f>
        <v>#N/A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3824</v>
      </c>
      <c r="R1784" s="2" t="s">
        <v>28</v>
      </c>
      <c r="S1784" s="9">
        <f t="shared" si="139"/>
        <v>7.0000000000000007E-2</v>
      </c>
    </row>
    <row r="1785" spans="1:19" x14ac:dyDescent="0.25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e">
        <f>VLOOKUP('Customer Info'!A1777,'Customer Info'!A1777:I2276,2,FALSE)</f>
        <v>#N/A</v>
      </c>
      <c r="H1785" s="6" t="e">
        <f>VLOOKUP('Customer Info'!A1777,'Customer Info'!A1777:I2277,3,FALSE)</f>
        <v>#N/A</v>
      </c>
      <c r="I1785" s="6" t="e">
        <f>VLOOKUP('Customer Info'!A1777,'Customer Info'!A1777:I2276,5,FALSE)</f>
        <v>#N/A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34</v>
      </c>
      <c r="R1785" s="2" t="s">
        <v>50</v>
      </c>
      <c r="S1785" s="9">
        <f t="shared" si="139"/>
        <v>0.02</v>
      </c>
    </row>
    <row r="1786" spans="1:19" x14ac:dyDescent="0.25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e">
        <f>VLOOKUP('Customer Info'!A1778,'Customer Info'!A1778:I2277,2,FALSE)</f>
        <v>#N/A</v>
      </c>
      <c r="H1786" s="6" t="e">
        <f>VLOOKUP('Customer Info'!A1778,'Customer Info'!A1778:I2278,3,FALSE)</f>
        <v>#N/A</v>
      </c>
      <c r="I1786" s="6" t="e">
        <f>VLOOKUP('Customer Info'!A1778,'Customer Info'!A1778:I2277,5,FALSE)</f>
        <v>#N/A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5499</v>
      </c>
      <c r="R1786" s="2" t="s">
        <v>50</v>
      </c>
      <c r="S1786" s="9">
        <f t="shared" si="139"/>
        <v>0.09</v>
      </c>
    </row>
    <row r="1787" spans="1:19" x14ac:dyDescent="0.25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e">
        <f>VLOOKUP('Customer Info'!A1779,'Customer Info'!A1779:I2278,2,FALSE)</f>
        <v>#N/A</v>
      </c>
      <c r="H1787" s="6" t="e">
        <f>VLOOKUP('Customer Info'!A1779,'Customer Info'!A1779:I2279,3,FALSE)</f>
        <v>#N/A</v>
      </c>
      <c r="I1787" s="6" t="e">
        <f>VLOOKUP('Customer Info'!A1779,'Customer Info'!A1779:I2278,5,FALSE)</f>
        <v>#N/A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4095</v>
      </c>
      <c r="R1787" s="2" t="s">
        <v>28</v>
      </c>
      <c r="S1787" s="9">
        <f t="shared" si="139"/>
        <v>0.09</v>
      </c>
    </row>
    <row r="1788" spans="1:19" x14ac:dyDescent="0.25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e">
        <f>VLOOKUP('Customer Info'!A1780,'Customer Info'!A1780:I2279,2,FALSE)</f>
        <v>#N/A</v>
      </c>
      <c r="H1788" s="6" t="e">
        <f>VLOOKUP('Customer Info'!A1780,'Customer Info'!A1780:I2280,3,FALSE)</f>
        <v>#N/A</v>
      </c>
      <c r="I1788" s="6" t="e">
        <f>VLOOKUP('Customer Info'!A1780,'Customer Info'!A1780:I2279,5,FALSE)</f>
        <v>#N/A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755</v>
      </c>
      <c r="R1788" s="2" t="s">
        <v>50</v>
      </c>
      <c r="S1788" s="9">
        <f t="shared" si="139"/>
        <v>0.05</v>
      </c>
    </row>
    <row r="1789" spans="1:19" x14ac:dyDescent="0.25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e">
        <f>VLOOKUP('Customer Info'!A1781,'Customer Info'!A1781:I2280,2,FALSE)</f>
        <v>#N/A</v>
      </c>
      <c r="H1789" s="6" t="e">
        <f>VLOOKUP('Customer Info'!A1781,'Customer Info'!A1781:I2281,3,FALSE)</f>
        <v>#N/A</v>
      </c>
      <c r="I1789" s="6" t="e">
        <f>VLOOKUP('Customer Info'!A1781,'Customer Info'!A1781:I2280,5,FALSE)</f>
        <v>#N/A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1086</v>
      </c>
      <c r="R1789" s="2" t="s">
        <v>28</v>
      </c>
      <c r="S1789" s="9">
        <f t="shared" si="139"/>
        <v>0.05</v>
      </c>
    </row>
    <row r="1790" spans="1:19" x14ac:dyDescent="0.25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e">
        <f>VLOOKUP('Customer Info'!A1782,'Customer Info'!A1782:I2281,2,FALSE)</f>
        <v>#N/A</v>
      </c>
      <c r="H1790" s="6" t="e">
        <f>VLOOKUP('Customer Info'!A1782,'Customer Info'!A1782:I2282,3,FALSE)</f>
        <v>#N/A</v>
      </c>
      <c r="I1790" s="6" t="e">
        <f>VLOOKUP('Customer Info'!A1782,'Customer Info'!A1782:I2281,5,FALSE)</f>
        <v>#N/A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12507</v>
      </c>
      <c r="R1790" s="2" t="s">
        <v>50</v>
      </c>
      <c r="S1790" s="9">
        <f t="shared" si="139"/>
        <v>0.12</v>
      </c>
    </row>
    <row r="1791" spans="1:19" x14ac:dyDescent="0.25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e">
        <f>VLOOKUP('Customer Info'!A1783,'Customer Info'!A1783:I2282,2,FALSE)</f>
        <v>#N/A</v>
      </c>
      <c r="H1791" s="6" t="e">
        <f>VLOOKUP('Customer Info'!A1783,'Customer Info'!A1783:I2283,3,FALSE)</f>
        <v>#N/A</v>
      </c>
      <c r="I1791" s="6" t="e">
        <f>VLOOKUP('Customer Info'!A1783,'Customer Info'!A1783:I2282,5,FALSE)</f>
        <v>#N/A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39</v>
      </c>
      <c r="R1791" s="2" t="s">
        <v>26</v>
      </c>
      <c r="S1791" s="9">
        <f t="shared" si="139"/>
        <v>0.02</v>
      </c>
    </row>
    <row r="1792" spans="1:19" x14ac:dyDescent="0.25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e">
        <f>VLOOKUP('Customer Info'!A1784,'Customer Info'!A1784:I2283,2,FALSE)</f>
        <v>#N/A</v>
      </c>
      <c r="H1792" s="6" t="e">
        <f>VLOOKUP('Customer Info'!A1784,'Customer Info'!A1784:I2284,3,FALSE)</f>
        <v>#N/A</v>
      </c>
      <c r="I1792" s="6" t="e">
        <f>VLOOKUP('Customer Info'!A1784,'Customer Info'!A1784:I2283,5,FALSE)</f>
        <v>#N/A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791</v>
      </c>
      <c r="R1792" s="2" t="s">
        <v>50</v>
      </c>
      <c r="S1792" s="9">
        <f t="shared" si="139"/>
        <v>0.05</v>
      </c>
    </row>
    <row r="1793" spans="1:19" x14ac:dyDescent="0.25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e">
        <f>VLOOKUP('Customer Info'!A1785,'Customer Info'!A1785:I2284,2,FALSE)</f>
        <v>#N/A</v>
      </c>
      <c r="H1793" s="6" t="e">
        <f>VLOOKUP('Customer Info'!A1785,'Customer Info'!A1785:I2285,3,FALSE)</f>
        <v>#N/A</v>
      </c>
      <c r="I1793" s="6" t="e">
        <f>VLOOKUP('Customer Info'!A1785,'Customer Info'!A1785:I2284,5,FALSE)</f>
        <v>#N/A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22</v>
      </c>
      <c r="R1793" s="2" t="s">
        <v>28</v>
      </c>
      <c r="S1793" s="9">
        <f t="shared" si="139"/>
        <v>0.02</v>
      </c>
    </row>
    <row r="1794" spans="1:19" x14ac:dyDescent="0.25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e">
        <f>VLOOKUP('Customer Info'!A1786,'Customer Info'!A1786:I2285,2,FALSE)</f>
        <v>#N/A</v>
      </c>
      <c r="H1794" s="6" t="e">
        <f>VLOOKUP('Customer Info'!A1786,'Customer Info'!A1786:I2286,3,FALSE)</f>
        <v>#N/A</v>
      </c>
      <c r="I1794" s="6" t="e">
        <f>VLOOKUP('Customer Info'!A1786,'Customer Info'!A1786:I2285,5,FALSE)</f>
        <v>#N/A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1989</v>
      </c>
      <c r="R1794" s="2" t="s">
        <v>28</v>
      </c>
      <c r="S1794" s="9">
        <f t="shared" si="139"/>
        <v>0.05</v>
      </c>
    </row>
    <row r="1795" spans="1:19" x14ac:dyDescent="0.25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e">
        <f>VLOOKUP('Customer Info'!A1787,'Customer Info'!A1787:I2286,2,FALSE)</f>
        <v>#N/A</v>
      </c>
      <c r="H1795" s="6" t="e">
        <f>VLOOKUP('Customer Info'!A1787,'Customer Info'!A1787:I2287,3,FALSE)</f>
        <v>#N/A</v>
      </c>
      <c r="I1795" s="6" t="e">
        <f>VLOOKUP('Customer Info'!A1787,'Customer Info'!A1787:I2286,5,FALSE)</f>
        <v>#N/A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1903</v>
      </c>
      <c r="R1795" s="2" t="s">
        <v>28</v>
      </c>
      <c r="S1795" s="9">
        <f t="shared" si="139"/>
        <v>7.0000000000000007E-2</v>
      </c>
    </row>
    <row r="1796" spans="1:19" x14ac:dyDescent="0.25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e">
        <f>VLOOKUP('Customer Info'!A1788,'Customer Info'!A1788:I2287,2,FALSE)</f>
        <v>#N/A</v>
      </c>
      <c r="H1796" s="6" t="e">
        <f>VLOOKUP('Customer Info'!A1788,'Customer Info'!A1788:I2288,3,FALSE)</f>
        <v>#N/A</v>
      </c>
      <c r="I1796" s="6" t="e">
        <f>VLOOKUP('Customer Info'!A1788,'Customer Info'!A1788:I2287,5,FALSE)</f>
        <v>#N/A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20</v>
      </c>
      <c r="R1796" s="2" t="s">
        <v>28</v>
      </c>
      <c r="S1796" s="9">
        <f t="shared" si="139"/>
        <v>0.02</v>
      </c>
    </row>
    <row r="1797" spans="1:19" x14ac:dyDescent="0.25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e">
        <f>VLOOKUP('Customer Info'!A1789,'Customer Info'!A1789:I2288,2,FALSE)</f>
        <v>#N/A</v>
      </c>
      <c r="H1797" s="6" t="e">
        <f>VLOOKUP('Customer Info'!A1789,'Customer Info'!A1789:I2289,3,FALSE)</f>
        <v>#N/A</v>
      </c>
      <c r="I1797" s="6" t="e">
        <f>VLOOKUP('Customer Info'!A1789,'Customer Info'!A1789:I2288,5,FALSE)</f>
        <v>#N/A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670</v>
      </c>
      <c r="R1797" s="2" t="s">
        <v>56</v>
      </c>
      <c r="S1797" s="9">
        <f t="shared" si="139"/>
        <v>0.05</v>
      </c>
    </row>
    <row r="1798" spans="1:19" x14ac:dyDescent="0.25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e">
        <f>VLOOKUP('Customer Info'!A1790,'Customer Info'!A1790:I2289,2,FALSE)</f>
        <v>#N/A</v>
      </c>
      <c r="H1798" s="6" t="e">
        <f>VLOOKUP('Customer Info'!A1790,'Customer Info'!A1790:I2290,3,FALSE)</f>
        <v>#N/A</v>
      </c>
      <c r="I1798" s="6" t="e">
        <f>VLOOKUP('Customer Info'!A1790,'Customer Info'!A1790:I2289,5,FALSE)</f>
        <v>#N/A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614</v>
      </c>
      <c r="R1798" s="2" t="s">
        <v>28</v>
      </c>
      <c r="S1798" s="9">
        <f t="shared" si="139"/>
        <v>0.05</v>
      </c>
    </row>
    <row r="1799" spans="1:19" x14ac:dyDescent="0.25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e">
        <f>VLOOKUP('Customer Info'!A1791,'Customer Info'!A1791:I2290,2,FALSE)</f>
        <v>#N/A</v>
      </c>
      <c r="H1799" s="6" t="e">
        <f>VLOOKUP('Customer Info'!A1791,'Customer Info'!A1791:I2291,3,FALSE)</f>
        <v>#N/A</v>
      </c>
      <c r="I1799" s="6" t="e">
        <f>VLOOKUP('Customer Info'!A1791,'Customer Info'!A1791:I2290,5,FALSE)</f>
        <v>#N/A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44</v>
      </c>
      <c r="R1799" s="2" t="s">
        <v>50</v>
      </c>
      <c r="S1799" s="9">
        <f t="shared" si="139"/>
        <v>0.02</v>
      </c>
    </row>
    <row r="1800" spans="1:19" x14ac:dyDescent="0.25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e">
        <f>VLOOKUP('Customer Info'!A1792,'Customer Info'!A1792:I2291,2,FALSE)</f>
        <v>#N/A</v>
      </c>
      <c r="H1800" s="6" t="e">
        <f>VLOOKUP('Customer Info'!A1792,'Customer Info'!A1792:I2292,3,FALSE)</f>
        <v>#N/A</v>
      </c>
      <c r="I1800" s="6" t="e">
        <f>VLOOKUP('Customer Info'!A1792,'Customer Info'!A1792:I2291,5,FALSE)</f>
        <v>#N/A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45</v>
      </c>
      <c r="R1800" s="2" t="s">
        <v>50</v>
      </c>
      <c r="S1800" s="9">
        <f t="shared" si="139"/>
        <v>0.02</v>
      </c>
    </row>
    <row r="1801" spans="1:19" x14ac:dyDescent="0.25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e">
        <f>VLOOKUP('Customer Info'!A1793,'Customer Info'!A1793:I2292,2,FALSE)</f>
        <v>#N/A</v>
      </c>
      <c r="H1801" s="6" t="e">
        <f>VLOOKUP('Customer Info'!A1793,'Customer Info'!A1793:I2293,3,FALSE)</f>
        <v>#N/A</v>
      </c>
      <c r="I1801" s="6" t="e">
        <f>VLOOKUP('Customer Info'!A1793,'Customer Info'!A1793:I2292,5,FALSE)</f>
        <v>#N/A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275</v>
      </c>
      <c r="R1801" s="2" t="s">
        <v>28</v>
      </c>
      <c r="S1801" s="9">
        <f t="shared" si="139"/>
        <v>0.02</v>
      </c>
    </row>
    <row r="1802" spans="1:19" x14ac:dyDescent="0.25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e">
        <f>VLOOKUP('Customer Info'!A1794,'Customer Info'!A1794:I2293,2,FALSE)</f>
        <v>#N/A</v>
      </c>
      <c r="H1802" s="6" t="e">
        <f>VLOOKUP('Customer Info'!A1794,'Customer Info'!A1794:I2294,3,FALSE)</f>
        <v>#N/A</v>
      </c>
      <c r="I1802" s="6" t="e">
        <f>VLOOKUP('Customer Info'!A1794,'Customer Info'!A1794:I2293,5,FALSE)</f>
        <v>#N/A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312</v>
      </c>
      <c r="R1802" s="2" t="s">
        <v>28</v>
      </c>
      <c r="S1802" s="9">
        <f t="shared" si="139"/>
        <v>0.02</v>
      </c>
    </row>
    <row r="1803" spans="1:19" x14ac:dyDescent="0.25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e">
        <f>VLOOKUP('Customer Info'!A1795,'Customer Info'!A1795:I2294,2,FALSE)</f>
        <v>#N/A</v>
      </c>
      <c r="H1803" s="6" t="e">
        <f>VLOOKUP('Customer Info'!A1795,'Customer Info'!A1795:I2295,3,FALSE)</f>
        <v>#N/A</v>
      </c>
      <c r="I1803" s="6" t="e">
        <f>VLOOKUP('Customer Info'!A1795,'Customer Info'!A1795:I2294,5,FALSE)</f>
        <v>#N/A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8">
        <f t="shared" ref="P1803:P1866" si="142">N1803+O1803</f>
        <v>6665</v>
      </c>
      <c r="Q1803" s="8">
        <f t="shared" ref="Q1803:Q1866" si="143">P1803-M1803</f>
        <v>605</v>
      </c>
      <c r="R1803" s="2" t="s">
        <v>50</v>
      </c>
      <c r="S1803" s="9">
        <f t="shared" ref="S1803:S1866" si="144">VLOOKUP(P1803,$T$2:$U$7,2,TRUE)</f>
        <v>0.05</v>
      </c>
    </row>
    <row r="1804" spans="1:19" x14ac:dyDescent="0.25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e">
        <f>VLOOKUP('Customer Info'!A1796,'Customer Info'!A1796:I2295,2,FALSE)</f>
        <v>#N/A</v>
      </c>
      <c r="H1804" s="6" t="e">
        <f>VLOOKUP('Customer Info'!A1796,'Customer Info'!A1796:I2296,3,FALSE)</f>
        <v>#N/A</v>
      </c>
      <c r="I1804" s="6" t="e">
        <f>VLOOKUP('Customer Info'!A1796,'Customer Info'!A1796:I2295,5,FALSE)</f>
        <v>#N/A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90</v>
      </c>
      <c r="R1804" s="2" t="s">
        <v>28</v>
      </c>
      <c r="S1804" s="9">
        <f t="shared" si="144"/>
        <v>0.02</v>
      </c>
    </row>
    <row r="1805" spans="1:19" x14ac:dyDescent="0.25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e">
        <f>VLOOKUP('Customer Info'!A1797,'Customer Info'!A1797:I2296,2,FALSE)</f>
        <v>#N/A</v>
      </c>
      <c r="H1805" s="6" t="e">
        <f>VLOOKUP('Customer Info'!A1797,'Customer Info'!A1797:I2297,3,FALSE)</f>
        <v>#N/A</v>
      </c>
      <c r="I1805" s="6" t="e">
        <f>VLOOKUP('Customer Info'!A1797,'Customer Info'!A1797:I2296,5,FALSE)</f>
        <v>#N/A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279</v>
      </c>
      <c r="R1805" s="2" t="s">
        <v>28</v>
      </c>
      <c r="S1805" s="9">
        <f t="shared" si="144"/>
        <v>0.05</v>
      </c>
    </row>
    <row r="1806" spans="1:19" x14ac:dyDescent="0.25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e">
        <f>VLOOKUP('Customer Info'!A1798,'Customer Info'!A1798:I2297,2,FALSE)</f>
        <v>#N/A</v>
      </c>
      <c r="H1806" s="6" t="e">
        <f>VLOOKUP('Customer Info'!A1798,'Customer Info'!A1798:I2298,3,FALSE)</f>
        <v>#N/A</v>
      </c>
      <c r="I1806" s="6" t="e">
        <f>VLOOKUP('Customer Info'!A1798,'Customer Info'!A1798:I2297,5,FALSE)</f>
        <v>#N/A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332</v>
      </c>
      <c r="R1806" s="2" t="s">
        <v>50</v>
      </c>
      <c r="S1806" s="9">
        <f t="shared" si="144"/>
        <v>0.02</v>
      </c>
    </row>
    <row r="1807" spans="1:19" x14ac:dyDescent="0.25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e">
        <f>VLOOKUP('Customer Info'!A1799,'Customer Info'!A1799:I2298,2,FALSE)</f>
        <v>#N/A</v>
      </c>
      <c r="H1807" s="6" t="e">
        <f>VLOOKUP('Customer Info'!A1799,'Customer Info'!A1799:I2299,3,FALSE)</f>
        <v>#N/A</v>
      </c>
      <c r="I1807" s="6" t="e">
        <f>VLOOKUP('Customer Info'!A1799,'Customer Info'!A1799:I2298,5,FALSE)</f>
        <v>#N/A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318</v>
      </c>
      <c r="R1807" s="2" t="s">
        <v>28</v>
      </c>
      <c r="S1807" s="9">
        <f t="shared" si="144"/>
        <v>0.02</v>
      </c>
    </row>
    <row r="1808" spans="1:19" x14ac:dyDescent="0.25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e">
        <f>VLOOKUP('Customer Info'!A1800,'Customer Info'!A1800:I2299,2,FALSE)</f>
        <v>#N/A</v>
      </c>
      <c r="H1808" s="6" t="e">
        <f>VLOOKUP('Customer Info'!A1800,'Customer Info'!A1800:I2300,3,FALSE)</f>
        <v>#N/A</v>
      </c>
      <c r="I1808" s="6" t="e">
        <f>VLOOKUP('Customer Info'!A1800,'Customer Info'!A1800:I2299,5,FALSE)</f>
        <v>#N/A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246</v>
      </c>
      <c r="R1808" s="2" t="s">
        <v>28</v>
      </c>
      <c r="S1808" s="9">
        <f t="shared" si="144"/>
        <v>0.02</v>
      </c>
    </row>
    <row r="1809" spans="1:19" x14ac:dyDescent="0.25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e">
        <f>VLOOKUP('Customer Info'!A1801,'Customer Info'!A1801:I2300,2,FALSE)</f>
        <v>#N/A</v>
      </c>
      <c r="H1809" s="6" t="e">
        <f>VLOOKUP('Customer Info'!A1801,'Customer Info'!A1801:I2301,3,FALSE)</f>
        <v>#N/A</v>
      </c>
      <c r="I1809" s="6" t="e">
        <f>VLOOKUP('Customer Info'!A1801,'Customer Info'!A1801:I2300,5,FALSE)</f>
        <v>#N/A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445</v>
      </c>
      <c r="R1809" s="2" t="s">
        <v>28</v>
      </c>
      <c r="S1809" s="9">
        <f t="shared" si="144"/>
        <v>0.02</v>
      </c>
    </row>
    <row r="1810" spans="1:19" x14ac:dyDescent="0.25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e">
        <f>VLOOKUP('Customer Info'!A1802,'Customer Info'!A1802:I2301,2,FALSE)</f>
        <v>#N/A</v>
      </c>
      <c r="H1810" s="6" t="e">
        <f>VLOOKUP('Customer Info'!A1802,'Customer Info'!A1802:I2302,3,FALSE)</f>
        <v>#N/A</v>
      </c>
      <c r="I1810" s="6" t="e">
        <f>VLOOKUP('Customer Info'!A1802,'Customer Info'!A1802:I2301,5,FALSE)</f>
        <v>#N/A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50</v>
      </c>
      <c r="R1810" s="2" t="s">
        <v>28</v>
      </c>
      <c r="S1810" s="9">
        <f t="shared" si="144"/>
        <v>0.02</v>
      </c>
    </row>
    <row r="1811" spans="1:19" x14ac:dyDescent="0.25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e">
        <f>VLOOKUP('Customer Info'!A1803,'Customer Info'!A1803:I2302,2,FALSE)</f>
        <v>#N/A</v>
      </c>
      <c r="H1811" s="6" t="e">
        <f>VLOOKUP('Customer Info'!A1803,'Customer Info'!A1803:I2303,3,FALSE)</f>
        <v>#N/A</v>
      </c>
      <c r="I1811" s="6" t="e">
        <f>VLOOKUP('Customer Info'!A1803,'Customer Info'!A1803:I2302,5,FALSE)</f>
        <v>#N/A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551</v>
      </c>
      <c r="R1811" s="2" t="s">
        <v>28</v>
      </c>
      <c r="S1811" s="9">
        <f t="shared" si="144"/>
        <v>0.02</v>
      </c>
    </row>
    <row r="1812" spans="1:19" x14ac:dyDescent="0.25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e">
        <f>VLOOKUP('Customer Info'!A1804,'Customer Info'!A1804:I2303,2,FALSE)</f>
        <v>#N/A</v>
      </c>
      <c r="H1812" s="6" t="e">
        <f>VLOOKUP('Customer Info'!A1804,'Customer Info'!A1804:I2304,3,FALSE)</f>
        <v>#N/A</v>
      </c>
      <c r="I1812" s="6" t="e">
        <f>VLOOKUP('Customer Info'!A1804,'Customer Info'!A1804:I2303,5,FALSE)</f>
        <v>#N/A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132</v>
      </c>
      <c r="R1812" s="2" t="s">
        <v>28</v>
      </c>
      <c r="S1812" s="9">
        <f t="shared" si="144"/>
        <v>0.02</v>
      </c>
    </row>
    <row r="1813" spans="1:19" x14ac:dyDescent="0.25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e">
        <f>VLOOKUP('Customer Info'!A1805,'Customer Info'!A1805:I2304,2,FALSE)</f>
        <v>#N/A</v>
      </c>
      <c r="H1813" s="6" t="e">
        <f>VLOOKUP('Customer Info'!A1805,'Customer Info'!A1805:I2305,3,FALSE)</f>
        <v>#N/A</v>
      </c>
      <c r="I1813" s="6" t="e">
        <f>VLOOKUP('Customer Info'!A1805,'Customer Info'!A1805:I2304,5,FALSE)</f>
        <v>#N/A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773</v>
      </c>
      <c r="R1813" s="2" t="s">
        <v>50</v>
      </c>
      <c r="S1813" s="9">
        <f t="shared" si="144"/>
        <v>0.05</v>
      </c>
    </row>
    <row r="1814" spans="1:19" x14ac:dyDescent="0.25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e">
        <f>VLOOKUP('Customer Info'!A1806,'Customer Info'!A1806:I2305,2,FALSE)</f>
        <v>#N/A</v>
      </c>
      <c r="H1814" s="6" t="e">
        <f>VLOOKUP('Customer Info'!A1806,'Customer Info'!A1806:I2306,3,FALSE)</f>
        <v>#N/A</v>
      </c>
      <c r="I1814" s="6" t="e">
        <f>VLOOKUP('Customer Info'!A1806,'Customer Info'!A1806:I2305,5,FALSE)</f>
        <v>#N/A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579</v>
      </c>
      <c r="R1814" s="2" t="s">
        <v>28</v>
      </c>
      <c r="S1814" s="9">
        <f t="shared" si="144"/>
        <v>0.05</v>
      </c>
    </row>
    <row r="1815" spans="1:19" x14ac:dyDescent="0.25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e">
        <f>VLOOKUP('Customer Info'!A1807,'Customer Info'!A1807:I2306,2,FALSE)</f>
        <v>#N/A</v>
      </c>
      <c r="H1815" s="6" t="e">
        <f>VLOOKUP('Customer Info'!A1807,'Customer Info'!A1807:I2307,3,FALSE)</f>
        <v>#N/A</v>
      </c>
      <c r="I1815" s="6" t="e">
        <f>VLOOKUP('Customer Info'!A1807,'Customer Info'!A1807:I2306,5,FALSE)</f>
        <v>#N/A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794</v>
      </c>
      <c r="R1815" s="2" t="s">
        <v>28</v>
      </c>
      <c r="S1815" s="9">
        <f t="shared" si="144"/>
        <v>0.05</v>
      </c>
    </row>
    <row r="1816" spans="1:19" x14ac:dyDescent="0.25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e">
        <f>VLOOKUP('Customer Info'!A1808,'Customer Info'!A1808:I2307,2,FALSE)</f>
        <v>#N/A</v>
      </c>
      <c r="H1816" s="6" t="e">
        <f>VLOOKUP('Customer Info'!A1808,'Customer Info'!A1808:I2308,3,FALSE)</f>
        <v>#N/A</v>
      </c>
      <c r="I1816" s="6" t="e">
        <f>VLOOKUP('Customer Info'!A1808,'Customer Info'!A1808:I2307,5,FALSE)</f>
        <v>#N/A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156</v>
      </c>
      <c r="R1816" s="2" t="s">
        <v>28</v>
      </c>
      <c r="S1816" s="9">
        <f t="shared" si="144"/>
        <v>0.02</v>
      </c>
    </row>
    <row r="1817" spans="1:19" x14ac:dyDescent="0.25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e">
        <f>VLOOKUP('Customer Info'!A1809,'Customer Info'!A1809:I2308,2,FALSE)</f>
        <v>#N/A</v>
      </c>
      <c r="H1817" s="6" t="e">
        <f>VLOOKUP('Customer Info'!A1809,'Customer Info'!A1809:I2309,3,FALSE)</f>
        <v>#N/A</v>
      </c>
      <c r="I1817" s="6" t="e">
        <f>VLOOKUP('Customer Info'!A1809,'Customer Info'!A1809:I2308,5,FALSE)</f>
        <v>#N/A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748</v>
      </c>
      <c r="R1817" s="2" t="s">
        <v>50</v>
      </c>
      <c r="S1817" s="9">
        <f t="shared" si="144"/>
        <v>0.05</v>
      </c>
    </row>
    <row r="1818" spans="1:19" x14ac:dyDescent="0.25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e">
        <f>VLOOKUP('Customer Info'!A1810,'Customer Info'!A1810:I2309,2,FALSE)</f>
        <v>#N/A</v>
      </c>
      <c r="H1818" s="6" t="e">
        <f>VLOOKUP('Customer Info'!A1810,'Customer Info'!A1810:I2310,3,FALSE)</f>
        <v>#N/A</v>
      </c>
      <c r="I1818" s="6" t="e">
        <f>VLOOKUP('Customer Info'!A1810,'Customer Info'!A1810:I2309,5,FALSE)</f>
        <v>#N/A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245</v>
      </c>
      <c r="R1818" s="2" t="s">
        <v>50</v>
      </c>
      <c r="S1818" s="9">
        <f t="shared" si="144"/>
        <v>0.02</v>
      </c>
    </row>
    <row r="1819" spans="1:19" x14ac:dyDescent="0.25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e">
        <f>VLOOKUP('Customer Info'!A1811,'Customer Info'!A1811:I2310,2,FALSE)</f>
        <v>#N/A</v>
      </c>
      <c r="H1819" s="6" t="e">
        <f>VLOOKUP('Customer Info'!A1811,'Customer Info'!A1811:I2311,3,FALSE)</f>
        <v>#N/A</v>
      </c>
      <c r="I1819" s="6" t="e">
        <f>VLOOKUP('Customer Info'!A1811,'Customer Info'!A1811:I2310,5,FALSE)</f>
        <v>#N/A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150</v>
      </c>
      <c r="R1819" s="2" t="s">
        <v>28</v>
      </c>
      <c r="S1819" s="9">
        <f t="shared" si="144"/>
        <v>0.02</v>
      </c>
    </row>
    <row r="1820" spans="1:19" x14ac:dyDescent="0.25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e">
        <f>VLOOKUP('Customer Info'!A1812,'Customer Info'!A1812:I2311,2,FALSE)</f>
        <v>#N/A</v>
      </c>
      <c r="H1820" s="6" t="e">
        <f>VLOOKUP('Customer Info'!A1812,'Customer Info'!A1812:I2312,3,FALSE)</f>
        <v>#N/A</v>
      </c>
      <c r="I1820" s="6" t="e">
        <f>VLOOKUP('Customer Info'!A1812,'Customer Info'!A1812:I2311,5,FALSE)</f>
        <v>#N/A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64</v>
      </c>
      <c r="R1820" s="2" t="s">
        <v>28</v>
      </c>
      <c r="S1820" s="9">
        <f t="shared" si="144"/>
        <v>0.02</v>
      </c>
    </row>
    <row r="1821" spans="1:19" x14ac:dyDescent="0.25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e">
        <f>VLOOKUP('Customer Info'!A1813,'Customer Info'!A1813:I2312,2,FALSE)</f>
        <v>#N/A</v>
      </c>
      <c r="H1821" s="6" t="e">
        <f>VLOOKUP('Customer Info'!A1813,'Customer Info'!A1813:I2313,3,FALSE)</f>
        <v>#N/A</v>
      </c>
      <c r="I1821" s="6" t="e">
        <f>VLOOKUP('Customer Info'!A1813,'Customer Info'!A1813:I2312,5,FALSE)</f>
        <v>#N/A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801</v>
      </c>
      <c r="R1821" s="2" t="s">
        <v>50</v>
      </c>
      <c r="S1821" s="9">
        <f t="shared" si="144"/>
        <v>0.05</v>
      </c>
    </row>
    <row r="1822" spans="1:19" x14ac:dyDescent="0.25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e">
        <f>VLOOKUP('Customer Info'!A1814,'Customer Info'!A1814:I2313,2,FALSE)</f>
        <v>#N/A</v>
      </c>
      <c r="H1822" s="6" t="e">
        <f>VLOOKUP('Customer Info'!A1814,'Customer Info'!A1814:I2314,3,FALSE)</f>
        <v>#N/A</v>
      </c>
      <c r="I1822" s="6" t="e">
        <f>VLOOKUP('Customer Info'!A1814,'Customer Info'!A1814:I2313,5,FALSE)</f>
        <v>#N/A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714</v>
      </c>
      <c r="R1822" s="2" t="s">
        <v>28</v>
      </c>
      <c r="S1822" s="9">
        <f t="shared" si="144"/>
        <v>0.05</v>
      </c>
    </row>
    <row r="1823" spans="1:19" x14ac:dyDescent="0.25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e">
        <f>VLOOKUP('Customer Info'!A1815,'Customer Info'!A1815:I2314,2,FALSE)</f>
        <v>#N/A</v>
      </c>
      <c r="H1823" s="6" t="e">
        <f>VLOOKUP('Customer Info'!A1815,'Customer Info'!A1815:I2315,3,FALSE)</f>
        <v>#N/A</v>
      </c>
      <c r="I1823" s="6" t="e">
        <f>VLOOKUP('Customer Info'!A1815,'Customer Info'!A1815:I2314,5,FALSE)</f>
        <v>#N/A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877</v>
      </c>
      <c r="R1823" s="2" t="s">
        <v>28</v>
      </c>
      <c r="S1823" s="9">
        <f t="shared" si="144"/>
        <v>0.05</v>
      </c>
    </row>
    <row r="1824" spans="1:19" x14ac:dyDescent="0.25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e">
        <f>VLOOKUP('Customer Info'!A1816,'Customer Info'!A1816:I2315,2,FALSE)</f>
        <v>#N/A</v>
      </c>
      <c r="H1824" s="6" t="e">
        <f>VLOOKUP('Customer Info'!A1816,'Customer Info'!A1816:I2316,3,FALSE)</f>
        <v>#N/A</v>
      </c>
      <c r="I1824" s="6" t="e">
        <f>VLOOKUP('Customer Info'!A1816,'Customer Info'!A1816:I2315,5,FALSE)</f>
        <v>#N/A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272</v>
      </c>
      <c r="R1824" s="2" t="s">
        <v>28</v>
      </c>
      <c r="S1824" s="9">
        <f t="shared" si="144"/>
        <v>0.02</v>
      </c>
    </row>
    <row r="1825" spans="1:19" x14ac:dyDescent="0.25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e">
        <f>VLOOKUP('Customer Info'!A1817,'Customer Info'!A1817:I2316,2,FALSE)</f>
        <v>#N/A</v>
      </c>
      <c r="H1825" s="6" t="e">
        <f>VLOOKUP('Customer Info'!A1817,'Customer Info'!A1817:I2317,3,FALSE)</f>
        <v>#N/A</v>
      </c>
      <c r="I1825" s="6" t="e">
        <f>VLOOKUP('Customer Info'!A1817,'Customer Info'!A1817:I2316,5,FALSE)</f>
        <v>#N/A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1350</v>
      </c>
      <c r="R1825" s="2" t="s">
        <v>28</v>
      </c>
      <c r="S1825" s="9">
        <f t="shared" si="144"/>
        <v>7.0000000000000007E-2</v>
      </c>
    </row>
    <row r="1826" spans="1:19" x14ac:dyDescent="0.25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e">
        <f>VLOOKUP('Customer Info'!A1818,'Customer Info'!A1818:I2317,2,FALSE)</f>
        <v>#N/A</v>
      </c>
      <c r="H1826" s="6" t="e">
        <f>VLOOKUP('Customer Info'!A1818,'Customer Info'!A1818:I2318,3,FALSE)</f>
        <v>#N/A</v>
      </c>
      <c r="I1826" s="6" t="e">
        <f>VLOOKUP('Customer Info'!A1818,'Customer Info'!A1818:I2317,5,FALSE)</f>
        <v>#N/A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82</v>
      </c>
      <c r="R1826" s="2" t="s">
        <v>50</v>
      </c>
      <c r="S1826" s="9">
        <f t="shared" si="144"/>
        <v>0.02</v>
      </c>
    </row>
    <row r="1827" spans="1:19" x14ac:dyDescent="0.25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e">
        <f>VLOOKUP('Customer Info'!A1819,'Customer Info'!A1819:I2318,2,FALSE)</f>
        <v>#N/A</v>
      </c>
      <c r="H1827" s="6" t="e">
        <f>VLOOKUP('Customer Info'!A1819,'Customer Info'!A1819:I2319,3,FALSE)</f>
        <v>#N/A</v>
      </c>
      <c r="I1827" s="6" t="e">
        <f>VLOOKUP('Customer Info'!A1819,'Customer Info'!A1819:I2318,5,FALSE)</f>
        <v>#N/A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397</v>
      </c>
      <c r="R1827" s="2" t="s">
        <v>28</v>
      </c>
      <c r="S1827" s="9">
        <f t="shared" si="144"/>
        <v>0.02</v>
      </c>
    </row>
    <row r="1828" spans="1:19" x14ac:dyDescent="0.25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e">
        <f>VLOOKUP('Customer Info'!A1820,'Customer Info'!A1820:I2319,2,FALSE)</f>
        <v>#N/A</v>
      </c>
      <c r="H1828" s="6" t="e">
        <f>VLOOKUP('Customer Info'!A1820,'Customer Info'!A1820:I2320,3,FALSE)</f>
        <v>#N/A</v>
      </c>
      <c r="I1828" s="6" t="e">
        <f>VLOOKUP('Customer Info'!A1820,'Customer Info'!A1820:I2319,5,FALSE)</f>
        <v>#N/A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520</v>
      </c>
      <c r="R1828" s="2" t="s">
        <v>50</v>
      </c>
      <c r="S1828" s="9">
        <f t="shared" si="144"/>
        <v>0.05</v>
      </c>
    </row>
    <row r="1829" spans="1:19" x14ac:dyDescent="0.25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e">
        <f>VLOOKUP('Customer Info'!A1821,'Customer Info'!A1821:I2320,2,FALSE)</f>
        <v>#N/A</v>
      </c>
      <c r="H1829" s="6" t="e">
        <f>VLOOKUP('Customer Info'!A1821,'Customer Info'!A1821:I2321,3,FALSE)</f>
        <v>#N/A</v>
      </c>
      <c r="I1829" s="6" t="e">
        <f>VLOOKUP('Customer Info'!A1821,'Customer Info'!A1821:I2320,5,FALSE)</f>
        <v>#N/A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937</v>
      </c>
      <c r="R1829" s="2" t="s">
        <v>28</v>
      </c>
      <c r="S1829" s="9">
        <f t="shared" si="144"/>
        <v>0.05</v>
      </c>
    </row>
    <row r="1830" spans="1:19" x14ac:dyDescent="0.25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e">
        <f>VLOOKUP('Customer Info'!A1822,'Customer Info'!A1822:I2321,2,FALSE)</f>
        <v>#N/A</v>
      </c>
      <c r="H1830" s="6" t="e">
        <f>VLOOKUP('Customer Info'!A1822,'Customer Info'!A1822:I2322,3,FALSE)</f>
        <v>#N/A</v>
      </c>
      <c r="I1830" s="6" t="e">
        <f>VLOOKUP('Customer Info'!A1822,'Customer Info'!A1822:I2321,5,FALSE)</f>
        <v>#N/A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473</v>
      </c>
      <c r="R1830" s="2" t="s">
        <v>28</v>
      </c>
      <c r="S1830" s="9">
        <f t="shared" si="144"/>
        <v>0.05</v>
      </c>
    </row>
    <row r="1831" spans="1:19" x14ac:dyDescent="0.25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e">
        <f>VLOOKUP('Customer Info'!A1823,'Customer Info'!A1823:I2322,2,FALSE)</f>
        <v>#N/A</v>
      </c>
      <c r="H1831" s="6" t="e">
        <f>VLOOKUP('Customer Info'!A1823,'Customer Info'!A1823:I2323,3,FALSE)</f>
        <v>#N/A</v>
      </c>
      <c r="I1831" s="6" t="e">
        <f>VLOOKUP('Customer Info'!A1823,'Customer Info'!A1823:I2322,5,FALSE)</f>
        <v>#N/A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236</v>
      </c>
      <c r="R1831" s="2" t="s">
        <v>28</v>
      </c>
      <c r="S1831" s="9">
        <f t="shared" si="144"/>
        <v>0.02</v>
      </c>
    </row>
    <row r="1832" spans="1:19" x14ac:dyDescent="0.25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e">
        <f>VLOOKUP('Customer Info'!A1824,'Customer Info'!A1824:I2323,2,FALSE)</f>
        <v>#N/A</v>
      </c>
      <c r="H1832" s="6" t="e">
        <f>VLOOKUP('Customer Info'!A1824,'Customer Info'!A1824:I2324,3,FALSE)</f>
        <v>#N/A</v>
      </c>
      <c r="I1832" s="6" t="e">
        <f>VLOOKUP('Customer Info'!A1824,'Customer Info'!A1824:I2323,5,FALSE)</f>
        <v>#N/A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81</v>
      </c>
      <c r="R1832" s="2" t="s">
        <v>26</v>
      </c>
      <c r="S1832" s="9">
        <f t="shared" si="144"/>
        <v>0.02</v>
      </c>
    </row>
    <row r="1833" spans="1:19" x14ac:dyDescent="0.25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e">
        <f>VLOOKUP('Customer Info'!A1825,'Customer Info'!A1825:I2324,2,FALSE)</f>
        <v>#N/A</v>
      </c>
      <c r="H1833" s="6" t="e">
        <f>VLOOKUP('Customer Info'!A1825,'Customer Info'!A1825:I2325,3,FALSE)</f>
        <v>#N/A</v>
      </c>
      <c r="I1833" s="6" t="e">
        <f>VLOOKUP('Customer Info'!A1825,'Customer Info'!A1825:I2324,5,FALSE)</f>
        <v>#N/A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16</v>
      </c>
      <c r="R1833" s="2" t="s">
        <v>56</v>
      </c>
      <c r="S1833" s="9">
        <f t="shared" si="144"/>
        <v>0.02</v>
      </c>
    </row>
    <row r="1834" spans="1:19" x14ac:dyDescent="0.25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e">
        <f>VLOOKUP('Customer Info'!A1826,'Customer Info'!A1826:I2325,2,FALSE)</f>
        <v>#N/A</v>
      </c>
      <c r="H1834" s="6" t="e">
        <f>VLOOKUP('Customer Info'!A1826,'Customer Info'!A1826:I2326,3,FALSE)</f>
        <v>#N/A</v>
      </c>
      <c r="I1834" s="6" t="e">
        <f>VLOOKUP('Customer Info'!A1826,'Customer Info'!A1826:I2325,5,FALSE)</f>
        <v>#N/A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82</v>
      </c>
      <c r="R1834" s="2" t="s">
        <v>50</v>
      </c>
      <c r="S1834" s="9">
        <f t="shared" si="144"/>
        <v>0.02</v>
      </c>
    </row>
    <row r="1835" spans="1:19" x14ac:dyDescent="0.25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e">
        <f>VLOOKUP('Customer Info'!A1827,'Customer Info'!A1827:I2326,2,FALSE)</f>
        <v>#N/A</v>
      </c>
      <c r="H1835" s="6" t="e">
        <f>VLOOKUP('Customer Info'!A1827,'Customer Info'!A1827:I2327,3,FALSE)</f>
        <v>#N/A</v>
      </c>
      <c r="I1835" s="6" t="e">
        <f>VLOOKUP('Customer Info'!A1827,'Customer Info'!A1827:I2326,5,FALSE)</f>
        <v>#N/A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102</v>
      </c>
      <c r="R1835" s="2" t="s">
        <v>28</v>
      </c>
      <c r="S1835" s="9">
        <f t="shared" si="144"/>
        <v>0.02</v>
      </c>
    </row>
    <row r="1836" spans="1:19" x14ac:dyDescent="0.25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e">
        <f>VLOOKUP('Customer Info'!A1828,'Customer Info'!A1828:I2327,2,FALSE)</f>
        <v>#N/A</v>
      </c>
      <c r="H1836" s="6" t="e">
        <f>VLOOKUP('Customer Info'!A1828,'Customer Info'!A1828:I2328,3,FALSE)</f>
        <v>#N/A</v>
      </c>
      <c r="I1836" s="6" t="e">
        <f>VLOOKUP('Customer Info'!A1828,'Customer Info'!A1828:I2327,5,FALSE)</f>
        <v>#N/A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670</v>
      </c>
      <c r="R1836" s="2" t="s">
        <v>50</v>
      </c>
      <c r="S1836" s="9">
        <f t="shared" si="144"/>
        <v>0.05</v>
      </c>
    </row>
    <row r="1837" spans="1:19" x14ac:dyDescent="0.25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e">
        <f>VLOOKUP('Customer Info'!A1829,'Customer Info'!A1829:I2328,2,FALSE)</f>
        <v>#N/A</v>
      </c>
      <c r="H1837" s="6" t="e">
        <f>VLOOKUP('Customer Info'!A1829,'Customer Info'!A1829:I2329,3,FALSE)</f>
        <v>#N/A</v>
      </c>
      <c r="I1837" s="6" t="e">
        <f>VLOOKUP('Customer Info'!A1829,'Customer Info'!A1829:I2328,5,FALSE)</f>
        <v>#N/A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353</v>
      </c>
      <c r="R1837" s="2" t="s">
        <v>50</v>
      </c>
      <c r="S1837" s="9">
        <f t="shared" si="144"/>
        <v>0.02</v>
      </c>
    </row>
    <row r="1838" spans="1:19" x14ac:dyDescent="0.25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e">
        <f>VLOOKUP('Customer Info'!A1830,'Customer Info'!A1830:I2329,2,FALSE)</f>
        <v>#N/A</v>
      </c>
      <c r="H1838" s="6" t="e">
        <f>VLOOKUP('Customer Info'!A1830,'Customer Info'!A1830:I2330,3,FALSE)</f>
        <v>#N/A</v>
      </c>
      <c r="I1838" s="6" t="e">
        <f>VLOOKUP('Customer Info'!A1830,'Customer Info'!A1830:I2329,5,FALSE)</f>
        <v>#N/A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14556</v>
      </c>
      <c r="R1838" s="2" t="s">
        <v>28</v>
      </c>
      <c r="S1838" s="9">
        <f t="shared" si="144"/>
        <v>0.15</v>
      </c>
    </row>
    <row r="1839" spans="1:19" x14ac:dyDescent="0.25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e">
        <f>VLOOKUP('Customer Info'!A1831,'Customer Info'!A1831:I2330,2,FALSE)</f>
        <v>#N/A</v>
      </c>
      <c r="H1839" s="6" t="e">
        <f>VLOOKUP('Customer Info'!A1831,'Customer Info'!A1831:I2331,3,FALSE)</f>
        <v>#N/A</v>
      </c>
      <c r="I1839" s="6" t="e">
        <f>VLOOKUP('Customer Info'!A1831,'Customer Info'!A1831:I2330,5,FALSE)</f>
        <v>#N/A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30</v>
      </c>
      <c r="R1839" s="2" t="s">
        <v>28</v>
      </c>
      <c r="S1839" s="9">
        <f t="shared" si="144"/>
        <v>0.02</v>
      </c>
    </row>
    <row r="1840" spans="1:19" x14ac:dyDescent="0.25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e">
        <f>VLOOKUP('Customer Info'!A1832,'Customer Info'!A1832:I2331,2,FALSE)</f>
        <v>#N/A</v>
      </c>
      <c r="H1840" s="6" t="e">
        <f>VLOOKUP('Customer Info'!A1832,'Customer Info'!A1832:I2332,3,FALSE)</f>
        <v>#N/A</v>
      </c>
      <c r="I1840" s="6" t="e">
        <f>VLOOKUP('Customer Info'!A1832,'Customer Info'!A1832:I2331,5,FALSE)</f>
        <v>#N/A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913</v>
      </c>
      <c r="R1840" s="2" t="s">
        <v>28</v>
      </c>
      <c r="S1840" s="9">
        <f t="shared" si="144"/>
        <v>0.05</v>
      </c>
    </row>
    <row r="1841" spans="1:19" x14ac:dyDescent="0.25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e">
        <f>VLOOKUP('Customer Info'!A1833,'Customer Info'!A1833:I2332,2,FALSE)</f>
        <v>#N/A</v>
      </c>
      <c r="H1841" s="6" t="e">
        <f>VLOOKUP('Customer Info'!A1833,'Customer Info'!A1833:I2333,3,FALSE)</f>
        <v>#N/A</v>
      </c>
      <c r="I1841" s="6" t="e">
        <f>VLOOKUP('Customer Info'!A1833,'Customer Info'!A1833:I2332,5,FALSE)</f>
        <v>#N/A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401</v>
      </c>
      <c r="R1841" s="2" t="s">
        <v>28</v>
      </c>
      <c r="S1841" s="9">
        <f t="shared" si="144"/>
        <v>0.02</v>
      </c>
    </row>
    <row r="1842" spans="1:19" x14ac:dyDescent="0.25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e">
        <f>VLOOKUP('Customer Info'!A1834,'Customer Info'!A1834:I2333,2,FALSE)</f>
        <v>#N/A</v>
      </c>
      <c r="H1842" s="6" t="e">
        <f>VLOOKUP('Customer Info'!A1834,'Customer Info'!A1834:I2334,3,FALSE)</f>
        <v>#N/A</v>
      </c>
      <c r="I1842" s="6" t="e">
        <f>VLOOKUP('Customer Info'!A1834,'Customer Info'!A1834:I2333,5,FALSE)</f>
        <v>#N/A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159</v>
      </c>
      <c r="R1842" s="2" t="s">
        <v>28</v>
      </c>
      <c r="S1842" s="9">
        <f t="shared" si="144"/>
        <v>0.02</v>
      </c>
    </row>
    <row r="1843" spans="1:19" x14ac:dyDescent="0.25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e">
        <f>VLOOKUP('Customer Info'!A1835,'Customer Info'!A1835:I2334,2,FALSE)</f>
        <v>#N/A</v>
      </c>
      <c r="H1843" s="6" t="e">
        <f>VLOOKUP('Customer Info'!A1835,'Customer Info'!A1835:I2335,3,FALSE)</f>
        <v>#N/A</v>
      </c>
      <c r="I1843" s="6" t="e">
        <f>VLOOKUP('Customer Info'!A1835,'Customer Info'!A1835:I2334,5,FALSE)</f>
        <v>#N/A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65</v>
      </c>
      <c r="R1843" s="2" t="s">
        <v>50</v>
      </c>
      <c r="S1843" s="9">
        <f t="shared" si="144"/>
        <v>0.02</v>
      </c>
    </row>
    <row r="1844" spans="1:19" x14ac:dyDescent="0.25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e">
        <f>VLOOKUP('Customer Info'!A1836,'Customer Info'!A1836:I2335,2,FALSE)</f>
        <v>#N/A</v>
      </c>
      <c r="H1844" s="6" t="e">
        <f>VLOOKUP('Customer Info'!A1836,'Customer Info'!A1836:I2336,3,FALSE)</f>
        <v>#N/A</v>
      </c>
      <c r="I1844" s="6" t="e">
        <f>VLOOKUP('Customer Info'!A1836,'Customer Info'!A1836:I2335,5,FALSE)</f>
        <v>#N/A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119</v>
      </c>
      <c r="R1844" s="2" t="s">
        <v>50</v>
      </c>
      <c r="S1844" s="9">
        <f t="shared" si="144"/>
        <v>0.02</v>
      </c>
    </row>
    <row r="1845" spans="1:19" x14ac:dyDescent="0.25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e">
        <f>VLOOKUP('Customer Info'!A1837,'Customer Info'!A1837:I2336,2,FALSE)</f>
        <v>#N/A</v>
      </c>
      <c r="H1845" s="6" t="e">
        <f>VLOOKUP('Customer Info'!A1837,'Customer Info'!A1837:I2337,3,FALSE)</f>
        <v>#N/A</v>
      </c>
      <c r="I1845" s="6" t="e">
        <f>VLOOKUP('Customer Info'!A1837,'Customer Info'!A1837:I2336,5,FALSE)</f>
        <v>#N/A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50</v>
      </c>
      <c r="R1845" s="2" t="s">
        <v>26</v>
      </c>
      <c r="S1845" s="9">
        <f t="shared" si="144"/>
        <v>0.02</v>
      </c>
    </row>
    <row r="1846" spans="1:19" x14ac:dyDescent="0.25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e">
        <f>VLOOKUP('Customer Info'!A1838,'Customer Info'!A1838:I2337,2,FALSE)</f>
        <v>#N/A</v>
      </c>
      <c r="H1846" s="6" t="e">
        <f>VLOOKUP('Customer Info'!A1838,'Customer Info'!A1838:I2338,3,FALSE)</f>
        <v>#N/A</v>
      </c>
      <c r="I1846" s="6" t="e">
        <f>VLOOKUP('Customer Info'!A1838,'Customer Info'!A1838:I2337,5,FALSE)</f>
        <v>#N/A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275</v>
      </c>
      <c r="R1846" s="2" t="s">
        <v>28</v>
      </c>
      <c r="S1846" s="9">
        <f t="shared" si="144"/>
        <v>0.05</v>
      </c>
    </row>
    <row r="1847" spans="1:19" x14ac:dyDescent="0.25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e">
        <f>VLOOKUP('Customer Info'!A1839,'Customer Info'!A1839:I2338,2,FALSE)</f>
        <v>#N/A</v>
      </c>
      <c r="H1847" s="6" t="e">
        <f>VLOOKUP('Customer Info'!A1839,'Customer Info'!A1839:I2339,3,FALSE)</f>
        <v>#N/A</v>
      </c>
      <c r="I1847" s="6" t="e">
        <f>VLOOKUP('Customer Info'!A1839,'Customer Info'!A1839:I2338,5,FALSE)</f>
        <v>#N/A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166</v>
      </c>
      <c r="R1847" s="2" t="s">
        <v>28</v>
      </c>
      <c r="S1847" s="9">
        <f t="shared" si="144"/>
        <v>0.02</v>
      </c>
    </row>
    <row r="1848" spans="1:19" x14ac:dyDescent="0.25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e">
        <f>VLOOKUP('Customer Info'!A1840,'Customer Info'!A1840:I2339,2,FALSE)</f>
        <v>#N/A</v>
      </c>
      <c r="H1848" s="6" t="e">
        <f>VLOOKUP('Customer Info'!A1840,'Customer Info'!A1840:I2340,3,FALSE)</f>
        <v>#N/A</v>
      </c>
      <c r="I1848" s="6" t="e">
        <f>VLOOKUP('Customer Info'!A1840,'Customer Info'!A1840:I2339,5,FALSE)</f>
        <v>#N/A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41</v>
      </c>
      <c r="R1848" s="2" t="s">
        <v>28</v>
      </c>
      <c r="S1848" s="9">
        <f t="shared" si="144"/>
        <v>0.02</v>
      </c>
    </row>
    <row r="1849" spans="1:19" x14ac:dyDescent="0.25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e">
        <f>VLOOKUP('Customer Info'!A1841,'Customer Info'!A1841:I2340,2,FALSE)</f>
        <v>#N/A</v>
      </c>
      <c r="H1849" s="6" t="e">
        <f>VLOOKUP('Customer Info'!A1841,'Customer Info'!A1841:I2341,3,FALSE)</f>
        <v>#N/A</v>
      </c>
      <c r="I1849" s="6" t="e">
        <f>VLOOKUP('Customer Info'!A1841,'Customer Info'!A1841:I2340,5,FALSE)</f>
        <v>#N/A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254</v>
      </c>
      <c r="R1849" s="2" t="s">
        <v>50</v>
      </c>
      <c r="S1849" s="9">
        <f t="shared" si="144"/>
        <v>0.02</v>
      </c>
    </row>
    <row r="1850" spans="1:19" x14ac:dyDescent="0.25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e">
        <f>VLOOKUP('Customer Info'!A1842,'Customer Info'!A1842:I2341,2,FALSE)</f>
        <v>#N/A</v>
      </c>
      <c r="H1850" s="6" t="e">
        <f>VLOOKUP('Customer Info'!A1842,'Customer Info'!A1842:I2342,3,FALSE)</f>
        <v>#N/A</v>
      </c>
      <c r="I1850" s="6" t="e">
        <f>VLOOKUP('Customer Info'!A1842,'Customer Info'!A1842:I2341,5,FALSE)</f>
        <v>#N/A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341</v>
      </c>
      <c r="R1850" s="2" t="s">
        <v>50</v>
      </c>
      <c r="S1850" s="9">
        <f t="shared" si="144"/>
        <v>0.05</v>
      </c>
    </row>
    <row r="1851" spans="1:19" x14ac:dyDescent="0.25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e">
        <f>VLOOKUP('Customer Info'!A1843,'Customer Info'!A1843:I2342,2,FALSE)</f>
        <v>#N/A</v>
      </c>
      <c r="H1851" s="6" t="e">
        <f>VLOOKUP('Customer Info'!A1843,'Customer Info'!A1843:I2343,3,FALSE)</f>
        <v>#N/A</v>
      </c>
      <c r="I1851" s="6" t="e">
        <f>VLOOKUP('Customer Info'!A1843,'Customer Info'!A1843:I2342,5,FALSE)</f>
        <v>#N/A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427</v>
      </c>
      <c r="R1851" s="2" t="s">
        <v>28</v>
      </c>
      <c r="S1851" s="9">
        <f t="shared" si="144"/>
        <v>0.02</v>
      </c>
    </row>
    <row r="1852" spans="1:19" x14ac:dyDescent="0.25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e">
        <f>VLOOKUP('Customer Info'!A1844,'Customer Info'!A1844:I2343,2,FALSE)</f>
        <v>#N/A</v>
      </c>
      <c r="H1852" s="6" t="e">
        <f>VLOOKUP('Customer Info'!A1844,'Customer Info'!A1844:I2344,3,FALSE)</f>
        <v>#N/A</v>
      </c>
      <c r="I1852" s="6" t="e">
        <f>VLOOKUP('Customer Info'!A1844,'Customer Info'!A1844:I2343,5,FALSE)</f>
        <v>#N/A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90</v>
      </c>
      <c r="R1852" s="2" t="s">
        <v>28</v>
      </c>
      <c r="S1852" s="9">
        <f t="shared" si="144"/>
        <v>0.02</v>
      </c>
    </row>
    <row r="1853" spans="1:19" x14ac:dyDescent="0.25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e">
        <f>VLOOKUP('Customer Info'!A1845,'Customer Info'!A1845:I2344,2,FALSE)</f>
        <v>#N/A</v>
      </c>
      <c r="H1853" s="6" t="e">
        <f>VLOOKUP('Customer Info'!A1845,'Customer Info'!A1845:I2345,3,FALSE)</f>
        <v>#N/A</v>
      </c>
      <c r="I1853" s="6" t="e">
        <f>VLOOKUP('Customer Info'!A1845,'Customer Info'!A1845:I2344,5,FALSE)</f>
        <v>#N/A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661</v>
      </c>
      <c r="R1853" s="2" t="s">
        <v>50</v>
      </c>
      <c r="S1853" s="9">
        <f t="shared" si="144"/>
        <v>0.05</v>
      </c>
    </row>
    <row r="1854" spans="1:19" x14ac:dyDescent="0.25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e">
        <f>VLOOKUP('Customer Info'!A1846,'Customer Info'!A1846:I2345,2,FALSE)</f>
        <v>#N/A</v>
      </c>
      <c r="H1854" s="6" t="e">
        <f>VLOOKUP('Customer Info'!A1846,'Customer Info'!A1846:I2346,3,FALSE)</f>
        <v>#N/A</v>
      </c>
      <c r="I1854" s="6" t="e">
        <f>VLOOKUP('Customer Info'!A1846,'Customer Info'!A1846:I2345,5,FALSE)</f>
        <v>#N/A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1037</v>
      </c>
      <c r="R1854" s="2" t="s">
        <v>28</v>
      </c>
      <c r="S1854" s="9">
        <f t="shared" si="144"/>
        <v>0.05</v>
      </c>
    </row>
    <row r="1855" spans="1:19" x14ac:dyDescent="0.25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e">
        <f>VLOOKUP('Customer Info'!A1847,'Customer Info'!A1847:I2346,2,FALSE)</f>
        <v>#N/A</v>
      </c>
      <c r="H1855" s="6" t="e">
        <f>VLOOKUP('Customer Info'!A1847,'Customer Info'!A1847:I2347,3,FALSE)</f>
        <v>#N/A</v>
      </c>
      <c r="I1855" s="6" t="e">
        <f>VLOOKUP('Customer Info'!A1847,'Customer Info'!A1847:I2346,5,FALSE)</f>
        <v>#N/A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693</v>
      </c>
      <c r="R1855" s="2" t="s">
        <v>28</v>
      </c>
      <c r="S1855" s="9">
        <f t="shared" si="144"/>
        <v>0.05</v>
      </c>
    </row>
    <row r="1856" spans="1:19" x14ac:dyDescent="0.25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e">
        <f>VLOOKUP('Customer Info'!A1848,'Customer Info'!A1848:I2347,2,FALSE)</f>
        <v>#N/A</v>
      </c>
      <c r="H1856" s="6" t="e">
        <f>VLOOKUP('Customer Info'!A1848,'Customer Info'!A1848:I2348,3,FALSE)</f>
        <v>#N/A</v>
      </c>
      <c r="I1856" s="6" t="e">
        <f>VLOOKUP('Customer Info'!A1848,'Customer Info'!A1848:I2347,5,FALSE)</f>
        <v>#N/A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16</v>
      </c>
      <c r="R1856" s="2" t="s">
        <v>28</v>
      </c>
      <c r="S1856" s="9">
        <f t="shared" si="144"/>
        <v>0.02</v>
      </c>
    </row>
    <row r="1857" spans="1:19" x14ac:dyDescent="0.25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e">
        <f>VLOOKUP('Customer Info'!A1849,'Customer Info'!A1849:I2348,2,FALSE)</f>
        <v>#N/A</v>
      </c>
      <c r="H1857" s="6" t="e">
        <f>VLOOKUP('Customer Info'!A1849,'Customer Info'!A1849:I2349,3,FALSE)</f>
        <v>#N/A</v>
      </c>
      <c r="I1857" s="6" t="e">
        <f>VLOOKUP('Customer Info'!A1849,'Customer Info'!A1849:I2348,5,FALSE)</f>
        <v>#N/A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266</v>
      </c>
      <c r="R1857" s="2" t="s">
        <v>28</v>
      </c>
      <c r="S1857" s="9">
        <f t="shared" si="144"/>
        <v>0.05</v>
      </c>
    </row>
    <row r="1858" spans="1:19" x14ac:dyDescent="0.25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e">
        <f>VLOOKUP('Customer Info'!A1850,'Customer Info'!A1850:I2349,2,FALSE)</f>
        <v>#N/A</v>
      </c>
      <c r="H1858" s="6" t="e">
        <f>VLOOKUP('Customer Info'!A1850,'Customer Info'!A1850:I2350,3,FALSE)</f>
        <v>#N/A</v>
      </c>
      <c r="I1858" s="6" t="e">
        <f>VLOOKUP('Customer Info'!A1850,'Customer Info'!A1850:I2349,5,FALSE)</f>
        <v>#N/A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627</v>
      </c>
      <c r="R1858" s="2" t="s">
        <v>28</v>
      </c>
      <c r="S1858" s="9">
        <f t="shared" si="144"/>
        <v>0.05</v>
      </c>
    </row>
    <row r="1859" spans="1:19" x14ac:dyDescent="0.25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e">
        <f>VLOOKUP('Customer Info'!A1851,'Customer Info'!A1851:I2350,2,FALSE)</f>
        <v>#N/A</v>
      </c>
      <c r="H1859" s="6" t="e">
        <f>VLOOKUP('Customer Info'!A1851,'Customer Info'!A1851:I2351,3,FALSE)</f>
        <v>#N/A</v>
      </c>
      <c r="I1859" s="6" t="e">
        <f>VLOOKUP('Customer Info'!A1851,'Customer Info'!A1851:I2350,5,FALSE)</f>
        <v>#N/A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48</v>
      </c>
      <c r="R1859" s="2" t="s">
        <v>28</v>
      </c>
      <c r="S1859" s="9">
        <f t="shared" si="144"/>
        <v>0.02</v>
      </c>
    </row>
    <row r="1860" spans="1:19" x14ac:dyDescent="0.25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e">
        <f>VLOOKUP('Customer Info'!A1852,'Customer Info'!A1852:I2351,2,FALSE)</f>
        <v>#N/A</v>
      </c>
      <c r="H1860" s="6" t="e">
        <f>VLOOKUP('Customer Info'!A1852,'Customer Info'!A1852:I2352,3,FALSE)</f>
        <v>#N/A</v>
      </c>
      <c r="I1860" s="6" t="e">
        <f>VLOOKUP('Customer Info'!A1852,'Customer Info'!A1852:I2351,5,FALSE)</f>
        <v>#N/A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38</v>
      </c>
      <c r="R1860" s="2" t="s">
        <v>28</v>
      </c>
      <c r="S1860" s="9">
        <f t="shared" si="144"/>
        <v>0.02</v>
      </c>
    </row>
    <row r="1861" spans="1:19" x14ac:dyDescent="0.25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e">
        <f>VLOOKUP('Customer Info'!A1853,'Customer Info'!A1853:I2352,2,FALSE)</f>
        <v>#N/A</v>
      </c>
      <c r="H1861" s="6" t="e">
        <f>VLOOKUP('Customer Info'!A1853,'Customer Info'!A1853:I2353,3,FALSE)</f>
        <v>#N/A</v>
      </c>
      <c r="I1861" s="6" t="e">
        <f>VLOOKUP('Customer Info'!A1853,'Customer Info'!A1853:I2352,5,FALSE)</f>
        <v>#N/A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714</v>
      </c>
      <c r="R1861" s="2" t="s">
        <v>28</v>
      </c>
      <c r="S1861" s="9">
        <f t="shared" si="144"/>
        <v>0.05</v>
      </c>
    </row>
    <row r="1862" spans="1:19" x14ac:dyDescent="0.25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e">
        <f>VLOOKUP('Customer Info'!A1854,'Customer Info'!A1854:I2353,2,FALSE)</f>
        <v>#N/A</v>
      </c>
      <c r="H1862" s="6" t="e">
        <f>VLOOKUP('Customer Info'!A1854,'Customer Info'!A1854:I2354,3,FALSE)</f>
        <v>#N/A</v>
      </c>
      <c r="I1862" s="6" t="e">
        <f>VLOOKUP('Customer Info'!A1854,'Customer Info'!A1854:I2353,5,FALSE)</f>
        <v>#N/A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761</v>
      </c>
      <c r="R1862" s="2" t="s">
        <v>28</v>
      </c>
      <c r="S1862" s="9">
        <f t="shared" si="144"/>
        <v>0.05</v>
      </c>
    </row>
    <row r="1863" spans="1:19" x14ac:dyDescent="0.25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e">
        <f>VLOOKUP('Customer Info'!A1855,'Customer Info'!A1855:I2354,2,FALSE)</f>
        <v>#N/A</v>
      </c>
      <c r="H1863" s="6" t="e">
        <f>VLOOKUP('Customer Info'!A1855,'Customer Info'!A1855:I2355,3,FALSE)</f>
        <v>#N/A</v>
      </c>
      <c r="I1863" s="6" t="e">
        <f>VLOOKUP('Customer Info'!A1855,'Customer Info'!A1855:I2354,5,FALSE)</f>
        <v>#N/A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501</v>
      </c>
      <c r="R1863" s="2" t="s">
        <v>50</v>
      </c>
      <c r="S1863" s="9">
        <f t="shared" si="144"/>
        <v>0.05</v>
      </c>
    </row>
    <row r="1864" spans="1:19" x14ac:dyDescent="0.25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e">
        <f>VLOOKUP('Customer Info'!A1856,'Customer Info'!A1856:I2355,2,FALSE)</f>
        <v>#N/A</v>
      </c>
      <c r="H1864" s="6" t="e">
        <f>VLOOKUP('Customer Info'!A1856,'Customer Info'!A1856:I2356,3,FALSE)</f>
        <v>#N/A</v>
      </c>
      <c r="I1864" s="6" t="e">
        <f>VLOOKUP('Customer Info'!A1856,'Customer Info'!A1856:I2355,5,FALSE)</f>
        <v>#N/A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31</v>
      </c>
      <c r="R1864" s="2" t="s">
        <v>28</v>
      </c>
      <c r="S1864" s="9">
        <f t="shared" si="144"/>
        <v>0.02</v>
      </c>
    </row>
    <row r="1865" spans="1:19" x14ac:dyDescent="0.25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e">
        <f>VLOOKUP('Customer Info'!A1857,'Customer Info'!A1857:I2356,2,FALSE)</f>
        <v>#N/A</v>
      </c>
      <c r="H1865" s="6" t="e">
        <f>VLOOKUP('Customer Info'!A1857,'Customer Info'!A1857:I2357,3,FALSE)</f>
        <v>#N/A</v>
      </c>
      <c r="I1865" s="6" t="e">
        <f>VLOOKUP('Customer Info'!A1857,'Customer Info'!A1857:I2356,5,FALSE)</f>
        <v>#N/A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263</v>
      </c>
      <c r="R1865" s="2" t="s">
        <v>28</v>
      </c>
      <c r="S1865" s="9">
        <f t="shared" si="144"/>
        <v>0.05</v>
      </c>
    </row>
    <row r="1866" spans="1:19" x14ac:dyDescent="0.25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e">
        <f>VLOOKUP('Customer Info'!A1858,'Customer Info'!A1858:I2357,2,FALSE)</f>
        <v>#N/A</v>
      </c>
      <c r="H1866" s="6" t="e">
        <f>VLOOKUP('Customer Info'!A1858,'Customer Info'!A1858:I2358,3,FALSE)</f>
        <v>#N/A</v>
      </c>
      <c r="I1866" s="6" t="e">
        <f>VLOOKUP('Customer Info'!A1858,'Customer Info'!A1858:I2357,5,FALSE)</f>
        <v>#N/A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525</v>
      </c>
      <c r="R1866" s="2" t="s">
        <v>28</v>
      </c>
      <c r="S1866" s="9">
        <f t="shared" si="144"/>
        <v>0.02</v>
      </c>
    </row>
    <row r="1867" spans="1:19" x14ac:dyDescent="0.25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e">
        <f>VLOOKUP('Customer Info'!A1859,'Customer Info'!A1859:I2358,2,FALSE)</f>
        <v>#N/A</v>
      </c>
      <c r="H1867" s="6" t="e">
        <f>VLOOKUP('Customer Info'!A1859,'Customer Info'!A1859:I2359,3,FALSE)</f>
        <v>#N/A</v>
      </c>
      <c r="I1867" s="6" t="e">
        <f>VLOOKUP('Customer Info'!A1859,'Customer Info'!A1859:I2358,5,FALSE)</f>
        <v>#N/A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8">
        <f t="shared" ref="P1867:P1930" si="147">N1867+O1867</f>
        <v>75501</v>
      </c>
      <c r="Q1867" s="8">
        <f t="shared" ref="Q1867:Q1930" si="148">P1867-M1867</f>
        <v>4242</v>
      </c>
      <c r="R1867" s="2" t="s">
        <v>28</v>
      </c>
      <c r="S1867" s="9">
        <f t="shared" ref="S1867:S1930" si="149">VLOOKUP(P1867,$T$2:$U$7,2,TRUE)</f>
        <v>0.09</v>
      </c>
    </row>
    <row r="1868" spans="1:19" x14ac:dyDescent="0.25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e">
        <f>VLOOKUP('Customer Info'!A1860,'Customer Info'!A1860:I2359,2,FALSE)</f>
        <v>#N/A</v>
      </c>
      <c r="H1868" s="6" t="e">
        <f>VLOOKUP('Customer Info'!A1860,'Customer Info'!A1860:I2360,3,FALSE)</f>
        <v>#N/A</v>
      </c>
      <c r="I1868" s="6" t="e">
        <f>VLOOKUP('Customer Info'!A1860,'Customer Info'!A1860:I2359,5,FALSE)</f>
        <v>#N/A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377</v>
      </c>
      <c r="R1868" s="2" t="s">
        <v>56</v>
      </c>
      <c r="S1868" s="9">
        <f t="shared" si="149"/>
        <v>0.05</v>
      </c>
    </row>
    <row r="1869" spans="1:19" x14ac:dyDescent="0.25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e">
        <f>VLOOKUP('Customer Info'!A1861,'Customer Info'!A1861:I2360,2,FALSE)</f>
        <v>#N/A</v>
      </c>
      <c r="H1869" s="6" t="e">
        <f>VLOOKUP('Customer Info'!A1861,'Customer Info'!A1861:I2361,3,FALSE)</f>
        <v>#N/A</v>
      </c>
      <c r="I1869" s="6" t="e">
        <f>VLOOKUP('Customer Info'!A1861,'Customer Info'!A1861:I2360,5,FALSE)</f>
        <v>#N/A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47</v>
      </c>
      <c r="R1869" s="2" t="s">
        <v>28</v>
      </c>
      <c r="S1869" s="9">
        <f t="shared" si="149"/>
        <v>0.02</v>
      </c>
    </row>
    <row r="1870" spans="1:19" x14ac:dyDescent="0.25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e">
        <f>VLOOKUP('Customer Info'!A1862,'Customer Info'!A1862:I2361,2,FALSE)</f>
        <v>#N/A</v>
      </c>
      <c r="H1870" s="6" t="e">
        <f>VLOOKUP('Customer Info'!A1862,'Customer Info'!A1862:I2362,3,FALSE)</f>
        <v>#N/A</v>
      </c>
      <c r="I1870" s="6" t="e">
        <f>VLOOKUP('Customer Info'!A1862,'Customer Info'!A1862:I2361,5,FALSE)</f>
        <v>#N/A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1498</v>
      </c>
      <c r="R1870" s="2" t="s">
        <v>26</v>
      </c>
      <c r="S1870" s="9">
        <f t="shared" si="149"/>
        <v>0.05</v>
      </c>
    </row>
    <row r="1871" spans="1:19" x14ac:dyDescent="0.25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e">
        <f>VLOOKUP('Customer Info'!A1863,'Customer Info'!A1863:I2362,2,FALSE)</f>
        <v>#N/A</v>
      </c>
      <c r="H1871" s="6" t="e">
        <f>VLOOKUP('Customer Info'!A1863,'Customer Info'!A1863:I2363,3,FALSE)</f>
        <v>#N/A</v>
      </c>
      <c r="I1871" s="6" t="e">
        <f>VLOOKUP('Customer Info'!A1863,'Customer Info'!A1863:I2362,5,FALSE)</f>
        <v>#N/A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208</v>
      </c>
      <c r="R1871" s="2" t="s">
        <v>28</v>
      </c>
      <c r="S1871" s="9">
        <f t="shared" si="149"/>
        <v>0.02</v>
      </c>
    </row>
    <row r="1872" spans="1:19" x14ac:dyDescent="0.25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e">
        <f>VLOOKUP('Customer Info'!A1864,'Customer Info'!A1864:I2363,2,FALSE)</f>
        <v>#N/A</v>
      </c>
      <c r="H1872" s="6" t="e">
        <f>VLOOKUP('Customer Info'!A1864,'Customer Info'!A1864:I2364,3,FALSE)</f>
        <v>#N/A</v>
      </c>
      <c r="I1872" s="6" t="e">
        <f>VLOOKUP('Customer Info'!A1864,'Customer Info'!A1864:I2363,5,FALSE)</f>
        <v>#N/A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314</v>
      </c>
      <c r="R1872" s="2" t="s">
        <v>50</v>
      </c>
      <c r="S1872" s="9">
        <f t="shared" si="149"/>
        <v>0.02</v>
      </c>
    </row>
    <row r="1873" spans="1:19" x14ac:dyDescent="0.25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e">
        <f>VLOOKUP('Customer Info'!A1865,'Customer Info'!A1865:I2364,2,FALSE)</f>
        <v>#N/A</v>
      </c>
      <c r="H1873" s="6" t="e">
        <f>VLOOKUP('Customer Info'!A1865,'Customer Info'!A1865:I2365,3,FALSE)</f>
        <v>#N/A</v>
      </c>
      <c r="I1873" s="6" t="e">
        <f>VLOOKUP('Customer Info'!A1865,'Customer Info'!A1865:I2364,5,FALSE)</f>
        <v>#N/A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488</v>
      </c>
      <c r="R1873" s="2" t="s">
        <v>26</v>
      </c>
      <c r="S1873" s="9">
        <f t="shared" si="149"/>
        <v>0.05</v>
      </c>
    </row>
    <row r="1874" spans="1:19" x14ac:dyDescent="0.25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e">
        <f>VLOOKUP('Customer Info'!A1866,'Customer Info'!A1866:I2365,2,FALSE)</f>
        <v>#N/A</v>
      </c>
      <c r="H1874" s="6" t="e">
        <f>VLOOKUP('Customer Info'!A1866,'Customer Info'!A1866:I2366,3,FALSE)</f>
        <v>#N/A</v>
      </c>
      <c r="I1874" s="6" t="e">
        <f>VLOOKUP('Customer Info'!A1866,'Customer Info'!A1866:I2365,5,FALSE)</f>
        <v>#N/A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399</v>
      </c>
      <c r="R1874" s="2" t="s">
        <v>50</v>
      </c>
      <c r="S1874" s="9">
        <f t="shared" si="149"/>
        <v>0.05</v>
      </c>
    </row>
    <row r="1875" spans="1:19" x14ac:dyDescent="0.25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e">
        <f>VLOOKUP('Customer Info'!A1867,'Customer Info'!A1867:I2366,2,FALSE)</f>
        <v>#N/A</v>
      </c>
      <c r="H1875" s="6" t="e">
        <f>VLOOKUP('Customer Info'!A1867,'Customer Info'!A1867:I2367,3,FALSE)</f>
        <v>#N/A</v>
      </c>
      <c r="I1875" s="6" t="e">
        <f>VLOOKUP('Customer Info'!A1867,'Customer Info'!A1867:I2366,5,FALSE)</f>
        <v>#N/A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210</v>
      </c>
      <c r="R1875" s="2" t="s">
        <v>28</v>
      </c>
      <c r="S1875" s="9">
        <f t="shared" si="149"/>
        <v>0.02</v>
      </c>
    </row>
    <row r="1876" spans="1:19" x14ac:dyDescent="0.25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e">
        <f>VLOOKUP('Customer Info'!A1868,'Customer Info'!A1868:I2367,2,FALSE)</f>
        <v>#N/A</v>
      </c>
      <c r="H1876" s="6" t="e">
        <f>VLOOKUP('Customer Info'!A1868,'Customer Info'!A1868:I2368,3,FALSE)</f>
        <v>#N/A</v>
      </c>
      <c r="I1876" s="6" t="e">
        <f>VLOOKUP('Customer Info'!A1868,'Customer Info'!A1868:I2367,5,FALSE)</f>
        <v>#N/A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4375</v>
      </c>
      <c r="R1876" s="2" t="s">
        <v>28</v>
      </c>
      <c r="S1876" s="9">
        <f t="shared" si="149"/>
        <v>0.09</v>
      </c>
    </row>
    <row r="1877" spans="1:19" x14ac:dyDescent="0.25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e">
        <f>VLOOKUP('Customer Info'!A1869,'Customer Info'!A1869:I2368,2,FALSE)</f>
        <v>#N/A</v>
      </c>
      <c r="H1877" s="6" t="e">
        <f>VLOOKUP('Customer Info'!A1869,'Customer Info'!A1869:I2369,3,FALSE)</f>
        <v>#N/A</v>
      </c>
      <c r="I1877" s="6" t="e">
        <f>VLOOKUP('Customer Info'!A1869,'Customer Info'!A1869:I2368,5,FALSE)</f>
        <v>#N/A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148</v>
      </c>
      <c r="R1877" s="2" t="s">
        <v>50</v>
      </c>
      <c r="S1877" s="9">
        <f t="shared" si="149"/>
        <v>0.02</v>
      </c>
    </row>
    <row r="1878" spans="1:19" x14ac:dyDescent="0.25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e">
        <f>VLOOKUP('Customer Info'!A1870,'Customer Info'!A1870:I2369,2,FALSE)</f>
        <v>#N/A</v>
      </c>
      <c r="H1878" s="6" t="e">
        <f>VLOOKUP('Customer Info'!A1870,'Customer Info'!A1870:I2370,3,FALSE)</f>
        <v>#N/A</v>
      </c>
      <c r="I1878" s="6" t="e">
        <f>VLOOKUP('Customer Info'!A1870,'Customer Info'!A1870:I2369,5,FALSE)</f>
        <v>#N/A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327</v>
      </c>
      <c r="R1878" s="2" t="s">
        <v>28</v>
      </c>
      <c r="S1878" s="9">
        <f t="shared" si="149"/>
        <v>0.02</v>
      </c>
    </row>
    <row r="1879" spans="1:19" x14ac:dyDescent="0.25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e">
        <f>VLOOKUP('Customer Info'!A1871,'Customer Info'!A1871:I2370,2,FALSE)</f>
        <v>#N/A</v>
      </c>
      <c r="H1879" s="6" t="e">
        <f>VLOOKUP('Customer Info'!A1871,'Customer Info'!A1871:I2371,3,FALSE)</f>
        <v>#N/A</v>
      </c>
      <c r="I1879" s="6" t="e">
        <f>VLOOKUP('Customer Info'!A1871,'Customer Info'!A1871:I2370,5,FALSE)</f>
        <v>#N/A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430</v>
      </c>
      <c r="R1879" s="2" t="s">
        <v>50</v>
      </c>
      <c r="S1879" s="9">
        <f t="shared" si="149"/>
        <v>0.05</v>
      </c>
    </row>
    <row r="1880" spans="1:19" x14ac:dyDescent="0.25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e">
        <f>VLOOKUP('Customer Info'!A1872,'Customer Info'!A1872:I2371,2,FALSE)</f>
        <v>#N/A</v>
      </c>
      <c r="H1880" s="6" t="e">
        <f>VLOOKUP('Customer Info'!A1872,'Customer Info'!A1872:I2372,3,FALSE)</f>
        <v>#N/A</v>
      </c>
      <c r="I1880" s="6" t="e">
        <f>VLOOKUP('Customer Info'!A1872,'Customer Info'!A1872:I2371,5,FALSE)</f>
        <v>#N/A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545</v>
      </c>
      <c r="R1880" s="2" t="s">
        <v>28</v>
      </c>
      <c r="S1880" s="9">
        <f t="shared" si="149"/>
        <v>0.05</v>
      </c>
    </row>
    <row r="1881" spans="1:19" x14ac:dyDescent="0.25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e">
        <f>VLOOKUP('Customer Info'!A1873,'Customer Info'!A1873:I2372,2,FALSE)</f>
        <v>#N/A</v>
      </c>
      <c r="H1881" s="6" t="e">
        <f>VLOOKUP('Customer Info'!A1873,'Customer Info'!A1873:I2373,3,FALSE)</f>
        <v>#N/A</v>
      </c>
      <c r="I1881" s="6" t="e">
        <f>VLOOKUP('Customer Info'!A1873,'Customer Info'!A1873:I2372,5,FALSE)</f>
        <v>#N/A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225</v>
      </c>
      <c r="R1881" s="2" t="s">
        <v>28</v>
      </c>
      <c r="S1881" s="9">
        <f t="shared" si="149"/>
        <v>0.02</v>
      </c>
    </row>
    <row r="1882" spans="1:19" x14ac:dyDescent="0.25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e">
        <f>VLOOKUP('Customer Info'!A1874,'Customer Info'!A1874:I2373,2,FALSE)</f>
        <v>#N/A</v>
      </c>
      <c r="H1882" s="6" t="e">
        <f>VLOOKUP('Customer Info'!A1874,'Customer Info'!A1874:I2374,3,FALSE)</f>
        <v>#N/A</v>
      </c>
      <c r="I1882" s="6" t="e">
        <f>VLOOKUP('Customer Info'!A1874,'Customer Info'!A1874:I2373,5,FALSE)</f>
        <v>#N/A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210</v>
      </c>
      <c r="R1882" s="2" t="s">
        <v>28</v>
      </c>
      <c r="S1882" s="9">
        <f t="shared" si="149"/>
        <v>0.02</v>
      </c>
    </row>
    <row r="1883" spans="1:19" x14ac:dyDescent="0.25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e">
        <f>VLOOKUP('Customer Info'!A1875,'Customer Info'!A1875:I2374,2,FALSE)</f>
        <v>#N/A</v>
      </c>
      <c r="H1883" s="6" t="e">
        <f>VLOOKUP('Customer Info'!A1875,'Customer Info'!A1875:I2375,3,FALSE)</f>
        <v>#N/A</v>
      </c>
      <c r="I1883" s="6" t="e">
        <f>VLOOKUP('Customer Info'!A1875,'Customer Info'!A1875:I2374,5,FALSE)</f>
        <v>#N/A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616</v>
      </c>
      <c r="R1883" s="2" t="s">
        <v>28</v>
      </c>
      <c r="S1883" s="9">
        <f t="shared" si="149"/>
        <v>0.05</v>
      </c>
    </row>
    <row r="1884" spans="1:19" x14ac:dyDescent="0.25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e">
        <f>VLOOKUP('Customer Info'!A1876,'Customer Info'!A1876:I2375,2,FALSE)</f>
        <v>#N/A</v>
      </c>
      <c r="H1884" s="6" t="e">
        <f>VLOOKUP('Customer Info'!A1876,'Customer Info'!A1876:I2376,3,FALSE)</f>
        <v>#N/A</v>
      </c>
      <c r="I1884" s="6" t="e">
        <f>VLOOKUP('Customer Info'!A1876,'Customer Info'!A1876:I2375,5,FALSE)</f>
        <v>#N/A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1046</v>
      </c>
      <c r="R1884" s="2" t="s">
        <v>28</v>
      </c>
      <c r="S1884" s="9">
        <f t="shared" si="149"/>
        <v>0.05</v>
      </c>
    </row>
    <row r="1885" spans="1:19" x14ac:dyDescent="0.25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e">
        <f>VLOOKUP('Customer Info'!A1877,'Customer Info'!A1877:I2376,2,FALSE)</f>
        <v>#N/A</v>
      </c>
      <c r="H1885" s="6" t="e">
        <f>VLOOKUP('Customer Info'!A1877,'Customer Info'!A1877:I2377,3,FALSE)</f>
        <v>#N/A</v>
      </c>
      <c r="I1885" s="6" t="e">
        <f>VLOOKUP('Customer Info'!A1877,'Customer Info'!A1877:I2376,5,FALSE)</f>
        <v>#N/A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732</v>
      </c>
      <c r="R1885" s="2" t="s">
        <v>28</v>
      </c>
      <c r="S1885" s="9">
        <f t="shared" si="149"/>
        <v>0.05</v>
      </c>
    </row>
    <row r="1886" spans="1:19" x14ac:dyDescent="0.25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e">
        <f>VLOOKUP('Customer Info'!A1878,'Customer Info'!A1878:I2377,2,FALSE)</f>
        <v>#N/A</v>
      </c>
      <c r="H1886" s="6" t="e">
        <f>VLOOKUP('Customer Info'!A1878,'Customer Info'!A1878:I2378,3,FALSE)</f>
        <v>#N/A</v>
      </c>
      <c r="I1886" s="6" t="e">
        <f>VLOOKUP('Customer Info'!A1878,'Customer Info'!A1878:I2377,5,FALSE)</f>
        <v>#N/A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700</v>
      </c>
      <c r="R1886" s="2" t="s">
        <v>28</v>
      </c>
      <c r="S1886" s="9">
        <f t="shared" si="149"/>
        <v>0.05</v>
      </c>
    </row>
    <row r="1887" spans="1:19" x14ac:dyDescent="0.25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e">
        <f>VLOOKUP('Customer Info'!A1879,'Customer Info'!A1879:I2378,2,FALSE)</f>
        <v>#N/A</v>
      </c>
      <c r="H1887" s="6" t="e">
        <f>VLOOKUP('Customer Info'!A1879,'Customer Info'!A1879:I2379,3,FALSE)</f>
        <v>#N/A</v>
      </c>
      <c r="I1887" s="6" t="e">
        <f>VLOOKUP('Customer Info'!A1879,'Customer Info'!A1879:I2378,5,FALSE)</f>
        <v>#N/A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220</v>
      </c>
      <c r="R1887" s="2" t="s">
        <v>28</v>
      </c>
      <c r="S1887" s="9">
        <f t="shared" si="149"/>
        <v>0.05</v>
      </c>
    </row>
    <row r="1888" spans="1:19" x14ac:dyDescent="0.25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e">
        <f>VLOOKUP('Customer Info'!A1880,'Customer Info'!A1880:I2379,2,FALSE)</f>
        <v>#N/A</v>
      </c>
      <c r="H1888" s="6" t="e">
        <f>VLOOKUP('Customer Info'!A1880,'Customer Info'!A1880:I2380,3,FALSE)</f>
        <v>#N/A</v>
      </c>
      <c r="I1888" s="6" t="e">
        <f>VLOOKUP('Customer Info'!A1880,'Customer Info'!A1880:I2379,5,FALSE)</f>
        <v>#N/A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153</v>
      </c>
      <c r="R1888" s="2" t="s">
        <v>50</v>
      </c>
      <c r="S1888" s="9">
        <f t="shared" si="149"/>
        <v>0.02</v>
      </c>
    </row>
    <row r="1889" spans="1:19" x14ac:dyDescent="0.25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e">
        <f>VLOOKUP('Customer Info'!A1881,'Customer Info'!A1881:I2380,2,FALSE)</f>
        <v>#N/A</v>
      </c>
      <c r="H1889" s="6" t="e">
        <f>VLOOKUP('Customer Info'!A1881,'Customer Info'!A1881:I2381,3,FALSE)</f>
        <v>#N/A</v>
      </c>
      <c r="I1889" s="6" t="e">
        <f>VLOOKUP('Customer Info'!A1881,'Customer Info'!A1881:I2380,5,FALSE)</f>
        <v>#N/A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140</v>
      </c>
      <c r="R1889" s="2" t="s">
        <v>28</v>
      </c>
      <c r="S1889" s="9">
        <f t="shared" si="149"/>
        <v>0.02</v>
      </c>
    </row>
    <row r="1890" spans="1:19" x14ac:dyDescent="0.25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e">
        <f>VLOOKUP('Customer Info'!A1882,'Customer Info'!A1882:I2381,2,FALSE)</f>
        <v>#N/A</v>
      </c>
      <c r="H1890" s="6" t="e">
        <f>VLOOKUP('Customer Info'!A1882,'Customer Info'!A1882:I2382,3,FALSE)</f>
        <v>#N/A</v>
      </c>
      <c r="I1890" s="6" t="e">
        <f>VLOOKUP('Customer Info'!A1882,'Customer Info'!A1882:I2381,5,FALSE)</f>
        <v>#N/A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529</v>
      </c>
      <c r="R1890" s="2" t="s">
        <v>28</v>
      </c>
      <c r="S1890" s="9">
        <f t="shared" si="149"/>
        <v>0.05</v>
      </c>
    </row>
    <row r="1891" spans="1:19" x14ac:dyDescent="0.25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e">
        <f>VLOOKUP('Customer Info'!A1883,'Customer Info'!A1883:I2382,2,FALSE)</f>
        <v>#N/A</v>
      </c>
      <c r="H1891" s="6" t="e">
        <f>VLOOKUP('Customer Info'!A1883,'Customer Info'!A1883:I2383,3,FALSE)</f>
        <v>#N/A</v>
      </c>
      <c r="I1891" s="6" t="e">
        <f>VLOOKUP('Customer Info'!A1883,'Customer Info'!A1883:I2382,5,FALSE)</f>
        <v>#N/A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1110</v>
      </c>
      <c r="R1891" s="2" t="s">
        <v>50</v>
      </c>
      <c r="S1891" s="9">
        <f t="shared" si="149"/>
        <v>0.05</v>
      </c>
    </row>
    <row r="1892" spans="1:19" x14ac:dyDescent="0.25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e">
        <f>VLOOKUP('Customer Info'!A1884,'Customer Info'!A1884:I2383,2,FALSE)</f>
        <v>#N/A</v>
      </c>
      <c r="H1892" s="6" t="e">
        <f>VLOOKUP('Customer Info'!A1884,'Customer Info'!A1884:I2384,3,FALSE)</f>
        <v>#N/A</v>
      </c>
      <c r="I1892" s="6" t="e">
        <f>VLOOKUP('Customer Info'!A1884,'Customer Info'!A1884:I2383,5,FALSE)</f>
        <v>#N/A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129</v>
      </c>
      <c r="R1892" s="2" t="s">
        <v>50</v>
      </c>
      <c r="S1892" s="9">
        <f t="shared" si="149"/>
        <v>0.02</v>
      </c>
    </row>
    <row r="1893" spans="1:19" x14ac:dyDescent="0.25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e">
        <f>VLOOKUP('Customer Info'!A1885,'Customer Info'!A1885:I2384,2,FALSE)</f>
        <v>#N/A</v>
      </c>
      <c r="H1893" s="6" t="e">
        <f>VLOOKUP('Customer Info'!A1885,'Customer Info'!A1885:I2385,3,FALSE)</f>
        <v>#N/A</v>
      </c>
      <c r="I1893" s="6" t="e">
        <f>VLOOKUP('Customer Info'!A1885,'Customer Info'!A1885:I2384,5,FALSE)</f>
        <v>#N/A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69</v>
      </c>
      <c r="R1893" s="2" t="s">
        <v>28</v>
      </c>
      <c r="S1893" s="9">
        <f t="shared" si="149"/>
        <v>0.02</v>
      </c>
    </row>
    <row r="1894" spans="1:19" x14ac:dyDescent="0.25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e">
        <f>VLOOKUP('Customer Info'!A1886,'Customer Info'!A1886:I2385,2,FALSE)</f>
        <v>#N/A</v>
      </c>
      <c r="H1894" s="6" t="e">
        <f>VLOOKUP('Customer Info'!A1886,'Customer Info'!A1886:I2386,3,FALSE)</f>
        <v>#N/A</v>
      </c>
      <c r="I1894" s="6" t="e">
        <f>VLOOKUP('Customer Info'!A1886,'Customer Info'!A1886:I2385,5,FALSE)</f>
        <v>#N/A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70</v>
      </c>
      <c r="R1894" s="2" t="s">
        <v>26</v>
      </c>
      <c r="S1894" s="9">
        <f t="shared" si="149"/>
        <v>0.02</v>
      </c>
    </row>
    <row r="1895" spans="1:19" x14ac:dyDescent="0.25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e">
        <f>VLOOKUP('Customer Info'!A1887,'Customer Info'!A1887:I2386,2,FALSE)</f>
        <v>#N/A</v>
      </c>
      <c r="H1895" s="6" t="e">
        <f>VLOOKUP('Customer Info'!A1887,'Customer Info'!A1887:I2387,3,FALSE)</f>
        <v>#N/A</v>
      </c>
      <c r="I1895" s="6" t="e">
        <f>VLOOKUP('Customer Info'!A1887,'Customer Info'!A1887:I2386,5,FALSE)</f>
        <v>#N/A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90</v>
      </c>
      <c r="R1895" s="2" t="s">
        <v>28</v>
      </c>
      <c r="S1895" s="9">
        <f t="shared" si="149"/>
        <v>0.02</v>
      </c>
    </row>
    <row r="1896" spans="1:19" x14ac:dyDescent="0.25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e">
        <f>VLOOKUP('Customer Info'!A1888,'Customer Info'!A1888:I2387,2,FALSE)</f>
        <v>#N/A</v>
      </c>
      <c r="H1896" s="6" t="e">
        <f>VLOOKUP('Customer Info'!A1888,'Customer Info'!A1888:I2388,3,FALSE)</f>
        <v>#N/A</v>
      </c>
      <c r="I1896" s="6" t="e">
        <f>VLOOKUP('Customer Info'!A1888,'Customer Info'!A1888:I2387,5,FALSE)</f>
        <v>#N/A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42</v>
      </c>
      <c r="R1896" s="2" t="s">
        <v>56</v>
      </c>
      <c r="S1896" s="9">
        <f t="shared" si="149"/>
        <v>0.02</v>
      </c>
    </row>
    <row r="1897" spans="1:19" x14ac:dyDescent="0.25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e">
        <f>VLOOKUP('Customer Info'!A1889,'Customer Info'!A1889:I2388,2,FALSE)</f>
        <v>#N/A</v>
      </c>
      <c r="H1897" s="6" t="e">
        <f>VLOOKUP('Customer Info'!A1889,'Customer Info'!A1889:I2389,3,FALSE)</f>
        <v>#N/A</v>
      </c>
      <c r="I1897" s="6" t="e">
        <f>VLOOKUP('Customer Info'!A1889,'Customer Info'!A1889:I2388,5,FALSE)</f>
        <v>#N/A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395</v>
      </c>
      <c r="R1897" s="2" t="s">
        <v>28</v>
      </c>
      <c r="S1897" s="9">
        <f t="shared" si="149"/>
        <v>0.05</v>
      </c>
    </row>
    <row r="1898" spans="1:19" x14ac:dyDescent="0.25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e">
        <f>VLOOKUP('Customer Info'!A1890,'Customer Info'!A1890:I2389,2,FALSE)</f>
        <v>#N/A</v>
      </c>
      <c r="H1898" s="6" t="e">
        <f>VLOOKUP('Customer Info'!A1890,'Customer Info'!A1890:I2390,3,FALSE)</f>
        <v>#N/A</v>
      </c>
      <c r="I1898" s="6" t="e">
        <f>VLOOKUP('Customer Info'!A1890,'Customer Info'!A1890:I2389,5,FALSE)</f>
        <v>#N/A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25</v>
      </c>
      <c r="R1898" s="2" t="s">
        <v>50</v>
      </c>
      <c r="S1898" s="9">
        <f t="shared" si="149"/>
        <v>0.02</v>
      </c>
    </row>
    <row r="1899" spans="1:19" x14ac:dyDescent="0.25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e">
        <f>VLOOKUP('Customer Info'!A1891,'Customer Info'!A1891:I2390,2,FALSE)</f>
        <v>#N/A</v>
      </c>
      <c r="H1899" s="6" t="e">
        <f>VLOOKUP('Customer Info'!A1891,'Customer Info'!A1891:I2391,3,FALSE)</f>
        <v>#N/A</v>
      </c>
      <c r="I1899" s="6" t="e">
        <f>VLOOKUP('Customer Info'!A1891,'Customer Info'!A1891:I2390,5,FALSE)</f>
        <v>#N/A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462</v>
      </c>
      <c r="R1899" s="2" t="s">
        <v>28</v>
      </c>
      <c r="S1899" s="9">
        <f t="shared" si="149"/>
        <v>0.05</v>
      </c>
    </row>
    <row r="1900" spans="1:19" x14ac:dyDescent="0.25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e">
        <f>VLOOKUP('Customer Info'!A1892,'Customer Info'!A1892:I2391,2,FALSE)</f>
        <v>#N/A</v>
      </c>
      <c r="H1900" s="6" t="e">
        <f>VLOOKUP('Customer Info'!A1892,'Customer Info'!A1892:I2392,3,FALSE)</f>
        <v>#N/A</v>
      </c>
      <c r="I1900" s="6" t="e">
        <f>VLOOKUP('Customer Info'!A1892,'Customer Info'!A1892:I2391,5,FALSE)</f>
        <v>#N/A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43</v>
      </c>
      <c r="R1900" s="2" t="s">
        <v>28</v>
      </c>
      <c r="S1900" s="9">
        <f t="shared" si="149"/>
        <v>0.02</v>
      </c>
    </row>
    <row r="1901" spans="1:19" x14ac:dyDescent="0.25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e">
        <f>VLOOKUP('Customer Info'!A1893,'Customer Info'!A1893:I2392,2,FALSE)</f>
        <v>#N/A</v>
      </c>
      <c r="H1901" s="6" t="e">
        <f>VLOOKUP('Customer Info'!A1893,'Customer Info'!A1893:I2393,3,FALSE)</f>
        <v>#N/A</v>
      </c>
      <c r="I1901" s="6" t="e">
        <f>VLOOKUP('Customer Info'!A1893,'Customer Info'!A1893:I2392,5,FALSE)</f>
        <v>#N/A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241</v>
      </c>
      <c r="R1901" s="2" t="s">
        <v>28</v>
      </c>
      <c r="S1901" s="9">
        <f t="shared" si="149"/>
        <v>0.02</v>
      </c>
    </row>
    <row r="1902" spans="1:19" x14ac:dyDescent="0.25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e">
        <f>VLOOKUP('Customer Info'!A1894,'Customer Info'!A1894:I2393,2,FALSE)</f>
        <v>#N/A</v>
      </c>
      <c r="H1902" s="6" t="e">
        <f>VLOOKUP('Customer Info'!A1894,'Customer Info'!A1894:I2394,3,FALSE)</f>
        <v>#N/A</v>
      </c>
      <c r="I1902" s="6" t="e">
        <f>VLOOKUP('Customer Info'!A1894,'Customer Info'!A1894:I2393,5,FALSE)</f>
        <v>#N/A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2488</v>
      </c>
      <c r="R1902" s="2" t="s">
        <v>50</v>
      </c>
      <c r="S1902" s="9">
        <f t="shared" si="149"/>
        <v>7.0000000000000007E-2</v>
      </c>
    </row>
    <row r="1903" spans="1:19" x14ac:dyDescent="0.25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e">
        <f>VLOOKUP('Customer Info'!A1895,'Customer Info'!A1895:I2394,2,FALSE)</f>
        <v>#N/A</v>
      </c>
      <c r="H1903" s="6" t="e">
        <f>VLOOKUP('Customer Info'!A1895,'Customer Info'!A1895:I2395,3,FALSE)</f>
        <v>#N/A</v>
      </c>
      <c r="I1903" s="6" t="e">
        <f>VLOOKUP('Customer Info'!A1895,'Customer Info'!A1895:I2394,5,FALSE)</f>
        <v>#N/A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78</v>
      </c>
      <c r="R1903" s="2" t="s">
        <v>28</v>
      </c>
      <c r="S1903" s="9">
        <f t="shared" si="149"/>
        <v>0.02</v>
      </c>
    </row>
    <row r="1904" spans="1:19" x14ac:dyDescent="0.25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e">
        <f>VLOOKUP('Customer Info'!A1896,'Customer Info'!A1896:I2395,2,FALSE)</f>
        <v>#N/A</v>
      </c>
      <c r="H1904" s="6" t="e">
        <f>VLOOKUP('Customer Info'!A1896,'Customer Info'!A1896:I2396,3,FALSE)</f>
        <v>#N/A</v>
      </c>
      <c r="I1904" s="6" t="e">
        <f>VLOOKUP('Customer Info'!A1896,'Customer Info'!A1896:I2395,5,FALSE)</f>
        <v>#N/A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456</v>
      </c>
      <c r="R1904" s="2" t="s">
        <v>28</v>
      </c>
      <c r="S1904" s="9">
        <f t="shared" si="149"/>
        <v>0.02</v>
      </c>
    </row>
    <row r="1905" spans="1:19" x14ac:dyDescent="0.25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e">
        <f>VLOOKUP('Customer Info'!A1897,'Customer Info'!A1897:I2396,2,FALSE)</f>
        <v>#N/A</v>
      </c>
      <c r="H1905" s="6" t="e">
        <f>VLOOKUP('Customer Info'!A1897,'Customer Info'!A1897:I2397,3,FALSE)</f>
        <v>#N/A</v>
      </c>
      <c r="I1905" s="6" t="e">
        <f>VLOOKUP('Customer Info'!A1897,'Customer Info'!A1897:I2396,5,FALSE)</f>
        <v>#N/A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85</v>
      </c>
      <c r="R1905" s="2" t="s">
        <v>26</v>
      </c>
      <c r="S1905" s="9">
        <f t="shared" si="149"/>
        <v>0.02</v>
      </c>
    </row>
    <row r="1906" spans="1:19" x14ac:dyDescent="0.25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e">
        <f>VLOOKUP('Customer Info'!A1898,'Customer Info'!A1898:I2397,2,FALSE)</f>
        <v>#N/A</v>
      </c>
      <c r="H1906" s="6" t="e">
        <f>VLOOKUP('Customer Info'!A1898,'Customer Info'!A1898:I2398,3,FALSE)</f>
        <v>#N/A</v>
      </c>
      <c r="I1906" s="6" t="e">
        <f>VLOOKUP('Customer Info'!A1898,'Customer Info'!A1898:I2397,5,FALSE)</f>
        <v>#N/A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4219</v>
      </c>
      <c r="R1906" s="2" t="s">
        <v>28</v>
      </c>
      <c r="S1906" s="9">
        <f t="shared" si="149"/>
        <v>0.09</v>
      </c>
    </row>
    <row r="1907" spans="1:19" x14ac:dyDescent="0.25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e">
        <f>VLOOKUP('Customer Info'!A1899,'Customer Info'!A1899:I2398,2,FALSE)</f>
        <v>#N/A</v>
      </c>
      <c r="H1907" s="6" t="e">
        <f>VLOOKUP('Customer Info'!A1899,'Customer Info'!A1899:I2399,3,FALSE)</f>
        <v>#N/A</v>
      </c>
      <c r="I1907" s="6" t="e">
        <f>VLOOKUP('Customer Info'!A1899,'Customer Info'!A1899:I2398,5,FALSE)</f>
        <v>#N/A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735</v>
      </c>
      <c r="R1907" s="2" t="s">
        <v>50</v>
      </c>
      <c r="S1907" s="9">
        <f t="shared" si="149"/>
        <v>0.05</v>
      </c>
    </row>
    <row r="1908" spans="1:19" x14ac:dyDescent="0.25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e">
        <f>VLOOKUP('Customer Info'!A1900,'Customer Info'!A1900:I2399,2,FALSE)</f>
        <v>#N/A</v>
      </c>
      <c r="H1908" s="6" t="e">
        <f>VLOOKUP('Customer Info'!A1900,'Customer Info'!A1900:I2400,3,FALSE)</f>
        <v>#N/A</v>
      </c>
      <c r="I1908" s="6" t="e">
        <f>VLOOKUP('Customer Info'!A1900,'Customer Info'!A1900:I2399,5,FALSE)</f>
        <v>#N/A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119</v>
      </c>
      <c r="R1908" s="2" t="s">
        <v>28</v>
      </c>
      <c r="S1908" s="9">
        <f t="shared" si="149"/>
        <v>0.02</v>
      </c>
    </row>
    <row r="1909" spans="1:19" x14ac:dyDescent="0.25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e">
        <f>VLOOKUP('Customer Info'!A1901,'Customer Info'!A1901:I2400,2,FALSE)</f>
        <v>#N/A</v>
      </c>
      <c r="H1909" s="6" t="e">
        <f>VLOOKUP('Customer Info'!A1901,'Customer Info'!A1901:I2401,3,FALSE)</f>
        <v>#N/A</v>
      </c>
      <c r="I1909" s="6" t="e">
        <f>VLOOKUP('Customer Info'!A1901,'Customer Info'!A1901:I2400,5,FALSE)</f>
        <v>#N/A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194</v>
      </c>
      <c r="R1909" s="2" t="s">
        <v>28</v>
      </c>
      <c r="S1909" s="9">
        <f t="shared" si="149"/>
        <v>0.02</v>
      </c>
    </row>
    <row r="1910" spans="1:19" x14ac:dyDescent="0.25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e">
        <f>VLOOKUP('Customer Info'!A1902,'Customer Info'!A1902:I2401,2,FALSE)</f>
        <v>#N/A</v>
      </c>
      <c r="H1910" s="6" t="e">
        <f>VLOOKUP('Customer Info'!A1902,'Customer Info'!A1902:I2402,3,FALSE)</f>
        <v>#N/A</v>
      </c>
      <c r="I1910" s="6" t="e">
        <f>VLOOKUP('Customer Info'!A1902,'Customer Info'!A1902:I2401,5,FALSE)</f>
        <v>#N/A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860</v>
      </c>
      <c r="R1910" s="2" t="s">
        <v>28</v>
      </c>
      <c r="S1910" s="9">
        <f t="shared" si="149"/>
        <v>0.05</v>
      </c>
    </row>
    <row r="1911" spans="1:19" x14ac:dyDescent="0.25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e">
        <f>VLOOKUP('Customer Info'!A1903,'Customer Info'!A1903:I2402,2,FALSE)</f>
        <v>#N/A</v>
      </c>
      <c r="H1911" s="6" t="e">
        <f>VLOOKUP('Customer Info'!A1903,'Customer Info'!A1903:I2403,3,FALSE)</f>
        <v>#N/A</v>
      </c>
      <c r="I1911" s="6" t="e">
        <f>VLOOKUP('Customer Info'!A1903,'Customer Info'!A1903:I2402,5,FALSE)</f>
        <v>#N/A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48</v>
      </c>
      <c r="R1911" s="2" t="s">
        <v>28</v>
      </c>
      <c r="S1911" s="9">
        <f t="shared" si="149"/>
        <v>0.02</v>
      </c>
    </row>
    <row r="1912" spans="1:19" x14ac:dyDescent="0.25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e">
        <f>VLOOKUP('Customer Info'!A1904,'Customer Info'!A1904:I2403,2,FALSE)</f>
        <v>#N/A</v>
      </c>
      <c r="H1912" s="6" t="e">
        <f>VLOOKUP('Customer Info'!A1904,'Customer Info'!A1904:I2404,3,FALSE)</f>
        <v>#N/A</v>
      </c>
      <c r="I1912" s="6" t="e">
        <f>VLOOKUP('Customer Info'!A1904,'Customer Info'!A1904:I2403,5,FALSE)</f>
        <v>#N/A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430</v>
      </c>
      <c r="R1912" s="2" t="s">
        <v>26</v>
      </c>
      <c r="S1912" s="9">
        <f t="shared" si="149"/>
        <v>0.05</v>
      </c>
    </row>
    <row r="1913" spans="1:19" x14ac:dyDescent="0.25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e">
        <f>VLOOKUP('Customer Info'!A1905,'Customer Info'!A1905:I2404,2,FALSE)</f>
        <v>#N/A</v>
      </c>
      <c r="H1913" s="6" t="e">
        <f>VLOOKUP('Customer Info'!A1905,'Customer Info'!A1905:I2405,3,FALSE)</f>
        <v>#N/A</v>
      </c>
      <c r="I1913" s="6" t="e">
        <f>VLOOKUP('Customer Info'!A1905,'Customer Info'!A1905:I2404,5,FALSE)</f>
        <v>#N/A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520</v>
      </c>
      <c r="R1913" s="2" t="s">
        <v>28</v>
      </c>
      <c r="S1913" s="9">
        <f t="shared" si="149"/>
        <v>0.05</v>
      </c>
    </row>
    <row r="1914" spans="1:19" x14ac:dyDescent="0.25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e">
        <f>VLOOKUP('Customer Info'!A1906,'Customer Info'!A1906:I2405,2,FALSE)</f>
        <v>#N/A</v>
      </c>
      <c r="H1914" s="6" t="e">
        <f>VLOOKUP('Customer Info'!A1906,'Customer Info'!A1906:I2406,3,FALSE)</f>
        <v>#N/A</v>
      </c>
      <c r="I1914" s="6" t="e">
        <f>VLOOKUP('Customer Info'!A1906,'Customer Info'!A1906:I2405,5,FALSE)</f>
        <v>#N/A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315</v>
      </c>
      <c r="R1914" s="2" t="s">
        <v>28</v>
      </c>
      <c r="S1914" s="9">
        <f t="shared" si="149"/>
        <v>0.02</v>
      </c>
    </row>
    <row r="1915" spans="1:19" x14ac:dyDescent="0.25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e">
        <f>VLOOKUP('Customer Info'!A1907,'Customer Info'!A1907:I2406,2,FALSE)</f>
        <v>#N/A</v>
      </c>
      <c r="H1915" s="6" t="e">
        <f>VLOOKUP('Customer Info'!A1907,'Customer Info'!A1907:I2407,3,FALSE)</f>
        <v>#N/A</v>
      </c>
      <c r="I1915" s="6" t="e">
        <f>VLOOKUP('Customer Info'!A1907,'Customer Info'!A1907:I2406,5,FALSE)</f>
        <v>#N/A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140</v>
      </c>
      <c r="R1915" s="2" t="s">
        <v>50</v>
      </c>
      <c r="S1915" s="9">
        <f t="shared" si="149"/>
        <v>0.02</v>
      </c>
    </row>
    <row r="1916" spans="1:19" x14ac:dyDescent="0.25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e">
        <f>VLOOKUP('Customer Info'!A1908,'Customer Info'!A1908:I2407,2,FALSE)</f>
        <v>#N/A</v>
      </c>
      <c r="H1916" s="6" t="e">
        <f>VLOOKUP('Customer Info'!A1908,'Customer Info'!A1908:I2408,3,FALSE)</f>
        <v>#N/A</v>
      </c>
      <c r="I1916" s="6" t="e">
        <f>VLOOKUP('Customer Info'!A1908,'Customer Info'!A1908:I2407,5,FALSE)</f>
        <v>#N/A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499</v>
      </c>
      <c r="R1916" s="2" t="s">
        <v>50</v>
      </c>
      <c r="S1916" s="9">
        <f t="shared" si="149"/>
        <v>0.05</v>
      </c>
    </row>
    <row r="1917" spans="1:19" x14ac:dyDescent="0.25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e">
        <f>VLOOKUP('Customer Info'!A1909,'Customer Info'!A1909:I2408,2,FALSE)</f>
        <v>#N/A</v>
      </c>
      <c r="H1917" s="6" t="e">
        <f>VLOOKUP('Customer Info'!A1909,'Customer Info'!A1909:I2409,3,FALSE)</f>
        <v>#N/A</v>
      </c>
      <c r="I1917" s="6" t="e">
        <f>VLOOKUP('Customer Info'!A1909,'Customer Info'!A1909:I2408,5,FALSE)</f>
        <v>#N/A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255</v>
      </c>
      <c r="R1917" s="2" t="s">
        <v>28</v>
      </c>
      <c r="S1917" s="9">
        <f t="shared" si="149"/>
        <v>0.02</v>
      </c>
    </row>
    <row r="1918" spans="1:19" x14ac:dyDescent="0.25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e">
        <f>VLOOKUP('Customer Info'!A1910,'Customer Info'!A1910:I2409,2,FALSE)</f>
        <v>#N/A</v>
      </c>
      <c r="H1918" s="6" t="e">
        <f>VLOOKUP('Customer Info'!A1910,'Customer Info'!A1910:I2410,3,FALSE)</f>
        <v>#N/A</v>
      </c>
      <c r="I1918" s="6" t="e">
        <f>VLOOKUP('Customer Info'!A1910,'Customer Info'!A1910:I2409,5,FALSE)</f>
        <v>#N/A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2562</v>
      </c>
      <c r="R1918" s="2" t="s">
        <v>26</v>
      </c>
      <c r="S1918" s="9">
        <f t="shared" si="149"/>
        <v>7.0000000000000007E-2</v>
      </c>
    </row>
    <row r="1919" spans="1:19" x14ac:dyDescent="0.25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e">
        <f>VLOOKUP('Customer Info'!A1911,'Customer Info'!A1911:I2410,2,FALSE)</f>
        <v>#N/A</v>
      </c>
      <c r="H1919" s="6" t="e">
        <f>VLOOKUP('Customer Info'!A1911,'Customer Info'!A1911:I2411,3,FALSE)</f>
        <v>#N/A</v>
      </c>
      <c r="I1919" s="6" t="e">
        <f>VLOOKUP('Customer Info'!A1911,'Customer Info'!A1911:I2410,5,FALSE)</f>
        <v>#N/A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20</v>
      </c>
      <c r="R1919" s="2" t="s">
        <v>50</v>
      </c>
      <c r="S1919" s="9">
        <f t="shared" si="149"/>
        <v>0.02</v>
      </c>
    </row>
    <row r="1920" spans="1:19" x14ac:dyDescent="0.25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e">
        <f>VLOOKUP('Customer Info'!A1912,'Customer Info'!A1912:I2411,2,FALSE)</f>
        <v>#N/A</v>
      </c>
      <c r="H1920" s="6" t="e">
        <f>VLOOKUP('Customer Info'!A1912,'Customer Info'!A1912:I2412,3,FALSE)</f>
        <v>#N/A</v>
      </c>
      <c r="I1920" s="6" t="e">
        <f>VLOOKUP('Customer Info'!A1912,'Customer Info'!A1912:I2411,5,FALSE)</f>
        <v>#N/A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132</v>
      </c>
      <c r="R1920" s="2" t="s">
        <v>50</v>
      </c>
      <c r="S1920" s="9">
        <f t="shared" si="149"/>
        <v>0.02</v>
      </c>
    </row>
    <row r="1921" spans="1:19" x14ac:dyDescent="0.25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e">
        <f>VLOOKUP('Customer Info'!A1913,'Customer Info'!A1913:I2412,2,FALSE)</f>
        <v>#N/A</v>
      </c>
      <c r="H1921" s="6" t="e">
        <f>VLOOKUP('Customer Info'!A1913,'Customer Info'!A1913:I2413,3,FALSE)</f>
        <v>#N/A</v>
      </c>
      <c r="I1921" s="6" t="e">
        <f>VLOOKUP('Customer Info'!A1913,'Customer Info'!A1913:I2412,5,FALSE)</f>
        <v>#N/A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323</v>
      </c>
      <c r="R1921" s="2" t="s">
        <v>28</v>
      </c>
      <c r="S1921" s="9">
        <f t="shared" si="149"/>
        <v>0.02</v>
      </c>
    </row>
    <row r="1922" spans="1:19" x14ac:dyDescent="0.25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e">
        <f>VLOOKUP('Customer Info'!A1914,'Customer Info'!A1914:I2413,2,FALSE)</f>
        <v>#N/A</v>
      </c>
      <c r="H1922" s="6" t="e">
        <f>VLOOKUP('Customer Info'!A1914,'Customer Info'!A1914:I2414,3,FALSE)</f>
        <v>#N/A</v>
      </c>
      <c r="I1922" s="6" t="e">
        <f>VLOOKUP('Customer Info'!A1914,'Customer Info'!A1914:I2413,5,FALSE)</f>
        <v>#N/A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516</v>
      </c>
      <c r="R1922" s="2" t="s">
        <v>28</v>
      </c>
      <c r="S1922" s="9">
        <f t="shared" si="149"/>
        <v>0.05</v>
      </c>
    </row>
    <row r="1923" spans="1:19" x14ac:dyDescent="0.25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e">
        <f>VLOOKUP('Customer Info'!A1915,'Customer Info'!A1915:I2414,2,FALSE)</f>
        <v>#N/A</v>
      </c>
      <c r="H1923" s="6" t="e">
        <f>VLOOKUP('Customer Info'!A1915,'Customer Info'!A1915:I2415,3,FALSE)</f>
        <v>#N/A</v>
      </c>
      <c r="I1923" s="6" t="e">
        <f>VLOOKUP('Customer Info'!A1915,'Customer Info'!A1915:I2414,5,FALSE)</f>
        <v>#N/A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348</v>
      </c>
      <c r="R1923" s="2" t="s">
        <v>28</v>
      </c>
      <c r="S1923" s="9">
        <f t="shared" si="149"/>
        <v>0.05</v>
      </c>
    </row>
    <row r="1924" spans="1:19" x14ac:dyDescent="0.25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e">
        <f>VLOOKUP('Customer Info'!A1916,'Customer Info'!A1916:I2415,2,FALSE)</f>
        <v>#N/A</v>
      </c>
      <c r="H1924" s="6" t="e">
        <f>VLOOKUP('Customer Info'!A1916,'Customer Info'!A1916:I2416,3,FALSE)</f>
        <v>#N/A</v>
      </c>
      <c r="I1924" s="6" t="e">
        <f>VLOOKUP('Customer Info'!A1916,'Customer Info'!A1916:I2415,5,FALSE)</f>
        <v>#N/A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9563</v>
      </c>
      <c r="R1924" s="2" t="s">
        <v>28</v>
      </c>
      <c r="S1924" s="9">
        <f t="shared" si="149"/>
        <v>0.12</v>
      </c>
    </row>
    <row r="1925" spans="1:19" x14ac:dyDescent="0.25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e">
        <f>VLOOKUP('Customer Info'!A1917,'Customer Info'!A1917:I2416,2,FALSE)</f>
        <v>#N/A</v>
      </c>
      <c r="H1925" s="6" t="e">
        <f>VLOOKUP('Customer Info'!A1917,'Customer Info'!A1917:I2417,3,FALSE)</f>
        <v>#N/A</v>
      </c>
      <c r="I1925" s="6" t="e">
        <f>VLOOKUP('Customer Info'!A1917,'Customer Info'!A1917:I2416,5,FALSE)</f>
        <v>#N/A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149</v>
      </c>
      <c r="R1925" s="2" t="s">
        <v>50</v>
      </c>
      <c r="S1925" s="9">
        <f t="shared" si="149"/>
        <v>0.02</v>
      </c>
    </row>
    <row r="1926" spans="1:19" x14ac:dyDescent="0.25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e">
        <f>VLOOKUP('Customer Info'!A1918,'Customer Info'!A1918:I2417,2,FALSE)</f>
        <v>#N/A</v>
      </c>
      <c r="H1926" s="6" t="e">
        <f>VLOOKUP('Customer Info'!A1918,'Customer Info'!A1918:I2418,3,FALSE)</f>
        <v>#N/A</v>
      </c>
      <c r="I1926" s="6" t="e">
        <f>VLOOKUP('Customer Info'!A1918,'Customer Info'!A1918:I2417,5,FALSE)</f>
        <v>#N/A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609</v>
      </c>
      <c r="R1926" s="2" t="s">
        <v>26</v>
      </c>
      <c r="S1926" s="9">
        <f t="shared" si="149"/>
        <v>0.05</v>
      </c>
    </row>
    <row r="1927" spans="1:19" x14ac:dyDescent="0.25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e">
        <f>VLOOKUP('Customer Info'!A1919,'Customer Info'!A1919:I2418,2,FALSE)</f>
        <v>#N/A</v>
      </c>
      <c r="H1927" s="6" t="e">
        <f>VLOOKUP('Customer Info'!A1919,'Customer Info'!A1919:I2419,3,FALSE)</f>
        <v>#N/A</v>
      </c>
      <c r="I1927" s="6" t="e">
        <f>VLOOKUP('Customer Info'!A1919,'Customer Info'!A1919:I2418,5,FALSE)</f>
        <v>#N/A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486</v>
      </c>
      <c r="R1927" s="2" t="s">
        <v>26</v>
      </c>
      <c r="S1927" s="9">
        <f t="shared" si="149"/>
        <v>0.05</v>
      </c>
    </row>
    <row r="1928" spans="1:19" x14ac:dyDescent="0.25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e">
        <f>VLOOKUP('Customer Info'!A1920,'Customer Info'!A1920:I2419,2,FALSE)</f>
        <v>#N/A</v>
      </c>
      <c r="H1928" s="6" t="e">
        <f>VLOOKUP('Customer Info'!A1920,'Customer Info'!A1920:I2420,3,FALSE)</f>
        <v>#N/A</v>
      </c>
      <c r="I1928" s="6" t="e">
        <f>VLOOKUP('Customer Info'!A1920,'Customer Info'!A1920:I2419,5,FALSE)</f>
        <v>#N/A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64</v>
      </c>
      <c r="R1928" s="2" t="s">
        <v>28</v>
      </c>
      <c r="S1928" s="9">
        <f t="shared" si="149"/>
        <v>0.02</v>
      </c>
    </row>
    <row r="1929" spans="1:19" x14ac:dyDescent="0.25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e">
        <f>VLOOKUP('Customer Info'!A1921,'Customer Info'!A1921:I2420,2,FALSE)</f>
        <v>#N/A</v>
      </c>
      <c r="H1929" s="6" t="e">
        <f>VLOOKUP('Customer Info'!A1921,'Customer Info'!A1921:I2421,3,FALSE)</f>
        <v>#N/A</v>
      </c>
      <c r="I1929" s="6" t="e">
        <f>VLOOKUP('Customer Info'!A1921,'Customer Info'!A1921:I2420,5,FALSE)</f>
        <v>#N/A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72</v>
      </c>
      <c r="R1929" s="2" t="s">
        <v>28</v>
      </c>
      <c r="S1929" s="9">
        <f t="shared" si="149"/>
        <v>0.02</v>
      </c>
    </row>
    <row r="1930" spans="1:19" x14ac:dyDescent="0.25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e">
        <f>VLOOKUP('Customer Info'!A1922,'Customer Info'!A1922:I2421,2,FALSE)</f>
        <v>#N/A</v>
      </c>
      <c r="H1930" s="6" t="e">
        <f>VLOOKUP('Customer Info'!A1922,'Customer Info'!A1922:I2422,3,FALSE)</f>
        <v>#N/A</v>
      </c>
      <c r="I1930" s="6" t="e">
        <f>VLOOKUP('Customer Info'!A1922,'Customer Info'!A1922:I2421,5,FALSE)</f>
        <v>#N/A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347</v>
      </c>
      <c r="R1930" s="2" t="s">
        <v>28</v>
      </c>
      <c r="S1930" s="9">
        <f t="shared" si="149"/>
        <v>0.05</v>
      </c>
    </row>
    <row r="1931" spans="1:19" x14ac:dyDescent="0.25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e">
        <f>VLOOKUP('Customer Info'!A1923,'Customer Info'!A1923:I2422,2,FALSE)</f>
        <v>#N/A</v>
      </c>
      <c r="H1931" s="6" t="e">
        <f>VLOOKUP('Customer Info'!A1923,'Customer Info'!A1923:I2423,3,FALSE)</f>
        <v>#N/A</v>
      </c>
      <c r="I1931" s="6" t="e">
        <f>VLOOKUP('Customer Info'!A1923,'Customer Info'!A1923:I2422,5,FALSE)</f>
        <v>#N/A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8">
        <f t="shared" ref="P1931:P1994" si="152">N1931+O1931</f>
        <v>921</v>
      </c>
      <c r="Q1931" s="8">
        <f t="shared" ref="Q1931:Q1994" si="153">P1931-M1931</f>
        <v>97</v>
      </c>
      <c r="R1931" s="2" t="s">
        <v>28</v>
      </c>
      <c r="S1931" s="9">
        <f t="shared" ref="S1931:S1994" si="154">VLOOKUP(P1931,$T$2:$U$7,2,TRUE)</f>
        <v>0.02</v>
      </c>
    </row>
    <row r="1932" spans="1:19" x14ac:dyDescent="0.25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e">
        <f>VLOOKUP('Customer Info'!A1924,'Customer Info'!A1924:I2423,2,FALSE)</f>
        <v>#N/A</v>
      </c>
      <c r="H1932" s="6" t="e">
        <f>VLOOKUP('Customer Info'!A1924,'Customer Info'!A1924:I2424,3,FALSE)</f>
        <v>#N/A</v>
      </c>
      <c r="I1932" s="6" t="e">
        <f>VLOOKUP('Customer Info'!A1924,'Customer Info'!A1924:I2423,5,FALSE)</f>
        <v>#N/A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165</v>
      </c>
      <c r="R1932" s="2" t="s">
        <v>28</v>
      </c>
      <c r="S1932" s="9">
        <f t="shared" si="154"/>
        <v>0.02</v>
      </c>
    </row>
    <row r="1933" spans="1:19" x14ac:dyDescent="0.25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e">
        <f>VLOOKUP('Customer Info'!A1925,'Customer Info'!A1925:I2424,2,FALSE)</f>
        <v>#N/A</v>
      </c>
      <c r="H1933" s="6" t="e">
        <f>VLOOKUP('Customer Info'!A1925,'Customer Info'!A1925:I2425,3,FALSE)</f>
        <v>#N/A</v>
      </c>
      <c r="I1933" s="6" t="e">
        <f>VLOOKUP('Customer Info'!A1925,'Customer Info'!A1925:I2424,5,FALSE)</f>
        <v>#N/A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422</v>
      </c>
      <c r="R1933" s="2" t="s">
        <v>26</v>
      </c>
      <c r="S1933" s="9">
        <f t="shared" si="154"/>
        <v>0.02</v>
      </c>
    </row>
    <row r="1934" spans="1:19" x14ac:dyDescent="0.25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e">
        <f>VLOOKUP('Customer Info'!A1926,'Customer Info'!A1926:I2425,2,FALSE)</f>
        <v>#N/A</v>
      </c>
      <c r="H1934" s="6" t="e">
        <f>VLOOKUP('Customer Info'!A1926,'Customer Info'!A1926:I2426,3,FALSE)</f>
        <v>#N/A</v>
      </c>
      <c r="I1934" s="6" t="e">
        <f>VLOOKUP('Customer Info'!A1926,'Customer Info'!A1926:I2425,5,FALSE)</f>
        <v>#N/A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4126</v>
      </c>
      <c r="R1934" s="2" t="s">
        <v>50</v>
      </c>
      <c r="S1934" s="9">
        <f t="shared" si="154"/>
        <v>0.09</v>
      </c>
    </row>
    <row r="1935" spans="1:19" x14ac:dyDescent="0.25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e">
        <f>VLOOKUP('Customer Info'!A1927,'Customer Info'!A1927:I2426,2,FALSE)</f>
        <v>#N/A</v>
      </c>
      <c r="H1935" s="6" t="e">
        <f>VLOOKUP('Customer Info'!A1927,'Customer Info'!A1927:I2427,3,FALSE)</f>
        <v>#N/A</v>
      </c>
      <c r="I1935" s="6" t="e">
        <f>VLOOKUP('Customer Info'!A1927,'Customer Info'!A1927:I2426,5,FALSE)</f>
        <v>#N/A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240</v>
      </c>
      <c r="R1935" s="2" t="s">
        <v>28</v>
      </c>
      <c r="S1935" s="9">
        <f t="shared" si="154"/>
        <v>0.02</v>
      </c>
    </row>
    <row r="1936" spans="1:19" x14ac:dyDescent="0.25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e">
        <f>VLOOKUP('Customer Info'!A1928,'Customer Info'!A1928:I2427,2,FALSE)</f>
        <v>#N/A</v>
      </c>
      <c r="H1936" s="6" t="e">
        <f>VLOOKUP('Customer Info'!A1928,'Customer Info'!A1928:I2428,3,FALSE)</f>
        <v>#N/A</v>
      </c>
      <c r="I1936" s="6" t="e">
        <f>VLOOKUP('Customer Info'!A1928,'Customer Info'!A1928:I2427,5,FALSE)</f>
        <v>#N/A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66</v>
      </c>
      <c r="R1936" s="2" t="s">
        <v>28</v>
      </c>
      <c r="S1936" s="9">
        <f t="shared" si="154"/>
        <v>0.02</v>
      </c>
    </row>
    <row r="1937" spans="1:19" x14ac:dyDescent="0.25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e">
        <f>VLOOKUP('Customer Info'!A1929,'Customer Info'!A1929:I2428,2,FALSE)</f>
        <v>#N/A</v>
      </c>
      <c r="H1937" s="6" t="e">
        <f>VLOOKUP('Customer Info'!A1929,'Customer Info'!A1929:I2429,3,FALSE)</f>
        <v>#N/A</v>
      </c>
      <c r="I1937" s="6" t="e">
        <f>VLOOKUP('Customer Info'!A1929,'Customer Info'!A1929:I2428,5,FALSE)</f>
        <v>#N/A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1041</v>
      </c>
      <c r="R1937" s="2" t="s">
        <v>50</v>
      </c>
      <c r="S1937" s="9">
        <f t="shared" si="154"/>
        <v>0.05</v>
      </c>
    </row>
    <row r="1938" spans="1:19" x14ac:dyDescent="0.25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e">
        <f>VLOOKUP('Customer Info'!A1930,'Customer Info'!A1930:I2429,2,FALSE)</f>
        <v>#N/A</v>
      </c>
      <c r="H1938" s="6" t="e">
        <f>VLOOKUP('Customer Info'!A1930,'Customer Info'!A1930:I2430,3,FALSE)</f>
        <v>#N/A</v>
      </c>
      <c r="I1938" s="6" t="e">
        <f>VLOOKUP('Customer Info'!A1930,'Customer Info'!A1930:I2429,5,FALSE)</f>
        <v>#N/A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128</v>
      </c>
      <c r="R1938" s="2" t="s">
        <v>28</v>
      </c>
      <c r="S1938" s="9">
        <f t="shared" si="154"/>
        <v>0.02</v>
      </c>
    </row>
    <row r="1939" spans="1:19" x14ac:dyDescent="0.25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e">
        <f>VLOOKUP('Customer Info'!A1931,'Customer Info'!A1931:I2430,2,FALSE)</f>
        <v>#N/A</v>
      </c>
      <c r="H1939" s="6" t="e">
        <f>VLOOKUP('Customer Info'!A1931,'Customer Info'!A1931:I2431,3,FALSE)</f>
        <v>#N/A</v>
      </c>
      <c r="I1939" s="6" t="e">
        <f>VLOOKUP('Customer Info'!A1931,'Customer Info'!A1931:I2430,5,FALSE)</f>
        <v>#N/A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2155</v>
      </c>
      <c r="R1939" s="2" t="s">
        <v>28</v>
      </c>
      <c r="S1939" s="9">
        <f t="shared" si="154"/>
        <v>7.0000000000000007E-2</v>
      </c>
    </row>
    <row r="1940" spans="1:19" x14ac:dyDescent="0.25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e">
        <f>VLOOKUP('Customer Info'!A1932,'Customer Info'!A1932:I2431,2,FALSE)</f>
        <v>#N/A</v>
      </c>
      <c r="H1940" s="6" t="e">
        <f>VLOOKUP('Customer Info'!A1932,'Customer Info'!A1932:I2432,3,FALSE)</f>
        <v>#N/A</v>
      </c>
      <c r="I1940" s="6" t="e">
        <f>VLOOKUP('Customer Info'!A1932,'Customer Info'!A1932:I2431,5,FALSE)</f>
        <v>#N/A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2746</v>
      </c>
      <c r="R1940" s="2" t="s">
        <v>28</v>
      </c>
      <c r="S1940" s="9">
        <f t="shared" si="154"/>
        <v>7.0000000000000007E-2</v>
      </c>
    </row>
    <row r="1941" spans="1:19" x14ac:dyDescent="0.25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e">
        <f>VLOOKUP('Customer Info'!A1933,'Customer Info'!A1933:I2432,2,FALSE)</f>
        <v>#N/A</v>
      </c>
      <c r="H1941" s="6" t="e">
        <f>VLOOKUP('Customer Info'!A1933,'Customer Info'!A1933:I2433,3,FALSE)</f>
        <v>#N/A</v>
      </c>
      <c r="I1941" s="6" t="e">
        <f>VLOOKUP('Customer Info'!A1933,'Customer Info'!A1933:I2432,5,FALSE)</f>
        <v>#N/A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432</v>
      </c>
      <c r="R1941" s="2" t="s">
        <v>28</v>
      </c>
      <c r="S1941" s="9">
        <f t="shared" si="154"/>
        <v>0.05</v>
      </c>
    </row>
    <row r="1942" spans="1:19" x14ac:dyDescent="0.25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e">
        <f>VLOOKUP('Customer Info'!A1934,'Customer Info'!A1934:I2433,2,FALSE)</f>
        <v>#N/A</v>
      </c>
      <c r="H1942" s="6" t="e">
        <f>VLOOKUP('Customer Info'!A1934,'Customer Info'!A1934:I2434,3,FALSE)</f>
        <v>#N/A</v>
      </c>
      <c r="I1942" s="6" t="e">
        <f>VLOOKUP('Customer Info'!A1934,'Customer Info'!A1934:I2433,5,FALSE)</f>
        <v>#N/A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48</v>
      </c>
      <c r="R1942" s="2" t="s">
        <v>50</v>
      </c>
      <c r="S1942" s="9">
        <f t="shared" si="154"/>
        <v>0.02</v>
      </c>
    </row>
    <row r="1943" spans="1:19" x14ac:dyDescent="0.25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e">
        <f>VLOOKUP('Customer Info'!A1935,'Customer Info'!A1935:I2434,2,FALSE)</f>
        <v>#N/A</v>
      </c>
      <c r="H1943" s="6" t="e">
        <f>VLOOKUP('Customer Info'!A1935,'Customer Info'!A1935:I2435,3,FALSE)</f>
        <v>#N/A</v>
      </c>
      <c r="I1943" s="6" t="e">
        <f>VLOOKUP('Customer Info'!A1935,'Customer Info'!A1935:I2434,5,FALSE)</f>
        <v>#N/A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997</v>
      </c>
      <c r="R1943" s="2" t="s">
        <v>50</v>
      </c>
      <c r="S1943" s="9">
        <f t="shared" si="154"/>
        <v>0.05</v>
      </c>
    </row>
    <row r="1944" spans="1:19" x14ac:dyDescent="0.25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e">
        <f>VLOOKUP('Customer Info'!A1936,'Customer Info'!A1936:I2435,2,FALSE)</f>
        <v>#N/A</v>
      </c>
      <c r="H1944" s="6" t="e">
        <f>VLOOKUP('Customer Info'!A1936,'Customer Info'!A1936:I2436,3,FALSE)</f>
        <v>#N/A</v>
      </c>
      <c r="I1944" s="6" t="e">
        <f>VLOOKUP('Customer Info'!A1936,'Customer Info'!A1936:I2435,5,FALSE)</f>
        <v>#N/A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105</v>
      </c>
      <c r="R1944" s="2" t="s">
        <v>56</v>
      </c>
      <c r="S1944" s="9">
        <f t="shared" si="154"/>
        <v>0.02</v>
      </c>
    </row>
    <row r="1945" spans="1:19" x14ac:dyDescent="0.25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e">
        <f>VLOOKUP('Customer Info'!A1937,'Customer Info'!A1937:I2436,2,FALSE)</f>
        <v>#N/A</v>
      </c>
      <c r="H1945" s="6" t="e">
        <f>VLOOKUP('Customer Info'!A1937,'Customer Info'!A1937:I2437,3,FALSE)</f>
        <v>#N/A</v>
      </c>
      <c r="I1945" s="6" t="e">
        <f>VLOOKUP('Customer Info'!A1937,'Customer Info'!A1937:I2436,5,FALSE)</f>
        <v>#N/A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156</v>
      </c>
      <c r="R1945" s="2" t="s">
        <v>28</v>
      </c>
      <c r="S1945" s="9">
        <f t="shared" si="154"/>
        <v>0.02</v>
      </c>
    </row>
    <row r="1946" spans="1:19" x14ac:dyDescent="0.25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e">
        <f>VLOOKUP('Customer Info'!A1938,'Customer Info'!A1938:I2437,2,FALSE)</f>
        <v>#N/A</v>
      </c>
      <c r="H1946" s="6" t="e">
        <f>VLOOKUP('Customer Info'!A1938,'Customer Info'!A1938:I2438,3,FALSE)</f>
        <v>#N/A</v>
      </c>
      <c r="I1946" s="6" t="e">
        <f>VLOOKUP('Customer Info'!A1938,'Customer Info'!A1938:I2437,5,FALSE)</f>
        <v>#N/A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506</v>
      </c>
      <c r="R1946" s="2" t="s">
        <v>50</v>
      </c>
      <c r="S1946" s="9">
        <f t="shared" si="154"/>
        <v>0.05</v>
      </c>
    </row>
    <row r="1947" spans="1:19" x14ac:dyDescent="0.25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e">
        <f>VLOOKUP('Customer Info'!A1939,'Customer Info'!A1939:I2438,2,FALSE)</f>
        <v>#N/A</v>
      </c>
      <c r="H1947" s="6" t="e">
        <f>VLOOKUP('Customer Info'!A1939,'Customer Info'!A1939:I2439,3,FALSE)</f>
        <v>#N/A</v>
      </c>
      <c r="I1947" s="6" t="e">
        <f>VLOOKUP('Customer Info'!A1939,'Customer Info'!A1939:I2438,5,FALSE)</f>
        <v>#N/A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373</v>
      </c>
      <c r="R1947" s="2" t="s">
        <v>50</v>
      </c>
      <c r="S1947" s="9">
        <f t="shared" si="154"/>
        <v>0.05</v>
      </c>
    </row>
    <row r="1948" spans="1:19" x14ac:dyDescent="0.25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e">
        <f>VLOOKUP('Customer Info'!A1940,'Customer Info'!A1940:I2439,2,FALSE)</f>
        <v>#N/A</v>
      </c>
      <c r="H1948" s="6" t="e">
        <f>VLOOKUP('Customer Info'!A1940,'Customer Info'!A1940:I2440,3,FALSE)</f>
        <v>#N/A</v>
      </c>
      <c r="I1948" s="6" t="e">
        <f>VLOOKUP('Customer Info'!A1940,'Customer Info'!A1940:I2439,5,FALSE)</f>
        <v>#N/A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1012</v>
      </c>
      <c r="R1948" s="2" t="s">
        <v>56</v>
      </c>
      <c r="S1948" s="9">
        <f t="shared" si="154"/>
        <v>0.05</v>
      </c>
    </row>
    <row r="1949" spans="1:19" x14ac:dyDescent="0.25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e">
        <f>VLOOKUP('Customer Info'!A1941,'Customer Info'!A1941:I2440,2,FALSE)</f>
        <v>#N/A</v>
      </c>
      <c r="H1949" s="6" t="e">
        <f>VLOOKUP('Customer Info'!A1941,'Customer Info'!A1941:I2441,3,FALSE)</f>
        <v>#N/A</v>
      </c>
      <c r="I1949" s="6" t="e">
        <f>VLOOKUP('Customer Info'!A1941,'Customer Info'!A1941:I2440,5,FALSE)</f>
        <v>#N/A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138</v>
      </c>
      <c r="R1949" s="2" t="s">
        <v>28</v>
      </c>
      <c r="S1949" s="9">
        <f t="shared" si="154"/>
        <v>0.02</v>
      </c>
    </row>
    <row r="1950" spans="1:19" x14ac:dyDescent="0.25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e">
        <f>VLOOKUP('Customer Info'!A1942,'Customer Info'!A1942:I2441,2,FALSE)</f>
        <v>#N/A</v>
      </c>
      <c r="H1950" s="6" t="e">
        <f>VLOOKUP('Customer Info'!A1942,'Customer Info'!A1942:I2442,3,FALSE)</f>
        <v>#N/A</v>
      </c>
      <c r="I1950" s="6" t="e">
        <f>VLOOKUP('Customer Info'!A1942,'Customer Info'!A1942:I2441,5,FALSE)</f>
        <v>#N/A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191</v>
      </c>
      <c r="R1950" s="2" t="s">
        <v>28</v>
      </c>
      <c r="S1950" s="9">
        <f t="shared" si="154"/>
        <v>0.02</v>
      </c>
    </row>
    <row r="1951" spans="1:19" x14ac:dyDescent="0.25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e">
        <f>VLOOKUP('Customer Info'!A1943,'Customer Info'!A1943:I2442,2,FALSE)</f>
        <v>#N/A</v>
      </c>
      <c r="H1951" s="6" t="e">
        <f>VLOOKUP('Customer Info'!A1943,'Customer Info'!A1943:I2443,3,FALSE)</f>
        <v>#N/A</v>
      </c>
      <c r="I1951" s="6" t="e">
        <f>VLOOKUP('Customer Info'!A1943,'Customer Info'!A1943:I2442,5,FALSE)</f>
        <v>#N/A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1014</v>
      </c>
      <c r="R1951" s="2" t="s">
        <v>28</v>
      </c>
      <c r="S1951" s="9">
        <f t="shared" si="154"/>
        <v>0.05</v>
      </c>
    </row>
    <row r="1952" spans="1:19" x14ac:dyDescent="0.25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e">
        <f>VLOOKUP('Customer Info'!A1944,'Customer Info'!A1944:I2443,2,FALSE)</f>
        <v>#N/A</v>
      </c>
      <c r="H1952" s="6" t="e">
        <f>VLOOKUP('Customer Info'!A1944,'Customer Info'!A1944:I2444,3,FALSE)</f>
        <v>#N/A</v>
      </c>
      <c r="I1952" s="6" t="e">
        <f>VLOOKUP('Customer Info'!A1944,'Customer Info'!A1944:I2443,5,FALSE)</f>
        <v>#N/A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56</v>
      </c>
      <c r="R1952" s="2" t="s">
        <v>50</v>
      </c>
      <c r="S1952" s="9">
        <f t="shared" si="154"/>
        <v>0.02</v>
      </c>
    </row>
    <row r="1953" spans="1:19" x14ac:dyDescent="0.25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e">
        <f>VLOOKUP('Customer Info'!A1945,'Customer Info'!A1945:I2444,2,FALSE)</f>
        <v>#N/A</v>
      </c>
      <c r="H1953" s="6" t="e">
        <f>VLOOKUP('Customer Info'!A1945,'Customer Info'!A1945:I2445,3,FALSE)</f>
        <v>#N/A</v>
      </c>
      <c r="I1953" s="6" t="e">
        <f>VLOOKUP('Customer Info'!A1945,'Customer Info'!A1945:I2444,5,FALSE)</f>
        <v>#N/A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533</v>
      </c>
      <c r="R1953" s="2" t="s">
        <v>28</v>
      </c>
      <c r="S1953" s="9">
        <f t="shared" si="154"/>
        <v>0.05</v>
      </c>
    </row>
    <row r="1954" spans="1:19" x14ac:dyDescent="0.25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e">
        <f>VLOOKUP('Customer Info'!A1946,'Customer Info'!A1946:I2445,2,FALSE)</f>
        <v>#N/A</v>
      </c>
      <c r="H1954" s="6" t="e">
        <f>VLOOKUP('Customer Info'!A1946,'Customer Info'!A1946:I2446,3,FALSE)</f>
        <v>#N/A</v>
      </c>
      <c r="I1954" s="6" t="e">
        <f>VLOOKUP('Customer Info'!A1946,'Customer Info'!A1946:I2445,5,FALSE)</f>
        <v>#N/A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1258</v>
      </c>
      <c r="R1954" s="2" t="s">
        <v>56</v>
      </c>
      <c r="S1954" s="9">
        <f t="shared" si="154"/>
        <v>0.05</v>
      </c>
    </row>
    <row r="1955" spans="1:19" x14ac:dyDescent="0.25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e">
        <f>VLOOKUP('Customer Info'!A1947,'Customer Info'!A1947:I2446,2,FALSE)</f>
        <v>#N/A</v>
      </c>
      <c r="H1955" s="6" t="e">
        <f>VLOOKUP('Customer Info'!A1947,'Customer Info'!A1947:I2447,3,FALSE)</f>
        <v>#N/A</v>
      </c>
      <c r="I1955" s="6" t="e">
        <f>VLOOKUP('Customer Info'!A1947,'Customer Info'!A1947:I2446,5,FALSE)</f>
        <v>#N/A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179</v>
      </c>
      <c r="R1955" s="2" t="s">
        <v>50</v>
      </c>
      <c r="S1955" s="9">
        <f t="shared" si="154"/>
        <v>0.02</v>
      </c>
    </row>
    <row r="1956" spans="1:19" x14ac:dyDescent="0.25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e">
        <f>VLOOKUP('Customer Info'!A1948,'Customer Info'!A1948:I2447,2,FALSE)</f>
        <v>#N/A</v>
      </c>
      <c r="H1956" s="6" t="e">
        <f>VLOOKUP('Customer Info'!A1948,'Customer Info'!A1948:I2448,3,FALSE)</f>
        <v>#N/A</v>
      </c>
      <c r="I1956" s="6" t="e">
        <f>VLOOKUP('Customer Info'!A1948,'Customer Info'!A1948:I2447,5,FALSE)</f>
        <v>#N/A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636</v>
      </c>
      <c r="R1956" s="2" t="s">
        <v>28</v>
      </c>
      <c r="S1956" s="9">
        <f t="shared" si="154"/>
        <v>0.05</v>
      </c>
    </row>
    <row r="1957" spans="1:19" x14ac:dyDescent="0.25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e">
        <f>VLOOKUP('Customer Info'!A1949,'Customer Info'!A1949:I2448,2,FALSE)</f>
        <v>#N/A</v>
      </c>
      <c r="H1957" s="6" t="e">
        <f>VLOOKUP('Customer Info'!A1949,'Customer Info'!A1949:I2449,3,FALSE)</f>
        <v>#N/A</v>
      </c>
      <c r="I1957" s="6" t="e">
        <f>VLOOKUP('Customer Info'!A1949,'Customer Info'!A1949:I2448,5,FALSE)</f>
        <v>#N/A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451</v>
      </c>
      <c r="R1957" s="2" t="s">
        <v>50</v>
      </c>
      <c r="S1957" s="9">
        <f t="shared" si="154"/>
        <v>0.02</v>
      </c>
    </row>
    <row r="1958" spans="1:19" x14ac:dyDescent="0.25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e">
        <f>VLOOKUP('Customer Info'!A1950,'Customer Info'!A1950:I2449,2,FALSE)</f>
        <v>#N/A</v>
      </c>
      <c r="H1958" s="6" t="e">
        <f>VLOOKUP('Customer Info'!A1950,'Customer Info'!A1950:I2450,3,FALSE)</f>
        <v>#N/A</v>
      </c>
      <c r="I1958" s="6" t="e">
        <f>VLOOKUP('Customer Info'!A1950,'Customer Info'!A1950:I2449,5,FALSE)</f>
        <v>#N/A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330</v>
      </c>
      <c r="R1958" s="2" t="s">
        <v>50</v>
      </c>
      <c r="S1958" s="9">
        <f t="shared" si="154"/>
        <v>0.02</v>
      </c>
    </row>
    <row r="1959" spans="1:19" x14ac:dyDescent="0.25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e">
        <f>VLOOKUP('Customer Info'!A1951,'Customer Info'!A1951:I2450,2,FALSE)</f>
        <v>#N/A</v>
      </c>
      <c r="H1959" s="6" t="e">
        <f>VLOOKUP('Customer Info'!A1951,'Customer Info'!A1951:I2451,3,FALSE)</f>
        <v>#N/A</v>
      </c>
      <c r="I1959" s="6" t="e">
        <f>VLOOKUP('Customer Info'!A1951,'Customer Info'!A1951:I2450,5,FALSE)</f>
        <v>#N/A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20</v>
      </c>
      <c r="R1959" s="2" t="s">
        <v>28</v>
      </c>
      <c r="S1959" s="9">
        <f t="shared" si="154"/>
        <v>0.02</v>
      </c>
    </row>
    <row r="1960" spans="1:19" x14ac:dyDescent="0.25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e">
        <f>VLOOKUP('Customer Info'!A1952,'Customer Info'!A1952:I2451,2,FALSE)</f>
        <v>#N/A</v>
      </c>
      <c r="H1960" s="6" t="e">
        <f>VLOOKUP('Customer Info'!A1952,'Customer Info'!A1952:I2452,3,FALSE)</f>
        <v>#N/A</v>
      </c>
      <c r="I1960" s="6" t="e">
        <f>VLOOKUP('Customer Info'!A1952,'Customer Info'!A1952:I2451,5,FALSE)</f>
        <v>#N/A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24</v>
      </c>
      <c r="R1960" s="2" t="s">
        <v>50</v>
      </c>
      <c r="S1960" s="9">
        <f t="shared" si="154"/>
        <v>0.02</v>
      </c>
    </row>
    <row r="1961" spans="1:19" x14ac:dyDescent="0.25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e">
        <f>VLOOKUP('Customer Info'!A1953,'Customer Info'!A1953:I2452,2,FALSE)</f>
        <v>#N/A</v>
      </c>
      <c r="H1961" s="6" t="e">
        <f>VLOOKUP('Customer Info'!A1953,'Customer Info'!A1953:I2453,3,FALSE)</f>
        <v>#N/A</v>
      </c>
      <c r="I1961" s="6" t="e">
        <f>VLOOKUP('Customer Info'!A1953,'Customer Info'!A1953:I2452,5,FALSE)</f>
        <v>#N/A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155</v>
      </c>
      <c r="R1961" s="2" t="s">
        <v>28</v>
      </c>
      <c r="S1961" s="9">
        <f t="shared" si="154"/>
        <v>0.02</v>
      </c>
    </row>
    <row r="1962" spans="1:19" x14ac:dyDescent="0.25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e">
        <f>VLOOKUP('Customer Info'!A1954,'Customer Info'!A1954:I2453,2,FALSE)</f>
        <v>#N/A</v>
      </c>
      <c r="H1962" s="6" t="e">
        <f>VLOOKUP('Customer Info'!A1954,'Customer Info'!A1954:I2454,3,FALSE)</f>
        <v>#N/A</v>
      </c>
      <c r="I1962" s="6" t="e">
        <f>VLOOKUP('Customer Info'!A1954,'Customer Info'!A1954:I2453,5,FALSE)</f>
        <v>#N/A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382</v>
      </c>
      <c r="R1962" s="2" t="s">
        <v>50</v>
      </c>
      <c r="S1962" s="9">
        <f t="shared" si="154"/>
        <v>0.02</v>
      </c>
    </row>
    <row r="1963" spans="1:19" x14ac:dyDescent="0.25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e">
        <f>VLOOKUP('Customer Info'!A1955,'Customer Info'!A1955:I2454,2,FALSE)</f>
        <v>#N/A</v>
      </c>
      <c r="H1963" s="6" t="e">
        <f>VLOOKUP('Customer Info'!A1955,'Customer Info'!A1955:I2455,3,FALSE)</f>
        <v>#N/A</v>
      </c>
      <c r="I1963" s="6" t="e">
        <f>VLOOKUP('Customer Info'!A1955,'Customer Info'!A1955:I2454,5,FALSE)</f>
        <v>#N/A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3176</v>
      </c>
      <c r="R1963" s="2" t="s">
        <v>50</v>
      </c>
      <c r="S1963" s="9">
        <f t="shared" si="154"/>
        <v>7.0000000000000007E-2</v>
      </c>
    </row>
    <row r="1964" spans="1:19" x14ac:dyDescent="0.25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e">
        <f>VLOOKUP('Customer Info'!A1956,'Customer Info'!A1956:I2455,2,FALSE)</f>
        <v>#N/A</v>
      </c>
      <c r="H1964" s="6" t="e">
        <f>VLOOKUP('Customer Info'!A1956,'Customer Info'!A1956:I2456,3,FALSE)</f>
        <v>#N/A</v>
      </c>
      <c r="I1964" s="6" t="e">
        <f>VLOOKUP('Customer Info'!A1956,'Customer Info'!A1956:I2455,5,FALSE)</f>
        <v>#N/A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2369</v>
      </c>
      <c r="R1964" s="2" t="s">
        <v>50</v>
      </c>
      <c r="S1964" s="9">
        <f t="shared" si="154"/>
        <v>7.0000000000000007E-2</v>
      </c>
    </row>
    <row r="1965" spans="1:19" x14ac:dyDescent="0.25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e">
        <f>VLOOKUP('Customer Info'!A1957,'Customer Info'!A1957:I2456,2,FALSE)</f>
        <v>#N/A</v>
      </c>
      <c r="H1965" s="6" t="e">
        <f>VLOOKUP('Customer Info'!A1957,'Customer Info'!A1957:I2457,3,FALSE)</f>
        <v>#N/A</v>
      </c>
      <c r="I1965" s="6" t="e">
        <f>VLOOKUP('Customer Info'!A1957,'Customer Info'!A1957:I2456,5,FALSE)</f>
        <v>#N/A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239</v>
      </c>
      <c r="R1965" s="2" t="s">
        <v>50</v>
      </c>
      <c r="S1965" s="9">
        <f t="shared" si="154"/>
        <v>0.02</v>
      </c>
    </row>
    <row r="1966" spans="1:19" x14ac:dyDescent="0.25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e">
        <f>VLOOKUP('Customer Info'!A1958,'Customer Info'!A1958:I2457,2,FALSE)</f>
        <v>#N/A</v>
      </c>
      <c r="H1966" s="6" t="e">
        <f>VLOOKUP('Customer Info'!A1958,'Customer Info'!A1958:I2458,3,FALSE)</f>
        <v>#N/A</v>
      </c>
      <c r="I1966" s="6" t="e">
        <f>VLOOKUP('Customer Info'!A1958,'Customer Info'!A1958:I2457,5,FALSE)</f>
        <v>#N/A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983</v>
      </c>
      <c r="R1966" s="2" t="s">
        <v>50</v>
      </c>
      <c r="S1966" s="9">
        <f t="shared" si="154"/>
        <v>0.05</v>
      </c>
    </row>
    <row r="1967" spans="1:19" x14ac:dyDescent="0.25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e">
        <f>VLOOKUP('Customer Info'!A1959,'Customer Info'!A1959:I2458,2,FALSE)</f>
        <v>#N/A</v>
      </c>
      <c r="H1967" s="6" t="e">
        <f>VLOOKUP('Customer Info'!A1959,'Customer Info'!A1959:I2459,3,FALSE)</f>
        <v>#N/A</v>
      </c>
      <c r="I1967" s="6" t="e">
        <f>VLOOKUP('Customer Info'!A1959,'Customer Info'!A1959:I2458,5,FALSE)</f>
        <v>#N/A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194</v>
      </c>
      <c r="R1967" s="2" t="s">
        <v>50</v>
      </c>
      <c r="S1967" s="9">
        <f t="shared" si="154"/>
        <v>0.02</v>
      </c>
    </row>
    <row r="1968" spans="1:19" x14ac:dyDescent="0.25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e">
        <f>VLOOKUP('Customer Info'!A1960,'Customer Info'!A1960:I2459,2,FALSE)</f>
        <v>#N/A</v>
      </c>
      <c r="H1968" s="6" t="e">
        <f>VLOOKUP('Customer Info'!A1960,'Customer Info'!A1960:I2460,3,FALSE)</f>
        <v>#N/A</v>
      </c>
      <c r="I1968" s="6" t="e">
        <f>VLOOKUP('Customer Info'!A1960,'Customer Info'!A1960:I2459,5,FALSE)</f>
        <v>#N/A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708</v>
      </c>
      <c r="R1968" s="2" t="s">
        <v>50</v>
      </c>
      <c r="S1968" s="9">
        <f t="shared" si="154"/>
        <v>0.05</v>
      </c>
    </row>
    <row r="1969" spans="1:19" x14ac:dyDescent="0.25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e">
        <f>VLOOKUP('Customer Info'!A1961,'Customer Info'!A1961:I2460,2,FALSE)</f>
        <v>#N/A</v>
      </c>
      <c r="H1969" s="6" t="e">
        <f>VLOOKUP('Customer Info'!A1961,'Customer Info'!A1961:I2461,3,FALSE)</f>
        <v>#N/A</v>
      </c>
      <c r="I1969" s="6" t="e">
        <f>VLOOKUP('Customer Info'!A1961,'Customer Info'!A1961:I2460,5,FALSE)</f>
        <v>#N/A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784</v>
      </c>
      <c r="R1969" s="2" t="s">
        <v>28</v>
      </c>
      <c r="S1969" s="9">
        <f t="shared" si="154"/>
        <v>0.05</v>
      </c>
    </row>
    <row r="1970" spans="1:19" x14ac:dyDescent="0.25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e">
        <f>VLOOKUP('Customer Info'!A1962,'Customer Info'!A1962:I2461,2,FALSE)</f>
        <v>#N/A</v>
      </c>
      <c r="H1970" s="6" t="e">
        <f>VLOOKUP('Customer Info'!A1962,'Customer Info'!A1962:I2462,3,FALSE)</f>
        <v>#N/A</v>
      </c>
      <c r="I1970" s="6" t="e">
        <f>VLOOKUP('Customer Info'!A1962,'Customer Info'!A1962:I2461,5,FALSE)</f>
        <v>#N/A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687</v>
      </c>
      <c r="R1970" s="2" t="s">
        <v>50</v>
      </c>
      <c r="S1970" s="9">
        <f t="shared" si="154"/>
        <v>0.05</v>
      </c>
    </row>
    <row r="1971" spans="1:19" x14ac:dyDescent="0.25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e">
        <f>VLOOKUP('Customer Info'!A1963,'Customer Info'!A1963:I2462,2,FALSE)</f>
        <v>#N/A</v>
      </c>
      <c r="H1971" s="6" t="e">
        <f>VLOOKUP('Customer Info'!A1963,'Customer Info'!A1963:I2463,3,FALSE)</f>
        <v>#N/A</v>
      </c>
      <c r="I1971" s="6" t="e">
        <f>VLOOKUP('Customer Info'!A1963,'Customer Info'!A1963:I2462,5,FALSE)</f>
        <v>#N/A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136</v>
      </c>
      <c r="R1971" s="2" t="s">
        <v>28</v>
      </c>
      <c r="S1971" s="9">
        <f t="shared" si="154"/>
        <v>0.02</v>
      </c>
    </row>
    <row r="1972" spans="1:19" x14ac:dyDescent="0.25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e">
        <f>VLOOKUP('Customer Info'!A1964,'Customer Info'!A1964:I2463,2,FALSE)</f>
        <v>#N/A</v>
      </c>
      <c r="H1972" s="6" t="e">
        <f>VLOOKUP('Customer Info'!A1964,'Customer Info'!A1964:I2464,3,FALSE)</f>
        <v>#N/A</v>
      </c>
      <c r="I1972" s="6" t="e">
        <f>VLOOKUP('Customer Info'!A1964,'Customer Info'!A1964:I2463,5,FALSE)</f>
        <v>#N/A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168</v>
      </c>
      <c r="R1972" s="2" t="s">
        <v>28</v>
      </c>
      <c r="S1972" s="9">
        <f t="shared" si="154"/>
        <v>0.02</v>
      </c>
    </row>
    <row r="1973" spans="1:19" x14ac:dyDescent="0.25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e">
        <f>VLOOKUP('Customer Info'!A1965,'Customer Info'!A1965:I2464,2,FALSE)</f>
        <v>#N/A</v>
      </c>
      <c r="H1973" s="6" t="e">
        <f>VLOOKUP('Customer Info'!A1965,'Customer Info'!A1965:I2465,3,FALSE)</f>
        <v>#N/A</v>
      </c>
      <c r="I1973" s="6" t="e">
        <f>VLOOKUP('Customer Info'!A1965,'Customer Info'!A1965:I2464,5,FALSE)</f>
        <v>#N/A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42</v>
      </c>
      <c r="R1973" s="2" t="s">
        <v>28</v>
      </c>
      <c r="S1973" s="9">
        <f t="shared" si="154"/>
        <v>0.02</v>
      </c>
    </row>
    <row r="1974" spans="1:19" x14ac:dyDescent="0.25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e">
        <f>VLOOKUP('Customer Info'!A1966,'Customer Info'!A1966:I2465,2,FALSE)</f>
        <v>#N/A</v>
      </c>
      <c r="H1974" s="6" t="e">
        <f>VLOOKUP('Customer Info'!A1966,'Customer Info'!A1966:I2466,3,FALSE)</f>
        <v>#N/A</v>
      </c>
      <c r="I1974" s="6" t="e">
        <f>VLOOKUP('Customer Info'!A1966,'Customer Info'!A1966:I2465,5,FALSE)</f>
        <v>#N/A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121</v>
      </c>
      <c r="R1974" s="2" t="s">
        <v>28</v>
      </c>
      <c r="S1974" s="9">
        <f t="shared" si="154"/>
        <v>0.02</v>
      </c>
    </row>
    <row r="1975" spans="1:19" x14ac:dyDescent="0.25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e">
        <f>VLOOKUP('Customer Info'!A1967,'Customer Info'!A1967:I2466,2,FALSE)</f>
        <v>#N/A</v>
      </c>
      <c r="H1975" s="6" t="e">
        <f>VLOOKUP('Customer Info'!A1967,'Customer Info'!A1967:I2467,3,FALSE)</f>
        <v>#N/A</v>
      </c>
      <c r="I1975" s="6" t="e">
        <f>VLOOKUP('Customer Info'!A1967,'Customer Info'!A1967:I2466,5,FALSE)</f>
        <v>#N/A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6300</v>
      </c>
      <c r="R1975" s="2" t="s">
        <v>28</v>
      </c>
      <c r="S1975" s="9">
        <f t="shared" si="154"/>
        <v>0.09</v>
      </c>
    </row>
    <row r="1976" spans="1:19" x14ac:dyDescent="0.25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e">
        <f>VLOOKUP('Customer Info'!A1968,'Customer Info'!A1968:I2467,2,FALSE)</f>
        <v>#N/A</v>
      </c>
      <c r="H1976" s="6" t="e">
        <f>VLOOKUP('Customer Info'!A1968,'Customer Info'!A1968:I2468,3,FALSE)</f>
        <v>#N/A</v>
      </c>
      <c r="I1976" s="6" t="e">
        <f>VLOOKUP('Customer Info'!A1968,'Customer Info'!A1968:I2467,5,FALSE)</f>
        <v>#N/A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140</v>
      </c>
      <c r="R1976" s="2" t="s">
        <v>50</v>
      </c>
      <c r="S1976" s="9">
        <f t="shared" si="154"/>
        <v>0.02</v>
      </c>
    </row>
    <row r="1977" spans="1:19" x14ac:dyDescent="0.25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e">
        <f>VLOOKUP('Customer Info'!A1969,'Customer Info'!A1969:I2468,2,FALSE)</f>
        <v>#N/A</v>
      </c>
      <c r="H1977" s="6" t="e">
        <f>VLOOKUP('Customer Info'!A1969,'Customer Info'!A1969:I2469,3,FALSE)</f>
        <v>#N/A</v>
      </c>
      <c r="I1977" s="6" t="e">
        <f>VLOOKUP('Customer Info'!A1969,'Customer Info'!A1969:I2468,5,FALSE)</f>
        <v>#N/A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415</v>
      </c>
      <c r="R1977" s="2" t="s">
        <v>28</v>
      </c>
      <c r="S1977" s="9">
        <f t="shared" si="154"/>
        <v>0.05</v>
      </c>
    </row>
    <row r="1978" spans="1:19" x14ac:dyDescent="0.25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e">
        <f>VLOOKUP('Customer Info'!A1970,'Customer Info'!A1970:I2469,2,FALSE)</f>
        <v>#N/A</v>
      </c>
      <c r="H1978" s="6" t="e">
        <f>VLOOKUP('Customer Info'!A1970,'Customer Info'!A1970:I2470,3,FALSE)</f>
        <v>#N/A</v>
      </c>
      <c r="I1978" s="6" t="e">
        <f>VLOOKUP('Customer Info'!A1970,'Customer Info'!A1970:I2469,5,FALSE)</f>
        <v>#N/A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166</v>
      </c>
      <c r="R1978" s="2" t="s">
        <v>50</v>
      </c>
      <c r="S1978" s="9">
        <f t="shared" si="154"/>
        <v>0.02</v>
      </c>
    </row>
    <row r="1979" spans="1:19" x14ac:dyDescent="0.25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e">
        <f>VLOOKUP('Customer Info'!A1971,'Customer Info'!A1971:I2470,2,FALSE)</f>
        <v>#N/A</v>
      </c>
      <c r="H1979" s="6" t="e">
        <f>VLOOKUP('Customer Info'!A1971,'Customer Info'!A1971:I2471,3,FALSE)</f>
        <v>#N/A</v>
      </c>
      <c r="I1979" s="6" t="e">
        <f>VLOOKUP('Customer Info'!A1971,'Customer Info'!A1971:I2470,5,FALSE)</f>
        <v>#N/A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2143</v>
      </c>
      <c r="R1979" s="2" t="s">
        <v>56</v>
      </c>
      <c r="S1979" s="9">
        <f t="shared" si="154"/>
        <v>7.0000000000000007E-2</v>
      </c>
    </row>
    <row r="1980" spans="1:19" x14ac:dyDescent="0.25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e">
        <f>VLOOKUP('Customer Info'!A1972,'Customer Info'!A1972:I2471,2,FALSE)</f>
        <v>#N/A</v>
      </c>
      <c r="H1980" s="6" t="e">
        <f>VLOOKUP('Customer Info'!A1972,'Customer Info'!A1972:I2472,3,FALSE)</f>
        <v>#N/A</v>
      </c>
      <c r="I1980" s="6" t="e">
        <f>VLOOKUP('Customer Info'!A1972,'Customer Info'!A1972:I2471,5,FALSE)</f>
        <v>#N/A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54</v>
      </c>
      <c r="R1980" s="2" t="s">
        <v>28</v>
      </c>
      <c r="S1980" s="9">
        <f t="shared" si="154"/>
        <v>0.02</v>
      </c>
    </row>
    <row r="1981" spans="1:19" x14ac:dyDescent="0.25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e">
        <f>VLOOKUP('Customer Info'!A1973,'Customer Info'!A1973:I2472,2,FALSE)</f>
        <v>#N/A</v>
      </c>
      <c r="H1981" s="6" t="e">
        <f>VLOOKUP('Customer Info'!A1973,'Customer Info'!A1973:I2473,3,FALSE)</f>
        <v>#N/A</v>
      </c>
      <c r="I1981" s="6" t="e">
        <f>VLOOKUP('Customer Info'!A1973,'Customer Info'!A1973:I2472,5,FALSE)</f>
        <v>#N/A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406</v>
      </c>
      <c r="R1981" s="2" t="s">
        <v>26</v>
      </c>
      <c r="S1981" s="9">
        <f t="shared" si="154"/>
        <v>0.05</v>
      </c>
    </row>
    <row r="1982" spans="1:19" x14ac:dyDescent="0.25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e">
        <f>VLOOKUP('Customer Info'!A1974,'Customer Info'!A1974:I2473,2,FALSE)</f>
        <v>#N/A</v>
      </c>
      <c r="H1982" s="6" t="e">
        <f>VLOOKUP('Customer Info'!A1974,'Customer Info'!A1974:I2474,3,FALSE)</f>
        <v>#N/A</v>
      </c>
      <c r="I1982" s="6" t="e">
        <f>VLOOKUP('Customer Info'!A1974,'Customer Info'!A1974:I2473,5,FALSE)</f>
        <v>#N/A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886</v>
      </c>
      <c r="R1982" s="2" t="s">
        <v>56</v>
      </c>
      <c r="S1982" s="9">
        <f t="shared" si="154"/>
        <v>0.05</v>
      </c>
    </row>
    <row r="1983" spans="1:19" x14ac:dyDescent="0.25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e">
        <f>VLOOKUP('Customer Info'!A1975,'Customer Info'!A1975:I2474,2,FALSE)</f>
        <v>#N/A</v>
      </c>
      <c r="H1983" s="6" t="e">
        <f>VLOOKUP('Customer Info'!A1975,'Customer Info'!A1975:I2475,3,FALSE)</f>
        <v>#N/A</v>
      </c>
      <c r="I1983" s="6" t="e">
        <f>VLOOKUP('Customer Info'!A1975,'Customer Info'!A1975:I2474,5,FALSE)</f>
        <v>#N/A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320</v>
      </c>
      <c r="R1983" s="2" t="s">
        <v>28</v>
      </c>
      <c r="S1983" s="9">
        <f t="shared" si="154"/>
        <v>0.02</v>
      </c>
    </row>
    <row r="1984" spans="1:19" x14ac:dyDescent="0.25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e">
        <f>VLOOKUP('Customer Info'!A1976,'Customer Info'!A1976:I2475,2,FALSE)</f>
        <v>#N/A</v>
      </c>
      <c r="H1984" s="6" t="e">
        <f>VLOOKUP('Customer Info'!A1976,'Customer Info'!A1976:I2476,3,FALSE)</f>
        <v>#N/A</v>
      </c>
      <c r="I1984" s="6" t="e">
        <f>VLOOKUP('Customer Info'!A1976,'Customer Info'!A1976:I2475,5,FALSE)</f>
        <v>#N/A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516</v>
      </c>
      <c r="R1984" s="2" t="s">
        <v>28</v>
      </c>
      <c r="S1984" s="9">
        <f t="shared" si="154"/>
        <v>0.05</v>
      </c>
    </row>
    <row r="1985" spans="1:19" x14ac:dyDescent="0.25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e">
        <f>VLOOKUP('Customer Info'!A1977,'Customer Info'!A1977:I2476,2,FALSE)</f>
        <v>#N/A</v>
      </c>
      <c r="H1985" s="6" t="e">
        <f>VLOOKUP('Customer Info'!A1977,'Customer Info'!A1977:I2477,3,FALSE)</f>
        <v>#N/A</v>
      </c>
      <c r="I1985" s="6" t="e">
        <f>VLOOKUP('Customer Info'!A1977,'Customer Info'!A1977:I2476,5,FALSE)</f>
        <v>#N/A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872</v>
      </c>
      <c r="R1985" s="2" t="s">
        <v>50</v>
      </c>
      <c r="S1985" s="9">
        <f t="shared" si="154"/>
        <v>0.05</v>
      </c>
    </row>
    <row r="1986" spans="1:19" x14ac:dyDescent="0.25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e">
        <f>VLOOKUP('Customer Info'!A1978,'Customer Info'!A1978:I2477,2,FALSE)</f>
        <v>#N/A</v>
      </c>
      <c r="H1986" s="6" t="e">
        <f>VLOOKUP('Customer Info'!A1978,'Customer Info'!A1978:I2478,3,FALSE)</f>
        <v>#N/A</v>
      </c>
      <c r="I1986" s="6" t="e">
        <f>VLOOKUP('Customer Info'!A1978,'Customer Info'!A1978:I2477,5,FALSE)</f>
        <v>#N/A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180</v>
      </c>
      <c r="R1986" s="2" t="s">
        <v>28</v>
      </c>
      <c r="S1986" s="9">
        <f t="shared" si="154"/>
        <v>0.02</v>
      </c>
    </row>
    <row r="1987" spans="1:19" x14ac:dyDescent="0.25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e">
        <f>VLOOKUP('Customer Info'!A1979,'Customer Info'!A1979:I2478,2,FALSE)</f>
        <v>#N/A</v>
      </c>
      <c r="H1987" s="6" t="e">
        <f>VLOOKUP('Customer Info'!A1979,'Customer Info'!A1979:I2479,3,FALSE)</f>
        <v>#N/A</v>
      </c>
      <c r="I1987" s="6" t="e">
        <f>VLOOKUP('Customer Info'!A1979,'Customer Info'!A1979:I2478,5,FALSE)</f>
        <v>#N/A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181</v>
      </c>
      <c r="R1987" s="2" t="s">
        <v>50</v>
      </c>
      <c r="S1987" s="9">
        <f t="shared" si="154"/>
        <v>0.05</v>
      </c>
    </row>
    <row r="1988" spans="1:19" x14ac:dyDescent="0.25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e">
        <f>VLOOKUP('Customer Info'!A1980,'Customer Info'!A1980:I2479,2,FALSE)</f>
        <v>#N/A</v>
      </c>
      <c r="H1988" s="6" t="e">
        <f>VLOOKUP('Customer Info'!A1980,'Customer Info'!A1980:I2480,3,FALSE)</f>
        <v>#N/A</v>
      </c>
      <c r="I1988" s="6" t="e">
        <f>VLOOKUP('Customer Info'!A1980,'Customer Info'!A1980:I2479,5,FALSE)</f>
        <v>#N/A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54</v>
      </c>
      <c r="R1988" s="2" t="s">
        <v>28</v>
      </c>
      <c r="S1988" s="9">
        <f t="shared" si="154"/>
        <v>0.02</v>
      </c>
    </row>
    <row r="1989" spans="1:19" x14ac:dyDescent="0.25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e">
        <f>VLOOKUP('Customer Info'!A1981,'Customer Info'!A1981:I2480,2,FALSE)</f>
        <v>#N/A</v>
      </c>
      <c r="H1989" s="6" t="e">
        <f>VLOOKUP('Customer Info'!A1981,'Customer Info'!A1981:I2481,3,FALSE)</f>
        <v>#N/A</v>
      </c>
      <c r="I1989" s="6" t="e">
        <f>VLOOKUP('Customer Info'!A1981,'Customer Info'!A1981:I2480,5,FALSE)</f>
        <v>#N/A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659</v>
      </c>
      <c r="R1989" s="2" t="s">
        <v>28</v>
      </c>
      <c r="S1989" s="9">
        <f t="shared" si="154"/>
        <v>0.05</v>
      </c>
    </row>
    <row r="1990" spans="1:19" x14ac:dyDescent="0.25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e">
        <f>VLOOKUP('Customer Info'!A1982,'Customer Info'!A1982:I2481,2,FALSE)</f>
        <v>#N/A</v>
      </c>
      <c r="H1990" s="6" t="e">
        <f>VLOOKUP('Customer Info'!A1982,'Customer Info'!A1982:I2482,3,FALSE)</f>
        <v>#N/A</v>
      </c>
      <c r="I1990" s="6" t="e">
        <f>VLOOKUP('Customer Info'!A1982,'Customer Info'!A1982:I2481,5,FALSE)</f>
        <v>#N/A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279</v>
      </c>
      <c r="R1990" s="2" t="s">
        <v>28</v>
      </c>
      <c r="S1990" s="9">
        <f t="shared" si="154"/>
        <v>0.02</v>
      </c>
    </row>
    <row r="1991" spans="1:19" x14ac:dyDescent="0.25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e">
        <f>VLOOKUP('Customer Info'!A1983,'Customer Info'!A1983:I2482,2,FALSE)</f>
        <v>#N/A</v>
      </c>
      <c r="H1991" s="6" t="e">
        <f>VLOOKUP('Customer Info'!A1983,'Customer Info'!A1983:I2483,3,FALSE)</f>
        <v>#N/A</v>
      </c>
      <c r="I1991" s="6" t="e">
        <f>VLOOKUP('Customer Info'!A1983,'Customer Info'!A1983:I2482,5,FALSE)</f>
        <v>#N/A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459</v>
      </c>
      <c r="R1991" s="2" t="s">
        <v>28</v>
      </c>
      <c r="S1991" s="9">
        <f t="shared" si="154"/>
        <v>0.05</v>
      </c>
    </row>
    <row r="1992" spans="1:19" x14ac:dyDescent="0.25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e">
        <f>VLOOKUP('Customer Info'!A1984,'Customer Info'!A1984:I2483,2,FALSE)</f>
        <v>#N/A</v>
      </c>
      <c r="H1992" s="6" t="e">
        <f>VLOOKUP('Customer Info'!A1984,'Customer Info'!A1984:I2484,3,FALSE)</f>
        <v>#N/A</v>
      </c>
      <c r="I1992" s="6" t="e">
        <f>VLOOKUP('Customer Info'!A1984,'Customer Info'!A1984:I2483,5,FALSE)</f>
        <v>#N/A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288</v>
      </c>
      <c r="R1992" s="2" t="s">
        <v>28</v>
      </c>
      <c r="S1992" s="9">
        <f t="shared" si="154"/>
        <v>0.05</v>
      </c>
    </row>
    <row r="1993" spans="1:19" x14ac:dyDescent="0.25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e">
        <f>VLOOKUP('Customer Info'!A1985,'Customer Info'!A1985:I2484,2,FALSE)</f>
        <v>#N/A</v>
      </c>
      <c r="H1993" s="6" t="e">
        <f>VLOOKUP('Customer Info'!A1985,'Customer Info'!A1985:I2485,3,FALSE)</f>
        <v>#N/A</v>
      </c>
      <c r="I1993" s="6" t="e">
        <f>VLOOKUP('Customer Info'!A1985,'Customer Info'!A1985:I2484,5,FALSE)</f>
        <v>#N/A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19</v>
      </c>
      <c r="R1993" s="2" t="s">
        <v>28</v>
      </c>
      <c r="S1993" s="9">
        <f t="shared" si="154"/>
        <v>0.02</v>
      </c>
    </row>
    <row r="1994" spans="1:19" x14ac:dyDescent="0.25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e">
        <f>VLOOKUP('Customer Info'!A1986,'Customer Info'!A1986:I2485,2,FALSE)</f>
        <v>#N/A</v>
      </c>
      <c r="H1994" s="6" t="e">
        <f>VLOOKUP('Customer Info'!A1986,'Customer Info'!A1986:I2486,3,FALSE)</f>
        <v>#N/A</v>
      </c>
      <c r="I1994" s="6" t="e">
        <f>VLOOKUP('Customer Info'!A1986,'Customer Info'!A1986:I2485,5,FALSE)</f>
        <v>#N/A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15</v>
      </c>
      <c r="R1994" s="2" t="s">
        <v>28</v>
      </c>
      <c r="S1994" s="9">
        <f t="shared" si="154"/>
        <v>0.02</v>
      </c>
    </row>
    <row r="1995" spans="1:19" x14ac:dyDescent="0.25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e">
        <f>VLOOKUP('Customer Info'!A1987,'Customer Info'!A1987:I2486,2,FALSE)</f>
        <v>#N/A</v>
      </c>
      <c r="H1995" s="6" t="e">
        <f>VLOOKUP('Customer Info'!A1987,'Customer Info'!A1987:I2487,3,FALSE)</f>
        <v>#N/A</v>
      </c>
      <c r="I1995" s="6" t="e">
        <f>VLOOKUP('Customer Info'!A1987,'Customer Info'!A1987:I2486,5,FALSE)</f>
        <v>#N/A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8">
        <f t="shared" ref="P1995:P2058" si="157">N1995+O1995</f>
        <v>37974</v>
      </c>
      <c r="Q1995" s="8">
        <f t="shared" ref="Q1995:Q2058" si="158">P1995-M1995</f>
        <v>3158</v>
      </c>
      <c r="R1995" s="2" t="s">
        <v>28</v>
      </c>
      <c r="S1995" s="9">
        <f t="shared" ref="S1995:S2058" si="159">VLOOKUP(P1995,$T$2:$U$7,2,TRUE)</f>
        <v>7.0000000000000007E-2</v>
      </c>
    </row>
    <row r="1996" spans="1:19" x14ac:dyDescent="0.25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e">
        <f>VLOOKUP('Customer Info'!A1988,'Customer Info'!A1988:I2487,2,FALSE)</f>
        <v>#N/A</v>
      </c>
      <c r="H1996" s="6" t="e">
        <f>VLOOKUP('Customer Info'!A1988,'Customer Info'!A1988:I2488,3,FALSE)</f>
        <v>#N/A</v>
      </c>
      <c r="I1996" s="6" t="e">
        <f>VLOOKUP('Customer Info'!A1988,'Customer Info'!A1988:I2487,5,FALSE)</f>
        <v>#N/A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1103</v>
      </c>
      <c r="R1996" s="2" t="s">
        <v>28</v>
      </c>
      <c r="S1996" s="9">
        <f t="shared" si="159"/>
        <v>0.05</v>
      </c>
    </row>
    <row r="1997" spans="1:19" x14ac:dyDescent="0.25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e">
        <f>VLOOKUP('Customer Info'!A1989,'Customer Info'!A1989:I2488,2,FALSE)</f>
        <v>#N/A</v>
      </c>
      <c r="H1997" s="6" t="e">
        <f>VLOOKUP('Customer Info'!A1989,'Customer Info'!A1989:I2489,3,FALSE)</f>
        <v>#N/A</v>
      </c>
      <c r="I1997" s="6" t="e">
        <f>VLOOKUP('Customer Info'!A1989,'Customer Info'!A1989:I2488,5,FALSE)</f>
        <v>#N/A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168</v>
      </c>
      <c r="R1997" s="2" t="s">
        <v>56</v>
      </c>
      <c r="S1997" s="9">
        <f t="shared" si="159"/>
        <v>0.02</v>
      </c>
    </row>
    <row r="1998" spans="1:19" x14ac:dyDescent="0.25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e">
        <f>VLOOKUP('Customer Info'!A1990,'Customer Info'!A1990:I2489,2,FALSE)</f>
        <v>#N/A</v>
      </c>
      <c r="H1998" s="6" t="e">
        <f>VLOOKUP('Customer Info'!A1990,'Customer Info'!A1990:I2490,3,FALSE)</f>
        <v>#N/A</v>
      </c>
      <c r="I1998" s="6" t="e">
        <f>VLOOKUP('Customer Info'!A1990,'Customer Info'!A1990:I2489,5,FALSE)</f>
        <v>#N/A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379</v>
      </c>
      <c r="R1998" s="2" t="s">
        <v>28</v>
      </c>
      <c r="S1998" s="9">
        <f t="shared" si="159"/>
        <v>0.02</v>
      </c>
    </row>
    <row r="1999" spans="1:19" x14ac:dyDescent="0.25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e">
        <f>VLOOKUP('Customer Info'!A1991,'Customer Info'!A1991:I2490,2,FALSE)</f>
        <v>#N/A</v>
      </c>
      <c r="H1999" s="6" t="e">
        <f>VLOOKUP('Customer Info'!A1991,'Customer Info'!A1991:I2491,3,FALSE)</f>
        <v>#N/A</v>
      </c>
      <c r="I1999" s="6" t="e">
        <f>VLOOKUP('Customer Info'!A1991,'Customer Info'!A1991:I2490,5,FALSE)</f>
        <v>#N/A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144</v>
      </c>
      <c r="R1999" s="2" t="s">
        <v>50</v>
      </c>
      <c r="S1999" s="9">
        <f t="shared" si="159"/>
        <v>0.02</v>
      </c>
    </row>
    <row r="2000" spans="1:19" x14ac:dyDescent="0.25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e">
        <f>VLOOKUP('Customer Info'!A1992,'Customer Info'!A1992:I2491,2,FALSE)</f>
        <v>#N/A</v>
      </c>
      <c r="H2000" s="6" t="e">
        <f>VLOOKUP('Customer Info'!A1992,'Customer Info'!A1992:I2492,3,FALSE)</f>
        <v>#N/A</v>
      </c>
      <c r="I2000" s="6" t="e">
        <f>VLOOKUP('Customer Info'!A1992,'Customer Info'!A1992:I2491,5,FALSE)</f>
        <v>#N/A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303</v>
      </c>
      <c r="R2000" s="2" t="s">
        <v>28</v>
      </c>
      <c r="S2000" s="9">
        <f t="shared" si="159"/>
        <v>0.05</v>
      </c>
    </row>
    <row r="2001" spans="1:19" x14ac:dyDescent="0.25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e">
        <f>VLOOKUP('Customer Info'!A1993,'Customer Info'!A1993:I2492,2,FALSE)</f>
        <v>#N/A</v>
      </c>
      <c r="H2001" s="6" t="e">
        <f>VLOOKUP('Customer Info'!A1993,'Customer Info'!A1993:I2493,3,FALSE)</f>
        <v>#N/A</v>
      </c>
      <c r="I2001" s="6" t="e">
        <f>VLOOKUP('Customer Info'!A1993,'Customer Info'!A1993:I2492,5,FALSE)</f>
        <v>#N/A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3033</v>
      </c>
      <c r="R2001" s="2" t="s">
        <v>28</v>
      </c>
      <c r="S2001" s="9">
        <f t="shared" si="159"/>
        <v>0.09</v>
      </c>
    </row>
    <row r="2002" spans="1:19" x14ac:dyDescent="0.25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e">
        <f>VLOOKUP('Customer Info'!A1994,'Customer Info'!A1994:I2493,2,FALSE)</f>
        <v>#N/A</v>
      </c>
      <c r="H2002" s="6" t="e">
        <f>VLOOKUP('Customer Info'!A1994,'Customer Info'!A1994:I2494,3,FALSE)</f>
        <v>#N/A</v>
      </c>
      <c r="I2002" s="6" t="e">
        <f>VLOOKUP('Customer Info'!A1994,'Customer Info'!A1994:I2493,5,FALSE)</f>
        <v>#N/A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132</v>
      </c>
      <c r="R2002" s="2" t="s">
        <v>28</v>
      </c>
      <c r="S2002" s="9">
        <f t="shared" si="159"/>
        <v>0.02</v>
      </c>
    </row>
    <row r="2003" spans="1:19" x14ac:dyDescent="0.25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e">
        <f>VLOOKUP('Customer Info'!A1995,'Customer Info'!A1995:I2494,2,FALSE)</f>
        <v>#N/A</v>
      </c>
      <c r="H2003" s="6" t="e">
        <f>VLOOKUP('Customer Info'!A1995,'Customer Info'!A1995:I2495,3,FALSE)</f>
        <v>#N/A</v>
      </c>
      <c r="I2003" s="6" t="e">
        <f>VLOOKUP('Customer Info'!A1995,'Customer Info'!A1995:I2494,5,FALSE)</f>
        <v>#N/A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72</v>
      </c>
      <c r="R2003" s="2" t="s">
        <v>28</v>
      </c>
      <c r="S2003" s="9">
        <f t="shared" si="159"/>
        <v>0.02</v>
      </c>
    </row>
    <row r="2004" spans="1:19" x14ac:dyDescent="0.25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e">
        <f>VLOOKUP('Customer Info'!A1996,'Customer Info'!A1996:I2495,2,FALSE)</f>
        <v>#N/A</v>
      </c>
      <c r="H2004" s="6" t="e">
        <f>VLOOKUP('Customer Info'!A1996,'Customer Info'!A1996:I2496,3,FALSE)</f>
        <v>#N/A</v>
      </c>
      <c r="I2004" s="6" t="e">
        <f>VLOOKUP('Customer Info'!A1996,'Customer Info'!A1996:I2495,5,FALSE)</f>
        <v>#N/A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2145</v>
      </c>
      <c r="R2004" s="2" t="s">
        <v>50</v>
      </c>
      <c r="S2004" s="9">
        <f t="shared" si="159"/>
        <v>7.0000000000000007E-2</v>
      </c>
    </row>
    <row r="2005" spans="1:19" x14ac:dyDescent="0.25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e">
        <f>VLOOKUP('Customer Info'!A1997,'Customer Info'!A1997:I2496,2,FALSE)</f>
        <v>#N/A</v>
      </c>
      <c r="H2005" s="6" t="e">
        <f>VLOOKUP('Customer Info'!A1997,'Customer Info'!A1997:I2497,3,FALSE)</f>
        <v>#N/A</v>
      </c>
      <c r="I2005" s="6" t="e">
        <f>VLOOKUP('Customer Info'!A1997,'Customer Info'!A1997:I2496,5,FALSE)</f>
        <v>#N/A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572</v>
      </c>
      <c r="R2005" s="2" t="s">
        <v>50</v>
      </c>
      <c r="S2005" s="9">
        <f t="shared" si="159"/>
        <v>0.05</v>
      </c>
    </row>
    <row r="2006" spans="1:19" x14ac:dyDescent="0.25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e">
        <f>VLOOKUP('Customer Info'!A1998,'Customer Info'!A1998:I2497,2,FALSE)</f>
        <v>#N/A</v>
      </c>
      <c r="H2006" s="6" t="e">
        <f>VLOOKUP('Customer Info'!A1998,'Customer Info'!A1998:I2498,3,FALSE)</f>
        <v>#N/A</v>
      </c>
      <c r="I2006" s="6" t="e">
        <f>VLOOKUP('Customer Info'!A1998,'Customer Info'!A1998:I2497,5,FALSE)</f>
        <v>#N/A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18</v>
      </c>
      <c r="R2006" s="2" t="s">
        <v>28</v>
      </c>
      <c r="S2006" s="9">
        <f t="shared" si="159"/>
        <v>0.02</v>
      </c>
    </row>
    <row r="2007" spans="1:19" x14ac:dyDescent="0.25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e">
        <f>VLOOKUP('Customer Info'!A1999,'Customer Info'!A1999:I2498,2,FALSE)</f>
        <v>#N/A</v>
      </c>
      <c r="H2007" s="6" t="e">
        <f>VLOOKUP('Customer Info'!A1999,'Customer Info'!A1999:I2499,3,FALSE)</f>
        <v>#N/A</v>
      </c>
      <c r="I2007" s="6" t="e">
        <f>VLOOKUP('Customer Info'!A1999,'Customer Info'!A1999:I2498,5,FALSE)</f>
        <v>#N/A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15</v>
      </c>
      <c r="R2007" s="2" t="s">
        <v>28</v>
      </c>
      <c r="S2007" s="9">
        <f t="shared" si="159"/>
        <v>0.02</v>
      </c>
    </row>
    <row r="2008" spans="1:19" x14ac:dyDescent="0.25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e">
        <f>VLOOKUP('Customer Info'!A2000,'Customer Info'!A2000:I2499,2,FALSE)</f>
        <v>#N/A</v>
      </c>
      <c r="H2008" s="6" t="e">
        <f>VLOOKUP('Customer Info'!A2000,'Customer Info'!A2000:I2500,3,FALSE)</f>
        <v>#N/A</v>
      </c>
      <c r="I2008" s="6" t="e">
        <f>VLOOKUP('Customer Info'!A2000,'Customer Info'!A2000:I2499,5,FALSE)</f>
        <v>#N/A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889</v>
      </c>
      <c r="R2008" s="2" t="s">
        <v>26</v>
      </c>
      <c r="S2008" s="9">
        <f t="shared" si="159"/>
        <v>0.05</v>
      </c>
    </row>
    <row r="2009" spans="1:19" x14ac:dyDescent="0.25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e">
        <f>VLOOKUP('Customer Info'!A2001,'Customer Info'!A2001:I2500,2,FALSE)</f>
        <v>#N/A</v>
      </c>
      <c r="H2009" s="6" t="e">
        <f>VLOOKUP('Customer Info'!A2001,'Customer Info'!A2001:I2501,3,FALSE)</f>
        <v>#N/A</v>
      </c>
      <c r="I2009" s="6" t="e">
        <f>VLOOKUP('Customer Info'!A2001,'Customer Info'!A2001:I2500,5,FALSE)</f>
        <v>#N/A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240</v>
      </c>
      <c r="R2009" s="2" t="s">
        <v>26</v>
      </c>
      <c r="S2009" s="9">
        <f t="shared" si="159"/>
        <v>0.02</v>
      </c>
    </row>
    <row r="2010" spans="1:19" x14ac:dyDescent="0.25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e">
        <f>VLOOKUP('Customer Info'!A2002,'Customer Info'!A2002:I2501,2,FALSE)</f>
        <v>#N/A</v>
      </c>
      <c r="H2010" s="6" t="e">
        <f>VLOOKUP('Customer Info'!A2002,'Customer Info'!A2002:I2502,3,FALSE)</f>
        <v>#N/A</v>
      </c>
      <c r="I2010" s="6" t="e">
        <f>VLOOKUP('Customer Info'!A2002,'Customer Info'!A2002:I2501,5,FALSE)</f>
        <v>#N/A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440</v>
      </c>
      <c r="R2010" s="2" t="s">
        <v>28</v>
      </c>
      <c r="S2010" s="9">
        <f t="shared" si="159"/>
        <v>0.05</v>
      </c>
    </row>
    <row r="2011" spans="1:19" x14ac:dyDescent="0.25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e">
        <f>VLOOKUP('Customer Info'!A2003,'Customer Info'!A2003:I2502,2,FALSE)</f>
        <v>#N/A</v>
      </c>
      <c r="H2011" s="6" t="e">
        <f>VLOOKUP('Customer Info'!A2003,'Customer Info'!A2003:I2503,3,FALSE)</f>
        <v>#N/A</v>
      </c>
      <c r="I2011" s="6" t="e">
        <f>VLOOKUP('Customer Info'!A2003,'Customer Info'!A2003:I2502,5,FALSE)</f>
        <v>#N/A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254</v>
      </c>
      <c r="R2011" s="2" t="s">
        <v>50</v>
      </c>
      <c r="S2011" s="9">
        <f t="shared" si="159"/>
        <v>0.02</v>
      </c>
    </row>
    <row r="2012" spans="1:19" x14ac:dyDescent="0.25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e">
        <f>VLOOKUP('Customer Info'!A2004,'Customer Info'!A2004:I2503,2,FALSE)</f>
        <v>#N/A</v>
      </c>
      <c r="H2012" s="6" t="e">
        <f>VLOOKUP('Customer Info'!A2004,'Customer Info'!A2004:I2504,3,FALSE)</f>
        <v>#N/A</v>
      </c>
      <c r="I2012" s="6" t="e">
        <f>VLOOKUP('Customer Info'!A2004,'Customer Info'!A2004:I2503,5,FALSE)</f>
        <v>#N/A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6351</v>
      </c>
      <c r="R2012" s="2" t="s">
        <v>50</v>
      </c>
      <c r="S2012" s="9">
        <f t="shared" si="159"/>
        <v>0.09</v>
      </c>
    </row>
    <row r="2013" spans="1:19" x14ac:dyDescent="0.25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e">
        <f>VLOOKUP('Customer Info'!A2005,'Customer Info'!A2005:I2504,2,FALSE)</f>
        <v>#N/A</v>
      </c>
      <c r="H2013" s="6" t="e">
        <f>VLOOKUP('Customer Info'!A2005,'Customer Info'!A2005:I2505,3,FALSE)</f>
        <v>#N/A</v>
      </c>
      <c r="I2013" s="6" t="e">
        <f>VLOOKUP('Customer Info'!A2005,'Customer Info'!A2005:I2504,5,FALSE)</f>
        <v>#N/A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294</v>
      </c>
      <c r="R2013" s="2" t="s">
        <v>50</v>
      </c>
      <c r="S2013" s="9">
        <f t="shared" si="159"/>
        <v>0.02</v>
      </c>
    </row>
    <row r="2014" spans="1:19" x14ac:dyDescent="0.25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e">
        <f>VLOOKUP('Customer Info'!A2006,'Customer Info'!A2006:I2505,2,FALSE)</f>
        <v>#N/A</v>
      </c>
      <c r="H2014" s="6" t="e">
        <f>VLOOKUP('Customer Info'!A2006,'Customer Info'!A2006:I2506,3,FALSE)</f>
        <v>#N/A</v>
      </c>
      <c r="I2014" s="6" t="e">
        <f>VLOOKUP('Customer Info'!A2006,'Customer Info'!A2006:I2505,5,FALSE)</f>
        <v>#N/A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757</v>
      </c>
      <c r="R2014" s="2" t="s">
        <v>28</v>
      </c>
      <c r="S2014" s="9">
        <f t="shared" si="159"/>
        <v>0.05</v>
      </c>
    </row>
    <row r="2015" spans="1:19" x14ac:dyDescent="0.25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e">
        <f>VLOOKUP('Customer Info'!A2007,'Customer Info'!A2007:I2506,2,FALSE)</f>
        <v>#N/A</v>
      </c>
      <c r="H2015" s="6" t="e">
        <f>VLOOKUP('Customer Info'!A2007,'Customer Info'!A2007:I2507,3,FALSE)</f>
        <v>#N/A</v>
      </c>
      <c r="I2015" s="6" t="e">
        <f>VLOOKUP('Customer Info'!A2007,'Customer Info'!A2007:I2506,5,FALSE)</f>
        <v>#N/A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45</v>
      </c>
      <c r="R2015" s="2" t="s">
        <v>28</v>
      </c>
      <c r="S2015" s="9">
        <f t="shared" si="159"/>
        <v>0.02</v>
      </c>
    </row>
    <row r="2016" spans="1:19" x14ac:dyDescent="0.25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e">
        <f>VLOOKUP('Customer Info'!A2008,'Customer Info'!A2008:I2507,2,FALSE)</f>
        <v>#N/A</v>
      </c>
      <c r="H2016" s="6" t="e">
        <f>VLOOKUP('Customer Info'!A2008,'Customer Info'!A2008:I2508,3,FALSE)</f>
        <v>#N/A</v>
      </c>
      <c r="I2016" s="6" t="e">
        <f>VLOOKUP('Customer Info'!A2008,'Customer Info'!A2008:I2507,5,FALSE)</f>
        <v>#N/A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320</v>
      </c>
      <c r="R2016" s="2" t="s">
        <v>26</v>
      </c>
      <c r="S2016" s="9">
        <f t="shared" si="159"/>
        <v>0.02</v>
      </c>
    </row>
    <row r="2017" spans="1:19" x14ac:dyDescent="0.25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e">
        <f>VLOOKUP('Customer Info'!A2009,'Customer Info'!A2009:I2508,2,FALSE)</f>
        <v>#N/A</v>
      </c>
      <c r="H2017" s="6" t="e">
        <f>VLOOKUP('Customer Info'!A2009,'Customer Info'!A2009:I2509,3,FALSE)</f>
        <v>#N/A</v>
      </c>
      <c r="I2017" s="6" t="e">
        <f>VLOOKUP('Customer Info'!A2009,'Customer Info'!A2009:I2508,5,FALSE)</f>
        <v>#N/A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556</v>
      </c>
      <c r="R2017" s="2" t="s">
        <v>50</v>
      </c>
      <c r="S2017" s="9">
        <f t="shared" si="159"/>
        <v>0.05</v>
      </c>
    </row>
    <row r="2018" spans="1:19" x14ac:dyDescent="0.25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e">
        <f>VLOOKUP('Customer Info'!A2010,'Customer Info'!A2010:I2509,2,FALSE)</f>
        <v>#N/A</v>
      </c>
      <c r="H2018" s="6" t="e">
        <f>VLOOKUP('Customer Info'!A2010,'Customer Info'!A2010:I2510,3,FALSE)</f>
        <v>#N/A</v>
      </c>
      <c r="I2018" s="6" t="e">
        <f>VLOOKUP('Customer Info'!A2010,'Customer Info'!A2010:I2509,5,FALSE)</f>
        <v>#N/A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169</v>
      </c>
      <c r="R2018" s="2" t="s">
        <v>50</v>
      </c>
      <c r="S2018" s="9">
        <f t="shared" si="159"/>
        <v>0.02</v>
      </c>
    </row>
    <row r="2019" spans="1:19" x14ac:dyDescent="0.25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e">
        <f>VLOOKUP('Customer Info'!A2011,'Customer Info'!A2011:I2510,2,FALSE)</f>
        <v>#N/A</v>
      </c>
      <c r="H2019" s="6" t="e">
        <f>VLOOKUP('Customer Info'!A2011,'Customer Info'!A2011:I2511,3,FALSE)</f>
        <v>#N/A</v>
      </c>
      <c r="I2019" s="6" t="e">
        <f>VLOOKUP('Customer Info'!A2011,'Customer Info'!A2011:I2510,5,FALSE)</f>
        <v>#N/A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1723</v>
      </c>
      <c r="R2019" s="2" t="s">
        <v>28</v>
      </c>
      <c r="S2019" s="9">
        <f t="shared" si="159"/>
        <v>0.05</v>
      </c>
    </row>
    <row r="2020" spans="1:19" x14ac:dyDescent="0.25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e">
        <f>VLOOKUP('Customer Info'!A2012,'Customer Info'!A2012:I2511,2,FALSE)</f>
        <v>#N/A</v>
      </c>
      <c r="H2020" s="6" t="e">
        <f>VLOOKUP('Customer Info'!A2012,'Customer Info'!A2012:I2512,3,FALSE)</f>
        <v>#N/A</v>
      </c>
      <c r="I2020" s="6" t="e">
        <f>VLOOKUP('Customer Info'!A2012,'Customer Info'!A2012:I2511,5,FALSE)</f>
        <v>#N/A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834</v>
      </c>
      <c r="R2020" s="2" t="s">
        <v>50</v>
      </c>
      <c r="S2020" s="9">
        <f t="shared" si="159"/>
        <v>0.05</v>
      </c>
    </row>
    <row r="2021" spans="1:19" x14ac:dyDescent="0.25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e">
        <f>VLOOKUP('Customer Info'!A2013,'Customer Info'!A2013:I2512,2,FALSE)</f>
        <v>#N/A</v>
      </c>
      <c r="H2021" s="6" t="e">
        <f>VLOOKUP('Customer Info'!A2013,'Customer Info'!A2013:I2513,3,FALSE)</f>
        <v>#N/A</v>
      </c>
      <c r="I2021" s="6" t="e">
        <f>VLOOKUP('Customer Info'!A2013,'Customer Info'!A2013:I2512,5,FALSE)</f>
        <v>#N/A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293</v>
      </c>
      <c r="R2021" s="2" t="s">
        <v>28</v>
      </c>
      <c r="S2021" s="9">
        <f t="shared" si="159"/>
        <v>0.02</v>
      </c>
    </row>
    <row r="2022" spans="1:19" x14ac:dyDescent="0.25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e">
        <f>VLOOKUP('Customer Info'!A2014,'Customer Info'!A2014:I2513,2,FALSE)</f>
        <v>#N/A</v>
      </c>
      <c r="H2022" s="6" t="e">
        <f>VLOOKUP('Customer Info'!A2014,'Customer Info'!A2014:I2514,3,FALSE)</f>
        <v>#N/A</v>
      </c>
      <c r="I2022" s="6" t="e">
        <f>VLOOKUP('Customer Info'!A2014,'Customer Info'!A2014:I2513,5,FALSE)</f>
        <v>#N/A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202</v>
      </c>
      <c r="R2022" s="2" t="s">
        <v>26</v>
      </c>
      <c r="S2022" s="9">
        <f t="shared" si="159"/>
        <v>0.02</v>
      </c>
    </row>
    <row r="2023" spans="1:19" x14ac:dyDescent="0.25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e">
        <f>VLOOKUP('Customer Info'!A2015,'Customer Info'!A2015:I2514,2,FALSE)</f>
        <v>#N/A</v>
      </c>
      <c r="H2023" s="6" t="e">
        <f>VLOOKUP('Customer Info'!A2015,'Customer Info'!A2015:I2515,3,FALSE)</f>
        <v>#N/A</v>
      </c>
      <c r="I2023" s="6" t="e">
        <f>VLOOKUP('Customer Info'!A2015,'Customer Info'!A2015:I2514,5,FALSE)</f>
        <v>#N/A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441</v>
      </c>
      <c r="R2023" s="2" t="s">
        <v>50</v>
      </c>
      <c r="S2023" s="9">
        <f t="shared" si="159"/>
        <v>0.02</v>
      </c>
    </row>
    <row r="2024" spans="1:19" x14ac:dyDescent="0.25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e">
        <f>VLOOKUP('Customer Info'!A2016,'Customer Info'!A2016:I2515,2,FALSE)</f>
        <v>#N/A</v>
      </c>
      <c r="H2024" s="6" t="e">
        <f>VLOOKUP('Customer Info'!A2016,'Customer Info'!A2016:I2516,3,FALSE)</f>
        <v>#N/A</v>
      </c>
      <c r="I2024" s="6" t="e">
        <f>VLOOKUP('Customer Info'!A2016,'Customer Info'!A2016:I2515,5,FALSE)</f>
        <v>#N/A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5819</v>
      </c>
      <c r="R2024" s="2" t="s">
        <v>26</v>
      </c>
      <c r="S2024" s="9">
        <f t="shared" si="159"/>
        <v>0.09</v>
      </c>
    </row>
    <row r="2025" spans="1:19" x14ac:dyDescent="0.25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e">
        <f>VLOOKUP('Customer Info'!A2017,'Customer Info'!A2017:I2516,2,FALSE)</f>
        <v>#N/A</v>
      </c>
      <c r="H2025" s="6" t="e">
        <f>VLOOKUP('Customer Info'!A2017,'Customer Info'!A2017:I2517,3,FALSE)</f>
        <v>#N/A</v>
      </c>
      <c r="I2025" s="6" t="e">
        <f>VLOOKUP('Customer Info'!A2017,'Customer Info'!A2017:I2516,5,FALSE)</f>
        <v>#N/A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15</v>
      </c>
      <c r="R2025" s="2" t="s">
        <v>28</v>
      </c>
      <c r="S2025" s="9">
        <f t="shared" si="159"/>
        <v>0.02</v>
      </c>
    </row>
    <row r="2026" spans="1:19" x14ac:dyDescent="0.25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e">
        <f>VLOOKUP('Customer Info'!A2018,'Customer Info'!A2018:I2517,2,FALSE)</f>
        <v>#N/A</v>
      </c>
      <c r="H2026" s="6" t="e">
        <f>VLOOKUP('Customer Info'!A2018,'Customer Info'!A2018:I2518,3,FALSE)</f>
        <v>#N/A</v>
      </c>
      <c r="I2026" s="6" t="e">
        <f>VLOOKUP('Customer Info'!A2018,'Customer Info'!A2018:I2517,5,FALSE)</f>
        <v>#N/A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43</v>
      </c>
      <c r="R2026" s="2" t="s">
        <v>56</v>
      </c>
      <c r="S2026" s="9">
        <f t="shared" si="159"/>
        <v>0.02</v>
      </c>
    </row>
    <row r="2027" spans="1:19" x14ac:dyDescent="0.25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e">
        <f>VLOOKUP('Customer Info'!A2019,'Customer Info'!A2019:I2518,2,FALSE)</f>
        <v>#N/A</v>
      </c>
      <c r="H2027" s="6" t="e">
        <f>VLOOKUP('Customer Info'!A2019,'Customer Info'!A2019:I2519,3,FALSE)</f>
        <v>#N/A</v>
      </c>
      <c r="I2027" s="6" t="e">
        <f>VLOOKUP('Customer Info'!A2019,'Customer Info'!A2019:I2518,5,FALSE)</f>
        <v>#N/A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508</v>
      </c>
      <c r="R2027" s="2" t="s">
        <v>56</v>
      </c>
      <c r="S2027" s="9">
        <f t="shared" si="159"/>
        <v>0.05</v>
      </c>
    </row>
    <row r="2028" spans="1:19" x14ac:dyDescent="0.25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e">
        <f>VLOOKUP('Customer Info'!A2020,'Customer Info'!A2020:I2519,2,FALSE)</f>
        <v>#N/A</v>
      </c>
      <c r="H2028" s="6" t="e">
        <f>VLOOKUP('Customer Info'!A2020,'Customer Info'!A2020:I2520,3,FALSE)</f>
        <v>#N/A</v>
      </c>
      <c r="I2028" s="6" t="e">
        <f>VLOOKUP('Customer Info'!A2020,'Customer Info'!A2020:I2519,5,FALSE)</f>
        <v>#N/A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254</v>
      </c>
      <c r="R2028" s="2" t="s">
        <v>28</v>
      </c>
      <c r="S2028" s="9">
        <f t="shared" si="159"/>
        <v>0.02</v>
      </c>
    </row>
    <row r="2029" spans="1:19" x14ac:dyDescent="0.25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e">
        <f>VLOOKUP('Customer Info'!A2021,'Customer Info'!A2021:I2520,2,FALSE)</f>
        <v>#N/A</v>
      </c>
      <c r="H2029" s="6" t="e">
        <f>VLOOKUP('Customer Info'!A2021,'Customer Info'!A2021:I2521,3,FALSE)</f>
        <v>#N/A</v>
      </c>
      <c r="I2029" s="6" t="e">
        <f>VLOOKUP('Customer Info'!A2021,'Customer Info'!A2021:I2520,5,FALSE)</f>
        <v>#N/A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466</v>
      </c>
      <c r="R2029" s="2" t="s">
        <v>28</v>
      </c>
      <c r="S2029" s="9">
        <f t="shared" si="159"/>
        <v>0.05</v>
      </c>
    </row>
    <row r="2030" spans="1:19" x14ac:dyDescent="0.25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e">
        <f>VLOOKUP('Customer Info'!A2022,'Customer Info'!A2022:I2521,2,FALSE)</f>
        <v>#N/A</v>
      </c>
      <c r="H2030" s="6" t="e">
        <f>VLOOKUP('Customer Info'!A2022,'Customer Info'!A2022:I2522,3,FALSE)</f>
        <v>#N/A</v>
      </c>
      <c r="I2030" s="6" t="e">
        <f>VLOOKUP('Customer Info'!A2022,'Customer Info'!A2022:I2521,5,FALSE)</f>
        <v>#N/A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734</v>
      </c>
      <c r="R2030" s="2" t="s">
        <v>26</v>
      </c>
      <c r="S2030" s="9">
        <f t="shared" si="159"/>
        <v>0.05</v>
      </c>
    </row>
    <row r="2031" spans="1:19" x14ac:dyDescent="0.25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e">
        <f>VLOOKUP('Customer Info'!A2023,'Customer Info'!A2023:I2522,2,FALSE)</f>
        <v>#N/A</v>
      </c>
      <c r="H2031" s="6" t="e">
        <f>VLOOKUP('Customer Info'!A2023,'Customer Info'!A2023:I2523,3,FALSE)</f>
        <v>#N/A</v>
      </c>
      <c r="I2031" s="6" t="e">
        <f>VLOOKUP('Customer Info'!A2023,'Customer Info'!A2023:I2522,5,FALSE)</f>
        <v>#N/A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79</v>
      </c>
      <c r="R2031" s="2" t="s">
        <v>28</v>
      </c>
      <c r="S2031" s="9">
        <f t="shared" si="159"/>
        <v>0.02</v>
      </c>
    </row>
    <row r="2032" spans="1:19" x14ac:dyDescent="0.25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e">
        <f>VLOOKUP('Customer Info'!A2024,'Customer Info'!A2024:I2523,2,FALSE)</f>
        <v>#N/A</v>
      </c>
      <c r="H2032" s="6" t="e">
        <f>VLOOKUP('Customer Info'!A2024,'Customer Info'!A2024:I2524,3,FALSE)</f>
        <v>#N/A</v>
      </c>
      <c r="I2032" s="6" t="e">
        <f>VLOOKUP('Customer Info'!A2024,'Customer Info'!A2024:I2523,5,FALSE)</f>
        <v>#N/A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464</v>
      </c>
      <c r="R2032" s="2" t="s">
        <v>28</v>
      </c>
      <c r="S2032" s="9">
        <f t="shared" si="159"/>
        <v>0.05</v>
      </c>
    </row>
    <row r="2033" spans="1:19" x14ac:dyDescent="0.25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e">
        <f>VLOOKUP('Customer Info'!A2025,'Customer Info'!A2025:I2524,2,FALSE)</f>
        <v>#N/A</v>
      </c>
      <c r="H2033" s="6" t="e">
        <f>VLOOKUP('Customer Info'!A2025,'Customer Info'!A2025:I2525,3,FALSE)</f>
        <v>#N/A</v>
      </c>
      <c r="I2033" s="6" t="e">
        <f>VLOOKUP('Customer Info'!A2025,'Customer Info'!A2025:I2524,5,FALSE)</f>
        <v>#N/A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3640</v>
      </c>
      <c r="R2033" s="2" t="s">
        <v>28</v>
      </c>
      <c r="S2033" s="9">
        <f t="shared" si="159"/>
        <v>7.0000000000000007E-2</v>
      </c>
    </row>
    <row r="2034" spans="1:19" x14ac:dyDescent="0.25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e">
        <f>VLOOKUP('Customer Info'!A2026,'Customer Info'!A2026:I2525,2,FALSE)</f>
        <v>#N/A</v>
      </c>
      <c r="H2034" s="6" t="e">
        <f>VLOOKUP('Customer Info'!A2026,'Customer Info'!A2026:I2526,3,FALSE)</f>
        <v>#N/A</v>
      </c>
      <c r="I2034" s="6" t="e">
        <f>VLOOKUP('Customer Info'!A2026,'Customer Info'!A2026:I2525,5,FALSE)</f>
        <v>#N/A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804</v>
      </c>
      <c r="R2034" s="2" t="s">
        <v>50</v>
      </c>
      <c r="S2034" s="9">
        <f t="shared" si="159"/>
        <v>0.05</v>
      </c>
    </row>
    <row r="2035" spans="1:19" x14ac:dyDescent="0.25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e">
        <f>VLOOKUP('Customer Info'!A2027,'Customer Info'!A2027:I2526,2,FALSE)</f>
        <v>#N/A</v>
      </c>
      <c r="H2035" s="6" t="e">
        <f>VLOOKUP('Customer Info'!A2027,'Customer Info'!A2027:I2527,3,FALSE)</f>
        <v>#N/A</v>
      </c>
      <c r="I2035" s="6" t="e">
        <f>VLOOKUP('Customer Info'!A2027,'Customer Info'!A2027:I2526,5,FALSE)</f>
        <v>#N/A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227</v>
      </c>
      <c r="R2035" s="2" t="s">
        <v>50</v>
      </c>
      <c r="S2035" s="9">
        <f t="shared" si="159"/>
        <v>0.02</v>
      </c>
    </row>
    <row r="2036" spans="1:19" x14ac:dyDescent="0.25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e">
        <f>VLOOKUP('Customer Info'!A2028,'Customer Info'!A2028:I2527,2,FALSE)</f>
        <v>#N/A</v>
      </c>
      <c r="H2036" s="6" t="e">
        <f>VLOOKUP('Customer Info'!A2028,'Customer Info'!A2028:I2528,3,FALSE)</f>
        <v>#N/A</v>
      </c>
      <c r="I2036" s="6" t="e">
        <f>VLOOKUP('Customer Info'!A2028,'Customer Info'!A2028:I2527,5,FALSE)</f>
        <v>#N/A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1003</v>
      </c>
      <c r="R2036" s="2" t="s">
        <v>50</v>
      </c>
      <c r="S2036" s="9">
        <f t="shared" si="159"/>
        <v>0.05</v>
      </c>
    </row>
    <row r="2037" spans="1:19" x14ac:dyDescent="0.25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e">
        <f>VLOOKUP('Customer Info'!A2029,'Customer Info'!A2029:I2528,2,FALSE)</f>
        <v>#N/A</v>
      </c>
      <c r="H2037" s="6" t="e">
        <f>VLOOKUP('Customer Info'!A2029,'Customer Info'!A2029:I2529,3,FALSE)</f>
        <v>#N/A</v>
      </c>
      <c r="I2037" s="6" t="e">
        <f>VLOOKUP('Customer Info'!A2029,'Customer Info'!A2029:I2528,5,FALSE)</f>
        <v>#N/A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66</v>
      </c>
      <c r="R2037" s="2" t="s">
        <v>50</v>
      </c>
      <c r="S2037" s="9">
        <f t="shared" si="159"/>
        <v>0.02</v>
      </c>
    </row>
    <row r="2038" spans="1:19" x14ac:dyDescent="0.25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e">
        <f>VLOOKUP('Customer Info'!A2030,'Customer Info'!A2030:I2529,2,FALSE)</f>
        <v>#N/A</v>
      </c>
      <c r="H2038" s="6" t="e">
        <f>VLOOKUP('Customer Info'!A2030,'Customer Info'!A2030:I2530,3,FALSE)</f>
        <v>#N/A</v>
      </c>
      <c r="I2038" s="6" t="e">
        <f>VLOOKUP('Customer Info'!A2030,'Customer Info'!A2030:I2529,5,FALSE)</f>
        <v>#N/A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209</v>
      </c>
      <c r="R2038" s="2" t="s">
        <v>28</v>
      </c>
      <c r="S2038" s="9">
        <f t="shared" si="159"/>
        <v>0.02</v>
      </c>
    </row>
    <row r="2039" spans="1:19" x14ac:dyDescent="0.25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e">
        <f>VLOOKUP('Customer Info'!A2031,'Customer Info'!A2031:I2530,2,FALSE)</f>
        <v>#N/A</v>
      </c>
      <c r="H2039" s="6" t="e">
        <f>VLOOKUP('Customer Info'!A2031,'Customer Info'!A2031:I2531,3,FALSE)</f>
        <v>#N/A</v>
      </c>
      <c r="I2039" s="6" t="e">
        <f>VLOOKUP('Customer Info'!A2031,'Customer Info'!A2031:I2530,5,FALSE)</f>
        <v>#N/A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265</v>
      </c>
      <c r="R2039" s="2" t="s">
        <v>28</v>
      </c>
      <c r="S2039" s="9">
        <f t="shared" si="159"/>
        <v>0.02</v>
      </c>
    </row>
    <row r="2040" spans="1:19" x14ac:dyDescent="0.25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e">
        <f>VLOOKUP('Customer Info'!A2032,'Customer Info'!A2032:I2531,2,FALSE)</f>
        <v>#N/A</v>
      </c>
      <c r="H2040" s="6" t="e">
        <f>VLOOKUP('Customer Info'!A2032,'Customer Info'!A2032:I2532,3,FALSE)</f>
        <v>#N/A</v>
      </c>
      <c r="I2040" s="6" t="e">
        <f>VLOOKUP('Customer Info'!A2032,'Customer Info'!A2032:I2531,5,FALSE)</f>
        <v>#N/A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300</v>
      </c>
      <c r="R2040" s="2" t="s">
        <v>50</v>
      </c>
      <c r="S2040" s="9">
        <f t="shared" si="159"/>
        <v>0.02</v>
      </c>
    </row>
    <row r="2041" spans="1:19" x14ac:dyDescent="0.25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e">
        <f>VLOOKUP('Customer Info'!A2033,'Customer Info'!A2033:I2532,2,FALSE)</f>
        <v>#N/A</v>
      </c>
      <c r="H2041" s="6" t="e">
        <f>VLOOKUP('Customer Info'!A2033,'Customer Info'!A2033:I2533,3,FALSE)</f>
        <v>#N/A</v>
      </c>
      <c r="I2041" s="6" t="e">
        <f>VLOOKUP('Customer Info'!A2033,'Customer Info'!A2033:I2532,5,FALSE)</f>
        <v>#N/A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235</v>
      </c>
      <c r="R2041" s="2" t="s">
        <v>28</v>
      </c>
      <c r="S2041" s="9">
        <f t="shared" si="159"/>
        <v>0.02</v>
      </c>
    </row>
    <row r="2042" spans="1:19" x14ac:dyDescent="0.25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e">
        <f>VLOOKUP('Customer Info'!A2034,'Customer Info'!A2034:I2533,2,FALSE)</f>
        <v>#N/A</v>
      </c>
      <c r="H2042" s="6" t="e">
        <f>VLOOKUP('Customer Info'!A2034,'Customer Info'!A2034:I2534,3,FALSE)</f>
        <v>#N/A</v>
      </c>
      <c r="I2042" s="6" t="e">
        <f>VLOOKUP('Customer Info'!A2034,'Customer Info'!A2034:I2533,5,FALSE)</f>
        <v>#N/A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84</v>
      </c>
      <c r="R2042" s="2" t="s">
        <v>28</v>
      </c>
      <c r="S2042" s="9">
        <f t="shared" si="159"/>
        <v>0.02</v>
      </c>
    </row>
    <row r="2043" spans="1:19" x14ac:dyDescent="0.25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e">
        <f>VLOOKUP('Customer Info'!A2035,'Customer Info'!A2035:I2534,2,FALSE)</f>
        <v>#N/A</v>
      </c>
      <c r="H2043" s="6" t="e">
        <f>VLOOKUP('Customer Info'!A2035,'Customer Info'!A2035:I2535,3,FALSE)</f>
        <v>#N/A</v>
      </c>
      <c r="I2043" s="6" t="e">
        <f>VLOOKUP('Customer Info'!A2035,'Customer Info'!A2035:I2534,5,FALSE)</f>
        <v>#N/A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369</v>
      </c>
      <c r="R2043" s="2" t="s">
        <v>28</v>
      </c>
      <c r="S2043" s="9">
        <f t="shared" si="159"/>
        <v>0.02</v>
      </c>
    </row>
    <row r="2044" spans="1:19" x14ac:dyDescent="0.25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e">
        <f>VLOOKUP('Customer Info'!A2036,'Customer Info'!A2036:I2535,2,FALSE)</f>
        <v>#N/A</v>
      </c>
      <c r="H2044" s="6" t="e">
        <f>VLOOKUP('Customer Info'!A2036,'Customer Info'!A2036:I2536,3,FALSE)</f>
        <v>#N/A</v>
      </c>
      <c r="I2044" s="6" t="e">
        <f>VLOOKUP('Customer Info'!A2036,'Customer Info'!A2036:I2535,5,FALSE)</f>
        <v>#N/A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263</v>
      </c>
      <c r="R2044" s="2" t="s">
        <v>28</v>
      </c>
      <c r="S2044" s="9">
        <f t="shared" si="159"/>
        <v>0.02</v>
      </c>
    </row>
    <row r="2045" spans="1:19" x14ac:dyDescent="0.25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e">
        <f>VLOOKUP('Customer Info'!A2037,'Customer Info'!A2037:I2536,2,FALSE)</f>
        <v>#N/A</v>
      </c>
      <c r="H2045" s="6" t="e">
        <f>VLOOKUP('Customer Info'!A2037,'Customer Info'!A2037:I2537,3,FALSE)</f>
        <v>#N/A</v>
      </c>
      <c r="I2045" s="6" t="e">
        <f>VLOOKUP('Customer Info'!A2037,'Customer Info'!A2037:I2536,5,FALSE)</f>
        <v>#N/A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492</v>
      </c>
      <c r="R2045" s="2" t="s">
        <v>28</v>
      </c>
      <c r="S2045" s="9">
        <f t="shared" si="159"/>
        <v>0.05</v>
      </c>
    </row>
    <row r="2046" spans="1:19" x14ac:dyDescent="0.25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e">
        <f>VLOOKUP('Customer Info'!A2038,'Customer Info'!A2038:I2537,2,FALSE)</f>
        <v>#N/A</v>
      </c>
      <c r="H2046" s="6" t="e">
        <f>VLOOKUP('Customer Info'!A2038,'Customer Info'!A2038:I2538,3,FALSE)</f>
        <v>#N/A</v>
      </c>
      <c r="I2046" s="6" t="e">
        <f>VLOOKUP('Customer Info'!A2038,'Customer Info'!A2038:I2537,5,FALSE)</f>
        <v>#N/A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325</v>
      </c>
      <c r="R2046" s="2" t="s">
        <v>28</v>
      </c>
      <c r="S2046" s="9">
        <f t="shared" si="159"/>
        <v>0.05</v>
      </c>
    </row>
    <row r="2047" spans="1:19" x14ac:dyDescent="0.25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e">
        <f>VLOOKUP('Customer Info'!A2039,'Customer Info'!A2039:I2538,2,FALSE)</f>
        <v>#N/A</v>
      </c>
      <c r="H2047" s="6" t="e">
        <f>VLOOKUP('Customer Info'!A2039,'Customer Info'!A2039:I2539,3,FALSE)</f>
        <v>#N/A</v>
      </c>
      <c r="I2047" s="6" t="e">
        <f>VLOOKUP('Customer Info'!A2039,'Customer Info'!A2039:I2538,5,FALSE)</f>
        <v>#N/A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616</v>
      </c>
      <c r="R2047" s="2" t="s">
        <v>28</v>
      </c>
      <c r="S2047" s="9">
        <f t="shared" si="159"/>
        <v>0.05</v>
      </c>
    </row>
    <row r="2048" spans="1:19" x14ac:dyDescent="0.25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e">
        <f>VLOOKUP('Customer Info'!A2040,'Customer Info'!A2040:I2539,2,FALSE)</f>
        <v>#N/A</v>
      </c>
      <c r="H2048" s="6" t="e">
        <f>VLOOKUP('Customer Info'!A2040,'Customer Info'!A2040:I2540,3,FALSE)</f>
        <v>#N/A</v>
      </c>
      <c r="I2048" s="6" t="e">
        <f>VLOOKUP('Customer Info'!A2040,'Customer Info'!A2040:I2539,5,FALSE)</f>
        <v>#N/A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70</v>
      </c>
      <c r="R2048" s="2" t="s">
        <v>50</v>
      </c>
      <c r="S2048" s="9">
        <f t="shared" si="159"/>
        <v>0.02</v>
      </c>
    </row>
    <row r="2049" spans="1:19" x14ac:dyDescent="0.25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e">
        <f>VLOOKUP('Customer Info'!A2041,'Customer Info'!A2041:I2540,2,FALSE)</f>
        <v>#N/A</v>
      </c>
      <c r="H2049" s="6" t="e">
        <f>VLOOKUP('Customer Info'!A2041,'Customer Info'!A2041:I2541,3,FALSE)</f>
        <v>#N/A</v>
      </c>
      <c r="I2049" s="6" t="e">
        <f>VLOOKUP('Customer Info'!A2041,'Customer Info'!A2041:I2540,5,FALSE)</f>
        <v>#N/A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407</v>
      </c>
      <c r="R2049" s="2" t="s">
        <v>50</v>
      </c>
      <c r="S2049" s="9">
        <f t="shared" si="159"/>
        <v>0.02</v>
      </c>
    </row>
    <row r="2050" spans="1:19" x14ac:dyDescent="0.25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e">
        <f>VLOOKUP('Customer Info'!A2042,'Customer Info'!A2042:I2541,2,FALSE)</f>
        <v>#N/A</v>
      </c>
      <c r="H2050" s="6" t="e">
        <f>VLOOKUP('Customer Info'!A2042,'Customer Info'!A2042:I2542,3,FALSE)</f>
        <v>#N/A</v>
      </c>
      <c r="I2050" s="6" t="e">
        <f>VLOOKUP('Customer Info'!A2042,'Customer Info'!A2042:I2541,5,FALSE)</f>
        <v>#N/A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382</v>
      </c>
      <c r="R2050" s="2" t="s">
        <v>28</v>
      </c>
      <c r="S2050" s="9">
        <f t="shared" si="159"/>
        <v>0.02</v>
      </c>
    </row>
    <row r="2051" spans="1:19" x14ac:dyDescent="0.25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e">
        <f>VLOOKUP('Customer Info'!A2043,'Customer Info'!A2043:I2542,2,FALSE)</f>
        <v>#N/A</v>
      </c>
      <c r="H2051" s="6" t="e">
        <f>VLOOKUP('Customer Info'!A2043,'Customer Info'!A2043:I2543,3,FALSE)</f>
        <v>#N/A</v>
      </c>
      <c r="I2051" s="6" t="e">
        <f>VLOOKUP('Customer Info'!A2043,'Customer Info'!A2043:I2542,5,FALSE)</f>
        <v>#N/A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787</v>
      </c>
      <c r="R2051" s="2" t="s">
        <v>50</v>
      </c>
      <c r="S2051" s="9">
        <f t="shared" si="159"/>
        <v>0.05</v>
      </c>
    </row>
    <row r="2052" spans="1:19" x14ac:dyDescent="0.25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e">
        <f>VLOOKUP('Customer Info'!A2044,'Customer Info'!A2044:I2543,2,FALSE)</f>
        <v>#N/A</v>
      </c>
      <c r="H2052" s="6" t="e">
        <f>VLOOKUP('Customer Info'!A2044,'Customer Info'!A2044:I2544,3,FALSE)</f>
        <v>#N/A</v>
      </c>
      <c r="I2052" s="6" t="e">
        <f>VLOOKUP('Customer Info'!A2044,'Customer Info'!A2044:I2543,5,FALSE)</f>
        <v>#N/A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234</v>
      </c>
      <c r="R2052" s="2" t="s">
        <v>28</v>
      </c>
      <c r="S2052" s="9">
        <f t="shared" si="159"/>
        <v>0.05</v>
      </c>
    </row>
    <row r="2053" spans="1:19" x14ac:dyDescent="0.25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e">
        <f>VLOOKUP('Customer Info'!A2045,'Customer Info'!A2045:I2544,2,FALSE)</f>
        <v>#N/A</v>
      </c>
      <c r="H2053" s="6" t="e">
        <f>VLOOKUP('Customer Info'!A2045,'Customer Info'!A2045:I2545,3,FALSE)</f>
        <v>#N/A</v>
      </c>
      <c r="I2053" s="6" t="e">
        <f>VLOOKUP('Customer Info'!A2045,'Customer Info'!A2045:I2544,5,FALSE)</f>
        <v>#N/A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449</v>
      </c>
      <c r="R2053" s="2" t="s">
        <v>28</v>
      </c>
      <c r="S2053" s="9">
        <f t="shared" si="159"/>
        <v>0.05</v>
      </c>
    </row>
    <row r="2054" spans="1:19" x14ac:dyDescent="0.25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e">
        <f>VLOOKUP('Customer Info'!A2046,'Customer Info'!A2046:I2545,2,FALSE)</f>
        <v>#N/A</v>
      </c>
      <c r="H2054" s="6" t="e">
        <f>VLOOKUP('Customer Info'!A2046,'Customer Info'!A2046:I2546,3,FALSE)</f>
        <v>#N/A</v>
      </c>
      <c r="I2054" s="6" t="e">
        <f>VLOOKUP('Customer Info'!A2046,'Customer Info'!A2046:I2545,5,FALSE)</f>
        <v>#N/A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705</v>
      </c>
      <c r="R2054" s="2" t="s">
        <v>28</v>
      </c>
      <c r="S2054" s="9">
        <f t="shared" si="159"/>
        <v>0.05</v>
      </c>
    </row>
    <row r="2055" spans="1:19" x14ac:dyDescent="0.25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e">
        <f>VLOOKUP('Customer Info'!A2047,'Customer Info'!A2047:I2546,2,FALSE)</f>
        <v>#N/A</v>
      </c>
      <c r="H2055" s="6" t="e">
        <f>VLOOKUP('Customer Info'!A2047,'Customer Info'!A2047:I2547,3,FALSE)</f>
        <v>#N/A</v>
      </c>
      <c r="I2055" s="6" t="e">
        <f>VLOOKUP('Customer Info'!A2047,'Customer Info'!A2047:I2546,5,FALSE)</f>
        <v>#N/A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46</v>
      </c>
      <c r="R2055" s="2" t="s">
        <v>28</v>
      </c>
      <c r="S2055" s="9">
        <f t="shared" si="159"/>
        <v>0.02</v>
      </c>
    </row>
    <row r="2056" spans="1:19" x14ac:dyDescent="0.25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e">
        <f>VLOOKUP('Customer Info'!A2048,'Customer Info'!A2048:I2547,2,FALSE)</f>
        <v>#N/A</v>
      </c>
      <c r="H2056" s="6" t="e">
        <f>VLOOKUP('Customer Info'!A2048,'Customer Info'!A2048:I2548,3,FALSE)</f>
        <v>#N/A</v>
      </c>
      <c r="I2056" s="6" t="e">
        <f>VLOOKUP('Customer Info'!A2048,'Customer Info'!A2048:I2547,5,FALSE)</f>
        <v>#N/A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882</v>
      </c>
      <c r="R2056" s="2" t="s">
        <v>28</v>
      </c>
      <c r="S2056" s="9">
        <f t="shared" si="159"/>
        <v>0.05</v>
      </c>
    </row>
    <row r="2057" spans="1:19" x14ac:dyDescent="0.25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e">
        <f>VLOOKUP('Customer Info'!A2049,'Customer Info'!A2049:I2548,2,FALSE)</f>
        <v>#N/A</v>
      </c>
      <c r="H2057" s="6" t="e">
        <f>VLOOKUP('Customer Info'!A2049,'Customer Info'!A2049:I2549,3,FALSE)</f>
        <v>#N/A</v>
      </c>
      <c r="I2057" s="6" t="e">
        <f>VLOOKUP('Customer Info'!A2049,'Customer Info'!A2049:I2548,5,FALSE)</f>
        <v>#N/A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213</v>
      </c>
      <c r="R2057" s="2" t="s">
        <v>56</v>
      </c>
      <c r="S2057" s="9">
        <f t="shared" si="159"/>
        <v>0.02</v>
      </c>
    </row>
    <row r="2058" spans="1:19" x14ac:dyDescent="0.25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e">
        <f>VLOOKUP('Customer Info'!A2050,'Customer Info'!A2050:I2549,2,FALSE)</f>
        <v>#N/A</v>
      </c>
      <c r="H2058" s="6" t="e">
        <f>VLOOKUP('Customer Info'!A2050,'Customer Info'!A2050:I2550,3,FALSE)</f>
        <v>#N/A</v>
      </c>
      <c r="I2058" s="6" t="e">
        <f>VLOOKUP('Customer Info'!A2050,'Customer Info'!A2050:I2549,5,FALSE)</f>
        <v>#N/A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48</v>
      </c>
      <c r="R2058" s="2" t="s">
        <v>56</v>
      </c>
      <c r="S2058" s="9">
        <f t="shared" si="159"/>
        <v>0.02</v>
      </c>
    </row>
    <row r="2059" spans="1:19" x14ac:dyDescent="0.25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e">
        <f>VLOOKUP('Customer Info'!A2051,'Customer Info'!A2051:I2550,2,FALSE)</f>
        <v>#N/A</v>
      </c>
      <c r="H2059" s="6" t="e">
        <f>VLOOKUP('Customer Info'!A2051,'Customer Info'!A2051:I2551,3,FALSE)</f>
        <v>#N/A</v>
      </c>
      <c r="I2059" s="6" t="e">
        <f>VLOOKUP('Customer Info'!A2051,'Customer Info'!A2051:I2550,5,FALSE)</f>
        <v>#N/A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8">
        <f t="shared" ref="P2059:P2122" si="162">N2059+O2059</f>
        <v>955</v>
      </c>
      <c r="Q2059" s="8">
        <f t="shared" ref="Q2059:Q2122" si="163">P2059-M2059</f>
        <v>85</v>
      </c>
      <c r="R2059" s="2" t="s">
        <v>28</v>
      </c>
      <c r="S2059" s="9">
        <f t="shared" ref="S2059:S2122" si="164">VLOOKUP(P2059,$T$2:$U$7,2,TRUE)</f>
        <v>0.02</v>
      </c>
    </row>
    <row r="2060" spans="1:19" x14ac:dyDescent="0.25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e">
        <f>VLOOKUP('Customer Info'!A2052,'Customer Info'!A2052:I2551,2,FALSE)</f>
        <v>#N/A</v>
      </c>
      <c r="H2060" s="6" t="e">
        <f>VLOOKUP('Customer Info'!A2052,'Customer Info'!A2052:I2552,3,FALSE)</f>
        <v>#N/A</v>
      </c>
      <c r="I2060" s="6" t="e">
        <f>VLOOKUP('Customer Info'!A2052,'Customer Info'!A2052:I2551,5,FALSE)</f>
        <v>#N/A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594</v>
      </c>
      <c r="R2060" s="2" t="s">
        <v>28</v>
      </c>
      <c r="S2060" s="9">
        <f t="shared" si="164"/>
        <v>0.05</v>
      </c>
    </row>
    <row r="2061" spans="1:19" x14ac:dyDescent="0.25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e">
        <f>VLOOKUP('Customer Info'!A2053,'Customer Info'!A2053:I2552,2,FALSE)</f>
        <v>#N/A</v>
      </c>
      <c r="H2061" s="6" t="e">
        <f>VLOOKUP('Customer Info'!A2053,'Customer Info'!A2053:I2553,3,FALSE)</f>
        <v>#N/A</v>
      </c>
      <c r="I2061" s="6" t="e">
        <f>VLOOKUP('Customer Info'!A2053,'Customer Info'!A2053:I2552,5,FALSE)</f>
        <v>#N/A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150</v>
      </c>
      <c r="R2061" s="2" t="s">
        <v>56</v>
      </c>
      <c r="S2061" s="9">
        <f t="shared" si="164"/>
        <v>0.02</v>
      </c>
    </row>
    <row r="2062" spans="1:19" x14ac:dyDescent="0.25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e">
        <f>VLOOKUP('Customer Info'!A2054,'Customer Info'!A2054:I2553,2,FALSE)</f>
        <v>#N/A</v>
      </c>
      <c r="H2062" s="6" t="e">
        <f>VLOOKUP('Customer Info'!A2054,'Customer Info'!A2054:I2554,3,FALSE)</f>
        <v>#N/A</v>
      </c>
      <c r="I2062" s="6" t="e">
        <f>VLOOKUP('Customer Info'!A2054,'Customer Info'!A2054:I2553,5,FALSE)</f>
        <v>#N/A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75</v>
      </c>
      <c r="R2062" s="2" t="s">
        <v>26</v>
      </c>
      <c r="S2062" s="9">
        <f t="shared" si="164"/>
        <v>0.02</v>
      </c>
    </row>
    <row r="2063" spans="1:19" x14ac:dyDescent="0.25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e">
        <f>VLOOKUP('Customer Info'!A2055,'Customer Info'!A2055:I2554,2,FALSE)</f>
        <v>#N/A</v>
      </c>
      <c r="H2063" s="6" t="e">
        <f>VLOOKUP('Customer Info'!A2055,'Customer Info'!A2055:I2555,3,FALSE)</f>
        <v>#N/A</v>
      </c>
      <c r="I2063" s="6" t="e">
        <f>VLOOKUP('Customer Info'!A2055,'Customer Info'!A2055:I2554,5,FALSE)</f>
        <v>#N/A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96</v>
      </c>
      <c r="R2063" s="2" t="s">
        <v>28</v>
      </c>
      <c r="S2063" s="9">
        <f t="shared" si="164"/>
        <v>0.02</v>
      </c>
    </row>
    <row r="2064" spans="1:19" x14ac:dyDescent="0.25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e">
        <f>VLOOKUP('Customer Info'!A2056,'Customer Info'!A2056:I2555,2,FALSE)</f>
        <v>#N/A</v>
      </c>
      <c r="H2064" s="6" t="e">
        <f>VLOOKUP('Customer Info'!A2056,'Customer Info'!A2056:I2556,3,FALSE)</f>
        <v>#N/A</v>
      </c>
      <c r="I2064" s="6" t="e">
        <f>VLOOKUP('Customer Info'!A2056,'Customer Info'!A2056:I2555,5,FALSE)</f>
        <v>#N/A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96</v>
      </c>
      <c r="R2064" s="2" t="s">
        <v>50</v>
      </c>
      <c r="S2064" s="9">
        <f t="shared" si="164"/>
        <v>0.02</v>
      </c>
    </row>
    <row r="2065" spans="1:19" x14ac:dyDescent="0.25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e">
        <f>VLOOKUP('Customer Info'!A2057,'Customer Info'!A2057:I2556,2,FALSE)</f>
        <v>#N/A</v>
      </c>
      <c r="H2065" s="6" t="e">
        <f>VLOOKUP('Customer Info'!A2057,'Customer Info'!A2057:I2557,3,FALSE)</f>
        <v>#N/A</v>
      </c>
      <c r="I2065" s="6" t="e">
        <f>VLOOKUP('Customer Info'!A2057,'Customer Info'!A2057:I2556,5,FALSE)</f>
        <v>#N/A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1198</v>
      </c>
      <c r="R2065" s="2" t="s">
        <v>28</v>
      </c>
      <c r="S2065" s="9">
        <f t="shared" si="164"/>
        <v>0.05</v>
      </c>
    </row>
    <row r="2066" spans="1:19" x14ac:dyDescent="0.25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e">
        <f>VLOOKUP('Customer Info'!A2058,'Customer Info'!A2058:I2557,2,FALSE)</f>
        <v>#N/A</v>
      </c>
      <c r="H2066" s="6" t="e">
        <f>VLOOKUP('Customer Info'!A2058,'Customer Info'!A2058:I2558,3,FALSE)</f>
        <v>#N/A</v>
      </c>
      <c r="I2066" s="6" t="e">
        <f>VLOOKUP('Customer Info'!A2058,'Customer Info'!A2058:I2557,5,FALSE)</f>
        <v>#N/A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74</v>
      </c>
      <c r="R2066" s="2" t="s">
        <v>28</v>
      </c>
      <c r="S2066" s="9">
        <f t="shared" si="164"/>
        <v>0.02</v>
      </c>
    </row>
    <row r="2067" spans="1:19" x14ac:dyDescent="0.25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e">
        <f>VLOOKUP('Customer Info'!A2059,'Customer Info'!A2059:I2558,2,FALSE)</f>
        <v>#N/A</v>
      </c>
      <c r="H2067" s="6" t="e">
        <f>VLOOKUP('Customer Info'!A2059,'Customer Info'!A2059:I2559,3,FALSE)</f>
        <v>#N/A</v>
      </c>
      <c r="I2067" s="6" t="e">
        <f>VLOOKUP('Customer Info'!A2059,'Customer Info'!A2059:I2558,5,FALSE)</f>
        <v>#N/A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1249</v>
      </c>
      <c r="R2067" s="2" t="s">
        <v>28</v>
      </c>
      <c r="S2067" s="9">
        <f t="shared" si="164"/>
        <v>0.05</v>
      </c>
    </row>
    <row r="2068" spans="1:19" x14ac:dyDescent="0.25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e">
        <f>VLOOKUP('Customer Info'!A2060,'Customer Info'!A2060:I2559,2,FALSE)</f>
        <v>#N/A</v>
      </c>
      <c r="H2068" s="6" t="e">
        <f>VLOOKUP('Customer Info'!A2060,'Customer Info'!A2060:I2560,3,FALSE)</f>
        <v>#N/A</v>
      </c>
      <c r="I2068" s="6" t="e">
        <f>VLOOKUP('Customer Info'!A2060,'Customer Info'!A2060:I2559,5,FALSE)</f>
        <v>#N/A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752</v>
      </c>
      <c r="R2068" s="2" t="s">
        <v>28</v>
      </c>
      <c r="S2068" s="9">
        <f t="shared" si="164"/>
        <v>0.05</v>
      </c>
    </row>
    <row r="2069" spans="1:19" x14ac:dyDescent="0.25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e">
        <f>VLOOKUP('Customer Info'!A2061,'Customer Info'!A2061:I2560,2,FALSE)</f>
        <v>#N/A</v>
      </c>
      <c r="H2069" s="6" t="e">
        <f>VLOOKUP('Customer Info'!A2061,'Customer Info'!A2061:I2561,3,FALSE)</f>
        <v>#N/A</v>
      </c>
      <c r="I2069" s="6" t="e">
        <f>VLOOKUP('Customer Info'!A2061,'Customer Info'!A2061:I2560,5,FALSE)</f>
        <v>#N/A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74</v>
      </c>
      <c r="R2069" s="2" t="s">
        <v>50</v>
      </c>
      <c r="S2069" s="9">
        <f t="shared" si="164"/>
        <v>0.02</v>
      </c>
    </row>
    <row r="2070" spans="1:19" x14ac:dyDescent="0.25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e">
        <f>VLOOKUP('Customer Info'!A2062,'Customer Info'!A2062:I2561,2,FALSE)</f>
        <v>#N/A</v>
      </c>
      <c r="H2070" s="6" t="e">
        <f>VLOOKUP('Customer Info'!A2062,'Customer Info'!A2062:I2562,3,FALSE)</f>
        <v>#N/A</v>
      </c>
      <c r="I2070" s="6" t="e">
        <f>VLOOKUP('Customer Info'!A2062,'Customer Info'!A2062:I2561,5,FALSE)</f>
        <v>#N/A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190</v>
      </c>
      <c r="R2070" s="2" t="s">
        <v>28</v>
      </c>
      <c r="S2070" s="9">
        <f t="shared" si="164"/>
        <v>0.02</v>
      </c>
    </row>
    <row r="2071" spans="1:19" x14ac:dyDescent="0.25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e">
        <f>VLOOKUP('Customer Info'!A2063,'Customer Info'!A2063:I2562,2,FALSE)</f>
        <v>#N/A</v>
      </c>
      <c r="H2071" s="6" t="e">
        <f>VLOOKUP('Customer Info'!A2063,'Customer Info'!A2063:I2563,3,FALSE)</f>
        <v>#N/A</v>
      </c>
      <c r="I2071" s="6" t="e">
        <f>VLOOKUP('Customer Info'!A2063,'Customer Info'!A2063:I2562,5,FALSE)</f>
        <v>#N/A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3047</v>
      </c>
      <c r="R2071" s="2" t="s">
        <v>28</v>
      </c>
      <c r="S2071" s="9">
        <f t="shared" si="164"/>
        <v>7.0000000000000007E-2</v>
      </c>
    </row>
    <row r="2072" spans="1:19" x14ac:dyDescent="0.25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e">
        <f>VLOOKUP('Customer Info'!A2064,'Customer Info'!A2064:I2563,2,FALSE)</f>
        <v>#N/A</v>
      </c>
      <c r="H2072" s="6" t="e">
        <f>VLOOKUP('Customer Info'!A2064,'Customer Info'!A2064:I2564,3,FALSE)</f>
        <v>#N/A</v>
      </c>
      <c r="I2072" s="6" t="e">
        <f>VLOOKUP('Customer Info'!A2064,'Customer Info'!A2064:I2563,5,FALSE)</f>
        <v>#N/A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996</v>
      </c>
      <c r="R2072" s="2" t="s">
        <v>50</v>
      </c>
      <c r="S2072" s="9">
        <f t="shared" si="164"/>
        <v>0.05</v>
      </c>
    </row>
    <row r="2073" spans="1:19" x14ac:dyDescent="0.25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e">
        <f>VLOOKUP('Customer Info'!A2065,'Customer Info'!A2065:I2564,2,FALSE)</f>
        <v>#N/A</v>
      </c>
      <c r="H2073" s="6" t="e">
        <f>VLOOKUP('Customer Info'!A2065,'Customer Info'!A2065:I2565,3,FALSE)</f>
        <v>#N/A</v>
      </c>
      <c r="I2073" s="6" t="e">
        <f>VLOOKUP('Customer Info'!A2065,'Customer Info'!A2065:I2564,5,FALSE)</f>
        <v>#N/A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1626</v>
      </c>
      <c r="R2073" s="2" t="s">
        <v>28</v>
      </c>
      <c r="S2073" s="9">
        <f t="shared" si="164"/>
        <v>0.05</v>
      </c>
    </row>
    <row r="2074" spans="1:19" x14ac:dyDescent="0.25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e">
        <f>VLOOKUP('Customer Info'!A2066,'Customer Info'!A2066:I2565,2,FALSE)</f>
        <v>#N/A</v>
      </c>
      <c r="H2074" s="6" t="e">
        <f>VLOOKUP('Customer Info'!A2066,'Customer Info'!A2066:I2566,3,FALSE)</f>
        <v>#N/A</v>
      </c>
      <c r="I2074" s="6" t="e">
        <f>VLOOKUP('Customer Info'!A2066,'Customer Info'!A2066:I2565,5,FALSE)</f>
        <v>#N/A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219</v>
      </c>
      <c r="R2074" s="2" t="s">
        <v>28</v>
      </c>
      <c r="S2074" s="9">
        <f t="shared" si="164"/>
        <v>0.05</v>
      </c>
    </row>
    <row r="2075" spans="1:19" x14ac:dyDescent="0.25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e">
        <f>VLOOKUP('Customer Info'!A2067,'Customer Info'!A2067:I2566,2,FALSE)</f>
        <v>#N/A</v>
      </c>
      <c r="H2075" s="6" t="e">
        <f>VLOOKUP('Customer Info'!A2067,'Customer Info'!A2067:I2567,3,FALSE)</f>
        <v>#N/A</v>
      </c>
      <c r="I2075" s="6" t="e">
        <f>VLOOKUP('Customer Info'!A2067,'Customer Info'!A2067:I2566,5,FALSE)</f>
        <v>#N/A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178</v>
      </c>
      <c r="R2075" s="2" t="s">
        <v>56</v>
      </c>
      <c r="S2075" s="9">
        <f t="shared" si="164"/>
        <v>0.02</v>
      </c>
    </row>
    <row r="2076" spans="1:19" x14ac:dyDescent="0.25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e">
        <f>VLOOKUP('Customer Info'!A2068,'Customer Info'!A2068:I2567,2,FALSE)</f>
        <v>#N/A</v>
      </c>
      <c r="H2076" s="6" t="e">
        <f>VLOOKUP('Customer Info'!A2068,'Customer Info'!A2068:I2568,3,FALSE)</f>
        <v>#N/A</v>
      </c>
      <c r="I2076" s="6" t="e">
        <f>VLOOKUP('Customer Info'!A2068,'Customer Info'!A2068:I2567,5,FALSE)</f>
        <v>#N/A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62</v>
      </c>
      <c r="R2076" s="2" t="s">
        <v>26</v>
      </c>
      <c r="S2076" s="9">
        <f t="shared" si="164"/>
        <v>0.02</v>
      </c>
    </row>
    <row r="2077" spans="1:19" x14ac:dyDescent="0.25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e">
        <f>VLOOKUP('Customer Info'!A2069,'Customer Info'!A2069:I2568,2,FALSE)</f>
        <v>#N/A</v>
      </c>
      <c r="H2077" s="6" t="e">
        <f>VLOOKUP('Customer Info'!A2069,'Customer Info'!A2069:I2569,3,FALSE)</f>
        <v>#N/A</v>
      </c>
      <c r="I2077" s="6" t="e">
        <f>VLOOKUP('Customer Info'!A2069,'Customer Info'!A2069:I2568,5,FALSE)</f>
        <v>#N/A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343</v>
      </c>
      <c r="R2077" s="2" t="s">
        <v>28</v>
      </c>
      <c r="S2077" s="9">
        <f t="shared" si="164"/>
        <v>0.02</v>
      </c>
    </row>
    <row r="2078" spans="1:19" x14ac:dyDescent="0.25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e">
        <f>VLOOKUP('Customer Info'!A2070,'Customer Info'!A2070:I2569,2,FALSE)</f>
        <v>#N/A</v>
      </c>
      <c r="H2078" s="6" t="e">
        <f>VLOOKUP('Customer Info'!A2070,'Customer Info'!A2070:I2570,3,FALSE)</f>
        <v>#N/A</v>
      </c>
      <c r="I2078" s="6" t="e">
        <f>VLOOKUP('Customer Info'!A2070,'Customer Info'!A2070:I2569,5,FALSE)</f>
        <v>#N/A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75</v>
      </c>
      <c r="R2078" s="2" t="s">
        <v>26</v>
      </c>
      <c r="S2078" s="9">
        <f t="shared" si="164"/>
        <v>0.02</v>
      </c>
    </row>
    <row r="2079" spans="1:19" x14ac:dyDescent="0.25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e">
        <f>VLOOKUP('Customer Info'!A2071,'Customer Info'!A2071:I2570,2,FALSE)</f>
        <v>#N/A</v>
      </c>
      <c r="H2079" s="6" t="e">
        <f>VLOOKUP('Customer Info'!A2071,'Customer Info'!A2071:I2571,3,FALSE)</f>
        <v>#N/A</v>
      </c>
      <c r="I2079" s="6" t="e">
        <f>VLOOKUP('Customer Info'!A2071,'Customer Info'!A2071:I2570,5,FALSE)</f>
        <v>#N/A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48</v>
      </c>
      <c r="R2079" s="2" t="s">
        <v>56</v>
      </c>
      <c r="S2079" s="9">
        <f t="shared" si="164"/>
        <v>0.02</v>
      </c>
    </row>
    <row r="2080" spans="1:19" x14ac:dyDescent="0.25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e">
        <f>VLOOKUP('Customer Info'!A2072,'Customer Info'!A2072:I2571,2,FALSE)</f>
        <v>#N/A</v>
      </c>
      <c r="H2080" s="6" t="e">
        <f>VLOOKUP('Customer Info'!A2072,'Customer Info'!A2072:I2572,3,FALSE)</f>
        <v>#N/A</v>
      </c>
      <c r="I2080" s="6" t="e">
        <f>VLOOKUP('Customer Info'!A2072,'Customer Info'!A2072:I2571,5,FALSE)</f>
        <v>#N/A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255</v>
      </c>
      <c r="R2080" s="2" t="s">
        <v>56</v>
      </c>
      <c r="S2080" s="9">
        <f t="shared" si="164"/>
        <v>0.02</v>
      </c>
    </row>
    <row r="2081" spans="1:19" x14ac:dyDescent="0.25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e">
        <f>VLOOKUP('Customer Info'!A2073,'Customer Info'!A2073:I2572,2,FALSE)</f>
        <v>#N/A</v>
      </c>
      <c r="H2081" s="6" t="e">
        <f>VLOOKUP('Customer Info'!A2073,'Customer Info'!A2073:I2573,3,FALSE)</f>
        <v>#N/A</v>
      </c>
      <c r="I2081" s="6" t="e">
        <f>VLOOKUP('Customer Info'!A2073,'Customer Info'!A2073:I2572,5,FALSE)</f>
        <v>#N/A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60</v>
      </c>
      <c r="R2081" s="2" t="s">
        <v>28</v>
      </c>
      <c r="S2081" s="9">
        <f t="shared" si="164"/>
        <v>0.02</v>
      </c>
    </row>
    <row r="2082" spans="1:19" x14ac:dyDescent="0.25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e">
        <f>VLOOKUP('Customer Info'!A2074,'Customer Info'!A2074:I2573,2,FALSE)</f>
        <v>#N/A</v>
      </c>
      <c r="H2082" s="6" t="e">
        <f>VLOOKUP('Customer Info'!A2074,'Customer Info'!A2074:I2574,3,FALSE)</f>
        <v>#N/A</v>
      </c>
      <c r="I2082" s="6" t="e">
        <f>VLOOKUP('Customer Info'!A2074,'Customer Info'!A2074:I2573,5,FALSE)</f>
        <v>#N/A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316</v>
      </c>
      <c r="R2082" s="2" t="s">
        <v>28</v>
      </c>
      <c r="S2082" s="9">
        <f t="shared" si="164"/>
        <v>0.05</v>
      </c>
    </row>
    <row r="2083" spans="1:19" x14ac:dyDescent="0.25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e">
        <f>VLOOKUP('Customer Info'!A2075,'Customer Info'!A2075:I2574,2,FALSE)</f>
        <v>#N/A</v>
      </c>
      <c r="H2083" s="6" t="e">
        <f>VLOOKUP('Customer Info'!A2075,'Customer Info'!A2075:I2575,3,FALSE)</f>
        <v>#N/A</v>
      </c>
      <c r="I2083" s="6" t="e">
        <f>VLOOKUP('Customer Info'!A2075,'Customer Info'!A2075:I2574,5,FALSE)</f>
        <v>#N/A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308</v>
      </c>
      <c r="R2083" s="2" t="s">
        <v>50</v>
      </c>
      <c r="S2083" s="9">
        <f t="shared" si="164"/>
        <v>0.02</v>
      </c>
    </row>
    <row r="2084" spans="1:19" x14ac:dyDescent="0.25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e">
        <f>VLOOKUP('Customer Info'!A2076,'Customer Info'!A2076:I2575,2,FALSE)</f>
        <v>#N/A</v>
      </c>
      <c r="H2084" s="6" t="e">
        <f>VLOOKUP('Customer Info'!A2076,'Customer Info'!A2076:I2576,3,FALSE)</f>
        <v>#N/A</v>
      </c>
      <c r="I2084" s="6" t="e">
        <f>VLOOKUP('Customer Info'!A2076,'Customer Info'!A2076:I2575,5,FALSE)</f>
        <v>#N/A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213</v>
      </c>
      <c r="R2084" s="2" t="s">
        <v>28</v>
      </c>
      <c r="S2084" s="9">
        <f t="shared" si="164"/>
        <v>0.02</v>
      </c>
    </row>
    <row r="2085" spans="1:19" x14ac:dyDescent="0.25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e">
        <f>VLOOKUP('Customer Info'!A2077,'Customer Info'!A2077:I2576,2,FALSE)</f>
        <v>#N/A</v>
      </c>
      <c r="H2085" s="6" t="e">
        <f>VLOOKUP('Customer Info'!A2077,'Customer Info'!A2077:I2577,3,FALSE)</f>
        <v>#N/A</v>
      </c>
      <c r="I2085" s="6" t="e">
        <f>VLOOKUP('Customer Info'!A2077,'Customer Info'!A2077:I2576,5,FALSE)</f>
        <v>#N/A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210</v>
      </c>
      <c r="R2085" s="2" t="s">
        <v>28</v>
      </c>
      <c r="S2085" s="9">
        <f t="shared" si="164"/>
        <v>0.02</v>
      </c>
    </row>
    <row r="2086" spans="1:19" x14ac:dyDescent="0.25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e">
        <f>VLOOKUP('Customer Info'!A2078,'Customer Info'!A2078:I2577,2,FALSE)</f>
        <v>#N/A</v>
      </c>
      <c r="H2086" s="6" t="e">
        <f>VLOOKUP('Customer Info'!A2078,'Customer Info'!A2078:I2578,3,FALSE)</f>
        <v>#N/A</v>
      </c>
      <c r="I2086" s="6" t="e">
        <f>VLOOKUP('Customer Info'!A2078,'Customer Info'!A2078:I2577,5,FALSE)</f>
        <v>#N/A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191</v>
      </c>
      <c r="R2086" s="2" t="s">
        <v>28</v>
      </c>
      <c r="S2086" s="9">
        <f t="shared" si="164"/>
        <v>0.02</v>
      </c>
    </row>
    <row r="2087" spans="1:19" x14ac:dyDescent="0.25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e">
        <f>VLOOKUP('Customer Info'!A2079,'Customer Info'!A2079:I2578,2,FALSE)</f>
        <v>#N/A</v>
      </c>
      <c r="H2087" s="6" t="e">
        <f>VLOOKUP('Customer Info'!A2079,'Customer Info'!A2079:I2579,3,FALSE)</f>
        <v>#N/A</v>
      </c>
      <c r="I2087" s="6" t="e">
        <f>VLOOKUP('Customer Info'!A2079,'Customer Info'!A2079:I2578,5,FALSE)</f>
        <v>#N/A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1127</v>
      </c>
      <c r="R2087" s="2" t="s">
        <v>28</v>
      </c>
      <c r="S2087" s="9">
        <f t="shared" si="164"/>
        <v>0.05</v>
      </c>
    </row>
    <row r="2088" spans="1:19" x14ac:dyDescent="0.25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e">
        <f>VLOOKUP('Customer Info'!A2080,'Customer Info'!A2080:I2579,2,FALSE)</f>
        <v>#N/A</v>
      </c>
      <c r="H2088" s="6" t="e">
        <f>VLOOKUP('Customer Info'!A2080,'Customer Info'!A2080:I2580,3,FALSE)</f>
        <v>#N/A</v>
      </c>
      <c r="I2088" s="6" t="e">
        <f>VLOOKUP('Customer Info'!A2080,'Customer Info'!A2080:I2579,5,FALSE)</f>
        <v>#N/A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850</v>
      </c>
      <c r="R2088" s="2" t="s">
        <v>50</v>
      </c>
      <c r="S2088" s="9">
        <f t="shared" si="164"/>
        <v>0.05</v>
      </c>
    </row>
    <row r="2089" spans="1:19" x14ac:dyDescent="0.25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e">
        <f>VLOOKUP('Customer Info'!A2081,'Customer Info'!A2081:I2580,2,FALSE)</f>
        <v>#N/A</v>
      </c>
      <c r="H2089" s="6" t="e">
        <f>VLOOKUP('Customer Info'!A2081,'Customer Info'!A2081:I2581,3,FALSE)</f>
        <v>#N/A</v>
      </c>
      <c r="I2089" s="6" t="e">
        <f>VLOOKUP('Customer Info'!A2081,'Customer Info'!A2081:I2580,5,FALSE)</f>
        <v>#N/A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299</v>
      </c>
      <c r="R2089" s="2" t="s">
        <v>50</v>
      </c>
      <c r="S2089" s="9">
        <f t="shared" si="164"/>
        <v>0.02</v>
      </c>
    </row>
    <row r="2090" spans="1:19" x14ac:dyDescent="0.25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e">
        <f>VLOOKUP('Customer Info'!A2082,'Customer Info'!A2082:I2581,2,FALSE)</f>
        <v>#N/A</v>
      </c>
      <c r="H2090" s="6" t="e">
        <f>VLOOKUP('Customer Info'!A2082,'Customer Info'!A2082:I2582,3,FALSE)</f>
        <v>#N/A</v>
      </c>
      <c r="I2090" s="6" t="e">
        <f>VLOOKUP('Customer Info'!A2082,'Customer Info'!A2082:I2581,5,FALSE)</f>
        <v>#N/A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215</v>
      </c>
      <c r="R2090" s="2" t="s">
        <v>28</v>
      </c>
      <c r="S2090" s="9">
        <f t="shared" si="164"/>
        <v>0.05</v>
      </c>
    </row>
    <row r="2091" spans="1:19" x14ac:dyDescent="0.25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e">
        <f>VLOOKUP('Customer Info'!A2083,'Customer Info'!A2083:I2582,2,FALSE)</f>
        <v>#N/A</v>
      </c>
      <c r="H2091" s="6" t="e">
        <f>VLOOKUP('Customer Info'!A2083,'Customer Info'!A2083:I2583,3,FALSE)</f>
        <v>#N/A</v>
      </c>
      <c r="I2091" s="6" t="e">
        <f>VLOOKUP('Customer Info'!A2083,'Customer Info'!A2083:I2582,5,FALSE)</f>
        <v>#N/A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1454</v>
      </c>
      <c r="R2091" s="2" t="s">
        <v>50</v>
      </c>
      <c r="S2091" s="9">
        <f t="shared" si="164"/>
        <v>0.05</v>
      </c>
    </row>
    <row r="2092" spans="1:19" x14ac:dyDescent="0.25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e">
        <f>VLOOKUP('Customer Info'!A2084,'Customer Info'!A2084:I2583,2,FALSE)</f>
        <v>#N/A</v>
      </c>
      <c r="H2092" s="6" t="e">
        <f>VLOOKUP('Customer Info'!A2084,'Customer Info'!A2084:I2584,3,FALSE)</f>
        <v>#N/A</v>
      </c>
      <c r="I2092" s="6" t="e">
        <f>VLOOKUP('Customer Info'!A2084,'Customer Info'!A2084:I2583,5,FALSE)</f>
        <v>#N/A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681</v>
      </c>
      <c r="R2092" s="2" t="s">
        <v>50</v>
      </c>
      <c r="S2092" s="9">
        <f t="shared" si="164"/>
        <v>0.05</v>
      </c>
    </row>
    <row r="2093" spans="1:19" x14ac:dyDescent="0.25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e">
        <f>VLOOKUP('Customer Info'!A2085,'Customer Info'!A2085:I2584,2,FALSE)</f>
        <v>#N/A</v>
      </c>
      <c r="H2093" s="6" t="e">
        <f>VLOOKUP('Customer Info'!A2085,'Customer Info'!A2085:I2585,3,FALSE)</f>
        <v>#N/A</v>
      </c>
      <c r="I2093" s="6" t="e">
        <f>VLOOKUP('Customer Info'!A2085,'Customer Info'!A2085:I2584,5,FALSE)</f>
        <v>#N/A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63</v>
      </c>
      <c r="R2093" s="2" t="s">
        <v>28</v>
      </c>
      <c r="S2093" s="9">
        <f t="shared" si="164"/>
        <v>0.02</v>
      </c>
    </row>
    <row r="2094" spans="1:19" x14ac:dyDescent="0.25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e">
        <f>VLOOKUP('Customer Info'!A2086,'Customer Info'!A2086:I2585,2,FALSE)</f>
        <v>#N/A</v>
      </c>
      <c r="H2094" s="6" t="e">
        <f>VLOOKUP('Customer Info'!A2086,'Customer Info'!A2086:I2586,3,FALSE)</f>
        <v>#N/A</v>
      </c>
      <c r="I2094" s="6" t="e">
        <f>VLOOKUP('Customer Info'!A2086,'Customer Info'!A2086:I2585,5,FALSE)</f>
        <v>#N/A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701</v>
      </c>
      <c r="R2094" s="2" t="s">
        <v>50</v>
      </c>
      <c r="S2094" s="9">
        <f t="shared" si="164"/>
        <v>0.05</v>
      </c>
    </row>
    <row r="2095" spans="1:19" x14ac:dyDescent="0.25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e">
        <f>VLOOKUP('Customer Info'!A2087,'Customer Info'!A2087:I2586,2,FALSE)</f>
        <v>#N/A</v>
      </c>
      <c r="H2095" s="6" t="e">
        <f>VLOOKUP('Customer Info'!A2087,'Customer Info'!A2087:I2587,3,FALSE)</f>
        <v>#N/A</v>
      </c>
      <c r="I2095" s="6" t="e">
        <f>VLOOKUP('Customer Info'!A2087,'Customer Info'!A2087:I2586,5,FALSE)</f>
        <v>#N/A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387</v>
      </c>
      <c r="R2095" s="2" t="s">
        <v>26</v>
      </c>
      <c r="S2095" s="9">
        <f t="shared" si="164"/>
        <v>0.02</v>
      </c>
    </row>
    <row r="2096" spans="1:19" x14ac:dyDescent="0.25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e">
        <f>VLOOKUP('Customer Info'!A2088,'Customer Info'!A2088:I2587,2,FALSE)</f>
        <v>#N/A</v>
      </c>
      <c r="H2096" s="6" t="e">
        <f>VLOOKUP('Customer Info'!A2088,'Customer Info'!A2088:I2588,3,FALSE)</f>
        <v>#N/A</v>
      </c>
      <c r="I2096" s="6" t="e">
        <f>VLOOKUP('Customer Info'!A2088,'Customer Info'!A2088:I2587,5,FALSE)</f>
        <v>#N/A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97</v>
      </c>
      <c r="R2096" s="2" t="s">
        <v>50</v>
      </c>
      <c r="S2096" s="9">
        <f t="shared" si="164"/>
        <v>0.02</v>
      </c>
    </row>
    <row r="2097" spans="1:19" x14ac:dyDescent="0.25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e">
        <f>VLOOKUP('Customer Info'!A2089,'Customer Info'!A2089:I2588,2,FALSE)</f>
        <v>#N/A</v>
      </c>
      <c r="H2097" s="6" t="e">
        <f>VLOOKUP('Customer Info'!A2089,'Customer Info'!A2089:I2589,3,FALSE)</f>
        <v>#N/A</v>
      </c>
      <c r="I2097" s="6" t="e">
        <f>VLOOKUP('Customer Info'!A2089,'Customer Info'!A2089:I2588,5,FALSE)</f>
        <v>#N/A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865</v>
      </c>
      <c r="R2097" s="2" t="s">
        <v>50</v>
      </c>
      <c r="S2097" s="9">
        <f t="shared" si="164"/>
        <v>0.05</v>
      </c>
    </row>
    <row r="2098" spans="1:19" x14ac:dyDescent="0.25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e">
        <f>VLOOKUP('Customer Info'!A2090,'Customer Info'!A2090:I2589,2,FALSE)</f>
        <v>#N/A</v>
      </c>
      <c r="H2098" s="6" t="e">
        <f>VLOOKUP('Customer Info'!A2090,'Customer Info'!A2090:I2590,3,FALSE)</f>
        <v>#N/A</v>
      </c>
      <c r="I2098" s="6" t="e">
        <f>VLOOKUP('Customer Info'!A2090,'Customer Info'!A2090:I2589,5,FALSE)</f>
        <v>#N/A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46</v>
      </c>
      <c r="R2098" s="2" t="s">
        <v>28</v>
      </c>
      <c r="S2098" s="9">
        <f t="shared" si="164"/>
        <v>0.02</v>
      </c>
    </row>
    <row r="2099" spans="1:19" x14ac:dyDescent="0.25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e">
        <f>VLOOKUP('Customer Info'!A2091,'Customer Info'!A2091:I2590,2,FALSE)</f>
        <v>#N/A</v>
      </c>
      <c r="H2099" s="6" t="e">
        <f>VLOOKUP('Customer Info'!A2091,'Customer Info'!A2091:I2591,3,FALSE)</f>
        <v>#N/A</v>
      </c>
      <c r="I2099" s="6" t="e">
        <f>VLOOKUP('Customer Info'!A2091,'Customer Info'!A2091:I2590,5,FALSE)</f>
        <v>#N/A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1239</v>
      </c>
      <c r="R2099" s="2" t="s">
        <v>28</v>
      </c>
      <c r="S2099" s="9">
        <f t="shared" si="164"/>
        <v>0.05</v>
      </c>
    </row>
    <row r="2100" spans="1:19" x14ac:dyDescent="0.25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e">
        <f>VLOOKUP('Customer Info'!A2092,'Customer Info'!A2092:I2591,2,FALSE)</f>
        <v>#N/A</v>
      </c>
      <c r="H2100" s="6" t="e">
        <f>VLOOKUP('Customer Info'!A2092,'Customer Info'!A2092:I2592,3,FALSE)</f>
        <v>#N/A</v>
      </c>
      <c r="I2100" s="6" t="e">
        <f>VLOOKUP('Customer Info'!A2092,'Customer Info'!A2092:I2591,5,FALSE)</f>
        <v>#N/A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387</v>
      </c>
      <c r="R2100" s="2" t="s">
        <v>50</v>
      </c>
      <c r="S2100" s="9">
        <f t="shared" si="164"/>
        <v>0.05</v>
      </c>
    </row>
    <row r="2101" spans="1:19" x14ac:dyDescent="0.25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e">
        <f>VLOOKUP('Customer Info'!A2093,'Customer Info'!A2093:I2592,2,FALSE)</f>
        <v>#N/A</v>
      </c>
      <c r="H2101" s="6" t="e">
        <f>VLOOKUP('Customer Info'!A2093,'Customer Info'!A2093:I2593,3,FALSE)</f>
        <v>#N/A</v>
      </c>
      <c r="I2101" s="6" t="e">
        <f>VLOOKUP('Customer Info'!A2093,'Customer Info'!A2093:I2592,5,FALSE)</f>
        <v>#N/A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377</v>
      </c>
      <c r="R2101" s="2" t="s">
        <v>28</v>
      </c>
      <c r="S2101" s="9">
        <f t="shared" si="164"/>
        <v>0.05</v>
      </c>
    </row>
    <row r="2102" spans="1:19" x14ac:dyDescent="0.25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e">
        <f>VLOOKUP('Customer Info'!A2094,'Customer Info'!A2094:I2593,2,FALSE)</f>
        <v>#N/A</v>
      </c>
      <c r="H2102" s="6" t="e">
        <f>VLOOKUP('Customer Info'!A2094,'Customer Info'!A2094:I2594,3,FALSE)</f>
        <v>#N/A</v>
      </c>
      <c r="I2102" s="6" t="e">
        <f>VLOOKUP('Customer Info'!A2094,'Customer Info'!A2094:I2593,5,FALSE)</f>
        <v>#N/A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322</v>
      </c>
      <c r="R2102" s="2" t="s">
        <v>50</v>
      </c>
      <c r="S2102" s="9">
        <f t="shared" si="164"/>
        <v>0.02</v>
      </c>
    </row>
    <row r="2103" spans="1:19" x14ac:dyDescent="0.25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e">
        <f>VLOOKUP('Customer Info'!A2095,'Customer Info'!A2095:I2594,2,FALSE)</f>
        <v>#N/A</v>
      </c>
      <c r="H2103" s="6" t="e">
        <f>VLOOKUP('Customer Info'!A2095,'Customer Info'!A2095:I2595,3,FALSE)</f>
        <v>#N/A</v>
      </c>
      <c r="I2103" s="6" t="e">
        <f>VLOOKUP('Customer Info'!A2095,'Customer Info'!A2095:I2594,5,FALSE)</f>
        <v>#N/A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2876</v>
      </c>
      <c r="R2103" s="2" t="s">
        <v>50</v>
      </c>
      <c r="S2103" s="9">
        <f t="shared" si="164"/>
        <v>7.0000000000000007E-2</v>
      </c>
    </row>
    <row r="2104" spans="1:19" x14ac:dyDescent="0.25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e">
        <f>VLOOKUP('Customer Info'!A2096,'Customer Info'!A2096:I2595,2,FALSE)</f>
        <v>#N/A</v>
      </c>
      <c r="H2104" s="6" t="e">
        <f>VLOOKUP('Customer Info'!A2096,'Customer Info'!A2096:I2596,3,FALSE)</f>
        <v>#N/A</v>
      </c>
      <c r="I2104" s="6" t="e">
        <f>VLOOKUP('Customer Info'!A2096,'Customer Info'!A2096:I2595,5,FALSE)</f>
        <v>#N/A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1097</v>
      </c>
      <c r="R2104" s="2" t="s">
        <v>28</v>
      </c>
      <c r="S2104" s="9">
        <f t="shared" si="164"/>
        <v>0.05</v>
      </c>
    </row>
    <row r="2105" spans="1:19" x14ac:dyDescent="0.25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e">
        <f>VLOOKUP('Customer Info'!A2097,'Customer Info'!A2097:I2596,2,FALSE)</f>
        <v>#N/A</v>
      </c>
      <c r="H2105" s="6" t="e">
        <f>VLOOKUP('Customer Info'!A2097,'Customer Info'!A2097:I2597,3,FALSE)</f>
        <v>#N/A</v>
      </c>
      <c r="I2105" s="6" t="e">
        <f>VLOOKUP('Customer Info'!A2097,'Customer Info'!A2097:I2596,5,FALSE)</f>
        <v>#N/A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234</v>
      </c>
      <c r="R2105" s="2" t="s">
        <v>50</v>
      </c>
      <c r="S2105" s="9">
        <f t="shared" si="164"/>
        <v>0.02</v>
      </c>
    </row>
    <row r="2106" spans="1:19" x14ac:dyDescent="0.25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e">
        <f>VLOOKUP('Customer Info'!A2098,'Customer Info'!A2098:I2597,2,FALSE)</f>
        <v>#N/A</v>
      </c>
      <c r="H2106" s="6" t="e">
        <f>VLOOKUP('Customer Info'!A2098,'Customer Info'!A2098:I2598,3,FALSE)</f>
        <v>#N/A</v>
      </c>
      <c r="I2106" s="6" t="e">
        <f>VLOOKUP('Customer Info'!A2098,'Customer Info'!A2098:I2597,5,FALSE)</f>
        <v>#N/A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483</v>
      </c>
      <c r="R2106" s="2" t="s">
        <v>28</v>
      </c>
      <c r="S2106" s="9">
        <f t="shared" si="164"/>
        <v>0.05</v>
      </c>
    </row>
    <row r="2107" spans="1:19" x14ac:dyDescent="0.25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e">
        <f>VLOOKUP('Customer Info'!A2099,'Customer Info'!A2099:I2598,2,FALSE)</f>
        <v>#N/A</v>
      </c>
      <c r="H2107" s="6" t="e">
        <f>VLOOKUP('Customer Info'!A2099,'Customer Info'!A2099:I2599,3,FALSE)</f>
        <v>#N/A</v>
      </c>
      <c r="I2107" s="6" t="e">
        <f>VLOOKUP('Customer Info'!A2099,'Customer Info'!A2099:I2598,5,FALSE)</f>
        <v>#N/A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434</v>
      </c>
      <c r="R2107" s="2" t="s">
        <v>28</v>
      </c>
      <c r="S2107" s="9">
        <f t="shared" si="164"/>
        <v>0.05</v>
      </c>
    </row>
    <row r="2108" spans="1:19" x14ac:dyDescent="0.25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e">
        <f>VLOOKUP('Customer Info'!A2100,'Customer Info'!A2100:I2599,2,FALSE)</f>
        <v>#N/A</v>
      </c>
      <c r="H2108" s="6" t="e">
        <f>VLOOKUP('Customer Info'!A2100,'Customer Info'!A2100:I2600,3,FALSE)</f>
        <v>#N/A</v>
      </c>
      <c r="I2108" s="6" t="e">
        <f>VLOOKUP('Customer Info'!A2100,'Customer Info'!A2100:I2599,5,FALSE)</f>
        <v>#N/A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150</v>
      </c>
      <c r="R2108" s="2" t="s">
        <v>28</v>
      </c>
      <c r="S2108" s="9">
        <f t="shared" si="164"/>
        <v>0.02</v>
      </c>
    </row>
    <row r="2109" spans="1:19" x14ac:dyDescent="0.25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e">
        <f>VLOOKUP('Customer Info'!A2101,'Customer Info'!A2101:I2600,2,FALSE)</f>
        <v>#N/A</v>
      </c>
      <c r="H2109" s="6" t="e">
        <f>VLOOKUP('Customer Info'!A2101,'Customer Info'!A2101:I2601,3,FALSE)</f>
        <v>#N/A</v>
      </c>
      <c r="I2109" s="6" t="e">
        <f>VLOOKUP('Customer Info'!A2101,'Customer Info'!A2101:I2600,5,FALSE)</f>
        <v>#N/A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22</v>
      </c>
      <c r="R2109" s="2" t="s">
        <v>50</v>
      </c>
      <c r="S2109" s="9">
        <f t="shared" si="164"/>
        <v>0.02</v>
      </c>
    </row>
    <row r="2110" spans="1:19" x14ac:dyDescent="0.25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e">
        <f>VLOOKUP('Customer Info'!A2102,'Customer Info'!A2102:I2601,2,FALSE)</f>
        <v>#N/A</v>
      </c>
      <c r="H2110" s="6" t="e">
        <f>VLOOKUP('Customer Info'!A2102,'Customer Info'!A2102:I2602,3,FALSE)</f>
        <v>#N/A</v>
      </c>
      <c r="I2110" s="6" t="e">
        <f>VLOOKUP('Customer Info'!A2102,'Customer Info'!A2102:I2601,5,FALSE)</f>
        <v>#N/A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961</v>
      </c>
      <c r="R2110" s="2" t="s">
        <v>50</v>
      </c>
      <c r="S2110" s="9">
        <f t="shared" si="164"/>
        <v>0.05</v>
      </c>
    </row>
    <row r="2111" spans="1:19" x14ac:dyDescent="0.25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e">
        <f>VLOOKUP('Customer Info'!A2103,'Customer Info'!A2103:I2602,2,FALSE)</f>
        <v>#N/A</v>
      </c>
      <c r="H2111" s="6" t="e">
        <f>VLOOKUP('Customer Info'!A2103,'Customer Info'!A2103:I2603,3,FALSE)</f>
        <v>#N/A</v>
      </c>
      <c r="I2111" s="6" t="e">
        <f>VLOOKUP('Customer Info'!A2103,'Customer Info'!A2103:I2602,5,FALSE)</f>
        <v>#N/A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100</v>
      </c>
      <c r="R2111" s="2" t="s">
        <v>50</v>
      </c>
      <c r="S2111" s="9">
        <f t="shared" si="164"/>
        <v>0.02</v>
      </c>
    </row>
    <row r="2112" spans="1:19" x14ac:dyDescent="0.25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e">
        <f>VLOOKUP('Customer Info'!A2104,'Customer Info'!A2104:I2603,2,FALSE)</f>
        <v>#N/A</v>
      </c>
      <c r="H2112" s="6" t="e">
        <f>VLOOKUP('Customer Info'!A2104,'Customer Info'!A2104:I2604,3,FALSE)</f>
        <v>#N/A</v>
      </c>
      <c r="I2112" s="6" t="e">
        <f>VLOOKUP('Customer Info'!A2104,'Customer Info'!A2104:I2603,5,FALSE)</f>
        <v>#N/A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223</v>
      </c>
      <c r="R2112" s="2" t="s">
        <v>28</v>
      </c>
      <c r="S2112" s="9">
        <f t="shared" si="164"/>
        <v>0.02</v>
      </c>
    </row>
    <row r="2113" spans="1:19" x14ac:dyDescent="0.25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e">
        <f>VLOOKUP('Customer Info'!A2105,'Customer Info'!A2105:I2604,2,FALSE)</f>
        <v>#N/A</v>
      </c>
      <c r="H2113" s="6" t="e">
        <f>VLOOKUP('Customer Info'!A2105,'Customer Info'!A2105:I2605,3,FALSE)</f>
        <v>#N/A</v>
      </c>
      <c r="I2113" s="6" t="e">
        <f>VLOOKUP('Customer Info'!A2105,'Customer Info'!A2105:I2604,5,FALSE)</f>
        <v>#N/A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84</v>
      </c>
      <c r="R2113" s="2" t="s">
        <v>26</v>
      </c>
      <c r="S2113" s="9">
        <f t="shared" si="164"/>
        <v>0.02</v>
      </c>
    </row>
    <row r="2114" spans="1:19" x14ac:dyDescent="0.25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e">
        <f>VLOOKUP('Customer Info'!A2106,'Customer Info'!A2106:I2605,2,FALSE)</f>
        <v>#N/A</v>
      </c>
      <c r="H2114" s="6" t="e">
        <f>VLOOKUP('Customer Info'!A2106,'Customer Info'!A2106:I2606,3,FALSE)</f>
        <v>#N/A</v>
      </c>
      <c r="I2114" s="6" t="e">
        <f>VLOOKUP('Customer Info'!A2106,'Customer Info'!A2106:I2605,5,FALSE)</f>
        <v>#N/A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78</v>
      </c>
      <c r="R2114" s="2" t="s">
        <v>26</v>
      </c>
      <c r="S2114" s="9">
        <f t="shared" si="164"/>
        <v>0.02</v>
      </c>
    </row>
    <row r="2115" spans="1:19" x14ac:dyDescent="0.25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e">
        <f>VLOOKUP('Customer Info'!A2107,'Customer Info'!A2107:I2606,2,FALSE)</f>
        <v>#N/A</v>
      </c>
      <c r="H2115" s="6" t="e">
        <f>VLOOKUP('Customer Info'!A2107,'Customer Info'!A2107:I2607,3,FALSE)</f>
        <v>#N/A</v>
      </c>
      <c r="I2115" s="6" t="e">
        <f>VLOOKUP('Customer Info'!A2107,'Customer Info'!A2107:I2606,5,FALSE)</f>
        <v>#N/A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3708</v>
      </c>
      <c r="R2115" s="2" t="s">
        <v>28</v>
      </c>
      <c r="S2115" s="9">
        <f t="shared" si="164"/>
        <v>7.0000000000000007E-2</v>
      </c>
    </row>
    <row r="2116" spans="1:19" x14ac:dyDescent="0.25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e">
        <f>VLOOKUP('Customer Info'!A2108,'Customer Info'!A2108:I2607,2,FALSE)</f>
        <v>#N/A</v>
      </c>
      <c r="H2116" s="6" t="e">
        <f>VLOOKUP('Customer Info'!A2108,'Customer Info'!A2108:I2608,3,FALSE)</f>
        <v>#N/A</v>
      </c>
      <c r="I2116" s="6" t="e">
        <f>VLOOKUP('Customer Info'!A2108,'Customer Info'!A2108:I2607,5,FALSE)</f>
        <v>#N/A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1260</v>
      </c>
      <c r="R2116" s="2" t="s">
        <v>28</v>
      </c>
      <c r="S2116" s="9">
        <f t="shared" si="164"/>
        <v>0.05</v>
      </c>
    </row>
    <row r="2117" spans="1:19" x14ac:dyDescent="0.25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e">
        <f>VLOOKUP('Customer Info'!A2109,'Customer Info'!A2109:I2608,2,FALSE)</f>
        <v>#N/A</v>
      </c>
      <c r="H2117" s="6" t="e">
        <f>VLOOKUP('Customer Info'!A2109,'Customer Info'!A2109:I2609,3,FALSE)</f>
        <v>#N/A</v>
      </c>
      <c r="I2117" s="6" t="e">
        <f>VLOOKUP('Customer Info'!A2109,'Customer Info'!A2109:I2608,5,FALSE)</f>
        <v>#N/A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1189</v>
      </c>
      <c r="R2117" s="2" t="s">
        <v>28</v>
      </c>
      <c r="S2117" s="9">
        <f t="shared" si="164"/>
        <v>0.05</v>
      </c>
    </row>
    <row r="2118" spans="1:19" x14ac:dyDescent="0.25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e">
        <f>VLOOKUP('Customer Info'!A2110,'Customer Info'!A2110:I2609,2,FALSE)</f>
        <v>#N/A</v>
      </c>
      <c r="H2118" s="6" t="e">
        <f>VLOOKUP('Customer Info'!A2110,'Customer Info'!A2110:I2610,3,FALSE)</f>
        <v>#N/A</v>
      </c>
      <c r="I2118" s="6" t="e">
        <f>VLOOKUP('Customer Info'!A2110,'Customer Info'!A2110:I2609,5,FALSE)</f>
        <v>#N/A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648</v>
      </c>
      <c r="R2118" s="2" t="s">
        <v>28</v>
      </c>
      <c r="S2118" s="9">
        <f t="shared" si="164"/>
        <v>0.05</v>
      </c>
    </row>
    <row r="2119" spans="1:19" x14ac:dyDescent="0.25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e">
        <f>VLOOKUP('Customer Info'!A2111,'Customer Info'!A2111:I2610,2,FALSE)</f>
        <v>#N/A</v>
      </c>
      <c r="H2119" s="6" t="e">
        <f>VLOOKUP('Customer Info'!A2111,'Customer Info'!A2111:I2611,3,FALSE)</f>
        <v>#N/A</v>
      </c>
      <c r="I2119" s="6" t="e">
        <f>VLOOKUP('Customer Info'!A2111,'Customer Info'!A2111:I2610,5,FALSE)</f>
        <v>#N/A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607</v>
      </c>
      <c r="R2119" s="2" t="s">
        <v>26</v>
      </c>
      <c r="S2119" s="9">
        <f t="shared" si="164"/>
        <v>0.05</v>
      </c>
    </row>
    <row r="2120" spans="1:19" x14ac:dyDescent="0.25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e">
        <f>VLOOKUP('Customer Info'!A2112,'Customer Info'!A2112:I2611,2,FALSE)</f>
        <v>#N/A</v>
      </c>
      <c r="H2120" s="6" t="e">
        <f>VLOOKUP('Customer Info'!A2112,'Customer Info'!A2112:I2612,3,FALSE)</f>
        <v>#N/A</v>
      </c>
      <c r="I2120" s="6" t="e">
        <f>VLOOKUP('Customer Info'!A2112,'Customer Info'!A2112:I2611,5,FALSE)</f>
        <v>#N/A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41</v>
      </c>
      <c r="R2120" s="2" t="s">
        <v>28</v>
      </c>
      <c r="S2120" s="9">
        <f t="shared" si="164"/>
        <v>0.02</v>
      </c>
    </row>
    <row r="2121" spans="1:19" x14ac:dyDescent="0.25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e">
        <f>VLOOKUP('Customer Info'!A2113,'Customer Info'!A2113:I2612,2,FALSE)</f>
        <v>#N/A</v>
      </c>
      <c r="H2121" s="6" t="e">
        <f>VLOOKUP('Customer Info'!A2113,'Customer Info'!A2113:I2613,3,FALSE)</f>
        <v>#N/A</v>
      </c>
      <c r="I2121" s="6" t="e">
        <f>VLOOKUP('Customer Info'!A2113,'Customer Info'!A2113:I2612,5,FALSE)</f>
        <v>#N/A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102</v>
      </c>
      <c r="R2121" s="2" t="s">
        <v>56</v>
      </c>
      <c r="S2121" s="9">
        <f t="shared" si="164"/>
        <v>0.02</v>
      </c>
    </row>
    <row r="2122" spans="1:19" x14ac:dyDescent="0.25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e">
        <f>VLOOKUP('Customer Info'!A2114,'Customer Info'!A2114:I2613,2,FALSE)</f>
        <v>#N/A</v>
      </c>
      <c r="H2122" s="6" t="e">
        <f>VLOOKUP('Customer Info'!A2114,'Customer Info'!A2114:I2614,3,FALSE)</f>
        <v>#N/A</v>
      </c>
      <c r="I2122" s="6" t="e">
        <f>VLOOKUP('Customer Info'!A2114,'Customer Info'!A2114:I2613,5,FALSE)</f>
        <v>#N/A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78</v>
      </c>
      <c r="R2122" s="2" t="s">
        <v>28</v>
      </c>
      <c r="S2122" s="9">
        <f t="shared" si="164"/>
        <v>0.02</v>
      </c>
    </row>
    <row r="2123" spans="1:19" x14ac:dyDescent="0.25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e">
        <f>VLOOKUP('Customer Info'!A2115,'Customer Info'!A2115:I2614,2,FALSE)</f>
        <v>#N/A</v>
      </c>
      <c r="H2123" s="6" t="e">
        <f>VLOOKUP('Customer Info'!A2115,'Customer Info'!A2115:I2615,3,FALSE)</f>
        <v>#N/A</v>
      </c>
      <c r="I2123" s="6" t="e">
        <f>VLOOKUP('Customer Info'!A2115,'Customer Info'!A2115:I2614,5,FALSE)</f>
        <v>#N/A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8">
        <f t="shared" ref="P2123:P2186" si="167">N2123+O2123</f>
        <v>5609</v>
      </c>
      <c r="Q2123" s="8">
        <f t="shared" ref="Q2123:Q2186" si="168">P2123-M2123</f>
        <v>383</v>
      </c>
      <c r="R2123" s="2" t="s">
        <v>28</v>
      </c>
      <c r="S2123" s="9">
        <f t="shared" ref="S2123:S2186" si="169">VLOOKUP(P2123,$T$2:$U$7,2,TRUE)</f>
        <v>0.05</v>
      </c>
    </row>
    <row r="2124" spans="1:19" x14ac:dyDescent="0.25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e">
        <f>VLOOKUP('Customer Info'!A2116,'Customer Info'!A2116:I2615,2,FALSE)</f>
        <v>#N/A</v>
      </c>
      <c r="H2124" s="6" t="e">
        <f>VLOOKUP('Customer Info'!A2116,'Customer Info'!A2116:I2616,3,FALSE)</f>
        <v>#N/A</v>
      </c>
      <c r="I2124" s="6" t="e">
        <f>VLOOKUP('Customer Info'!A2116,'Customer Info'!A2116:I2615,5,FALSE)</f>
        <v>#N/A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20</v>
      </c>
      <c r="R2124" s="2" t="s">
        <v>28</v>
      </c>
      <c r="S2124" s="9">
        <f t="shared" si="169"/>
        <v>0.02</v>
      </c>
    </row>
    <row r="2125" spans="1:19" x14ac:dyDescent="0.25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e">
        <f>VLOOKUP('Customer Info'!A2117,'Customer Info'!A2117:I2616,2,FALSE)</f>
        <v>#N/A</v>
      </c>
      <c r="H2125" s="6" t="e">
        <f>VLOOKUP('Customer Info'!A2117,'Customer Info'!A2117:I2617,3,FALSE)</f>
        <v>#N/A</v>
      </c>
      <c r="I2125" s="6" t="e">
        <f>VLOOKUP('Customer Info'!A2117,'Customer Info'!A2117:I2616,5,FALSE)</f>
        <v>#N/A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81</v>
      </c>
      <c r="R2125" s="2" t="s">
        <v>50</v>
      </c>
      <c r="S2125" s="9">
        <f t="shared" si="169"/>
        <v>0.02</v>
      </c>
    </row>
    <row r="2126" spans="1:19" x14ac:dyDescent="0.25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e">
        <f>VLOOKUP('Customer Info'!A2118,'Customer Info'!A2118:I2617,2,FALSE)</f>
        <v>#N/A</v>
      </c>
      <c r="H2126" s="6" t="e">
        <f>VLOOKUP('Customer Info'!A2118,'Customer Info'!A2118:I2618,3,FALSE)</f>
        <v>#N/A</v>
      </c>
      <c r="I2126" s="6" t="e">
        <f>VLOOKUP('Customer Info'!A2118,'Customer Info'!A2118:I2617,5,FALSE)</f>
        <v>#N/A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185</v>
      </c>
      <c r="R2126" s="2" t="s">
        <v>28</v>
      </c>
      <c r="S2126" s="9">
        <f t="shared" si="169"/>
        <v>0.02</v>
      </c>
    </row>
    <row r="2127" spans="1:19" x14ac:dyDescent="0.25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e">
        <f>VLOOKUP('Customer Info'!A2119,'Customer Info'!A2119:I2618,2,FALSE)</f>
        <v>#N/A</v>
      </c>
      <c r="H2127" s="6" t="e">
        <f>VLOOKUP('Customer Info'!A2119,'Customer Info'!A2119:I2619,3,FALSE)</f>
        <v>#N/A</v>
      </c>
      <c r="I2127" s="6" t="e">
        <f>VLOOKUP('Customer Info'!A2119,'Customer Info'!A2119:I2618,5,FALSE)</f>
        <v>#N/A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1310</v>
      </c>
      <c r="R2127" s="2" t="s">
        <v>50</v>
      </c>
      <c r="S2127" s="9">
        <f t="shared" si="169"/>
        <v>0.05</v>
      </c>
    </row>
    <row r="2128" spans="1:19" x14ac:dyDescent="0.25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e">
        <f>VLOOKUP('Customer Info'!A2120,'Customer Info'!A2120:I2619,2,FALSE)</f>
        <v>#N/A</v>
      </c>
      <c r="H2128" s="6" t="e">
        <f>VLOOKUP('Customer Info'!A2120,'Customer Info'!A2120:I2620,3,FALSE)</f>
        <v>#N/A</v>
      </c>
      <c r="I2128" s="6" t="e">
        <f>VLOOKUP('Customer Info'!A2120,'Customer Info'!A2120:I2619,5,FALSE)</f>
        <v>#N/A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54</v>
      </c>
      <c r="R2128" s="2" t="s">
        <v>28</v>
      </c>
      <c r="S2128" s="9">
        <f t="shared" si="169"/>
        <v>0.02</v>
      </c>
    </row>
    <row r="2129" spans="1:19" x14ac:dyDescent="0.25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e">
        <f>VLOOKUP('Customer Info'!A2121,'Customer Info'!A2121:I2620,2,FALSE)</f>
        <v>#N/A</v>
      </c>
      <c r="H2129" s="6" t="e">
        <f>VLOOKUP('Customer Info'!A2121,'Customer Info'!A2121:I2621,3,FALSE)</f>
        <v>#N/A</v>
      </c>
      <c r="I2129" s="6" t="e">
        <f>VLOOKUP('Customer Info'!A2121,'Customer Info'!A2121:I2620,5,FALSE)</f>
        <v>#N/A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903</v>
      </c>
      <c r="R2129" s="2" t="s">
        <v>28</v>
      </c>
      <c r="S2129" s="9">
        <f t="shared" si="169"/>
        <v>0.05</v>
      </c>
    </row>
    <row r="2130" spans="1:19" x14ac:dyDescent="0.25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e">
        <f>VLOOKUP('Customer Info'!A2122,'Customer Info'!A2122:I2621,2,FALSE)</f>
        <v>#N/A</v>
      </c>
      <c r="H2130" s="6" t="e">
        <f>VLOOKUP('Customer Info'!A2122,'Customer Info'!A2122:I2622,3,FALSE)</f>
        <v>#N/A</v>
      </c>
      <c r="I2130" s="6" t="e">
        <f>VLOOKUP('Customer Info'!A2122,'Customer Info'!A2122:I2621,5,FALSE)</f>
        <v>#N/A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1994</v>
      </c>
      <c r="R2130" s="2" t="s">
        <v>28</v>
      </c>
      <c r="S2130" s="9">
        <f t="shared" si="169"/>
        <v>0.05</v>
      </c>
    </row>
    <row r="2131" spans="1:19" x14ac:dyDescent="0.25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e">
        <f>VLOOKUP('Customer Info'!A2123,'Customer Info'!A2123:I2622,2,FALSE)</f>
        <v>#N/A</v>
      </c>
      <c r="H2131" s="6" t="e">
        <f>VLOOKUP('Customer Info'!A2123,'Customer Info'!A2123:I2623,3,FALSE)</f>
        <v>#N/A</v>
      </c>
      <c r="I2131" s="6" t="e">
        <f>VLOOKUP('Customer Info'!A2123,'Customer Info'!A2123:I2622,5,FALSE)</f>
        <v>#N/A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768</v>
      </c>
      <c r="R2131" s="2" t="s">
        <v>50</v>
      </c>
      <c r="S2131" s="9">
        <f t="shared" si="169"/>
        <v>7.0000000000000007E-2</v>
      </c>
    </row>
    <row r="2132" spans="1:19" x14ac:dyDescent="0.25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e">
        <f>VLOOKUP('Customer Info'!A2124,'Customer Info'!A2124:I2623,2,FALSE)</f>
        <v>#N/A</v>
      </c>
      <c r="H2132" s="6" t="e">
        <f>VLOOKUP('Customer Info'!A2124,'Customer Info'!A2124:I2624,3,FALSE)</f>
        <v>#N/A</v>
      </c>
      <c r="I2132" s="6" t="e">
        <f>VLOOKUP('Customer Info'!A2124,'Customer Info'!A2124:I2623,5,FALSE)</f>
        <v>#N/A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465</v>
      </c>
      <c r="R2132" s="2" t="s">
        <v>28</v>
      </c>
      <c r="S2132" s="9">
        <f t="shared" si="169"/>
        <v>0.05</v>
      </c>
    </row>
    <row r="2133" spans="1:19" x14ac:dyDescent="0.25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e">
        <f>VLOOKUP('Customer Info'!A2125,'Customer Info'!A2125:I2624,2,FALSE)</f>
        <v>#N/A</v>
      </c>
      <c r="H2133" s="6" t="e">
        <f>VLOOKUP('Customer Info'!A2125,'Customer Info'!A2125:I2625,3,FALSE)</f>
        <v>#N/A</v>
      </c>
      <c r="I2133" s="6" t="e">
        <f>VLOOKUP('Customer Info'!A2125,'Customer Info'!A2125:I2624,5,FALSE)</f>
        <v>#N/A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25</v>
      </c>
      <c r="R2133" s="2" t="s">
        <v>28</v>
      </c>
      <c r="S2133" s="9">
        <f t="shared" si="169"/>
        <v>0.02</v>
      </c>
    </row>
    <row r="2134" spans="1:19" x14ac:dyDescent="0.25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e">
        <f>VLOOKUP('Customer Info'!A2126,'Customer Info'!A2126:I2625,2,FALSE)</f>
        <v>#N/A</v>
      </c>
      <c r="H2134" s="6" t="e">
        <f>VLOOKUP('Customer Info'!A2126,'Customer Info'!A2126:I2626,3,FALSE)</f>
        <v>#N/A</v>
      </c>
      <c r="I2134" s="6" t="e">
        <f>VLOOKUP('Customer Info'!A2126,'Customer Info'!A2126:I2625,5,FALSE)</f>
        <v>#N/A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337</v>
      </c>
      <c r="R2134" s="2" t="s">
        <v>28</v>
      </c>
      <c r="S2134" s="9">
        <f t="shared" si="169"/>
        <v>0.02</v>
      </c>
    </row>
    <row r="2135" spans="1:19" x14ac:dyDescent="0.25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e">
        <f>VLOOKUP('Customer Info'!A2127,'Customer Info'!A2127:I2626,2,FALSE)</f>
        <v>#N/A</v>
      </c>
      <c r="H2135" s="6" t="e">
        <f>VLOOKUP('Customer Info'!A2127,'Customer Info'!A2127:I2627,3,FALSE)</f>
        <v>#N/A</v>
      </c>
      <c r="I2135" s="6" t="e">
        <f>VLOOKUP('Customer Info'!A2127,'Customer Info'!A2127:I2626,5,FALSE)</f>
        <v>#N/A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2226</v>
      </c>
      <c r="R2135" s="2" t="s">
        <v>26</v>
      </c>
      <c r="S2135" s="9">
        <f t="shared" si="169"/>
        <v>7.0000000000000007E-2</v>
      </c>
    </row>
    <row r="2136" spans="1:19" x14ac:dyDescent="0.25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e">
        <f>VLOOKUP('Customer Info'!A2128,'Customer Info'!A2128:I2627,2,FALSE)</f>
        <v>#N/A</v>
      </c>
      <c r="H2136" s="6" t="e">
        <f>VLOOKUP('Customer Info'!A2128,'Customer Info'!A2128:I2628,3,FALSE)</f>
        <v>#N/A</v>
      </c>
      <c r="I2136" s="6" t="e">
        <f>VLOOKUP('Customer Info'!A2128,'Customer Info'!A2128:I2627,5,FALSE)</f>
        <v>#N/A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108</v>
      </c>
      <c r="R2136" s="2" t="s">
        <v>50</v>
      </c>
      <c r="S2136" s="9">
        <f t="shared" si="169"/>
        <v>0.02</v>
      </c>
    </row>
    <row r="2137" spans="1:19" x14ac:dyDescent="0.25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e">
        <f>VLOOKUP('Customer Info'!A2129,'Customer Info'!A2129:I2628,2,FALSE)</f>
        <v>#N/A</v>
      </c>
      <c r="H2137" s="6" t="e">
        <f>VLOOKUP('Customer Info'!A2129,'Customer Info'!A2129:I2629,3,FALSE)</f>
        <v>#N/A</v>
      </c>
      <c r="I2137" s="6" t="e">
        <f>VLOOKUP('Customer Info'!A2129,'Customer Info'!A2129:I2628,5,FALSE)</f>
        <v>#N/A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102</v>
      </c>
      <c r="R2137" s="2" t="s">
        <v>28</v>
      </c>
      <c r="S2137" s="9">
        <f t="shared" si="169"/>
        <v>0.02</v>
      </c>
    </row>
    <row r="2138" spans="1:19" x14ac:dyDescent="0.25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e">
        <f>VLOOKUP('Customer Info'!A2130,'Customer Info'!A2130:I2629,2,FALSE)</f>
        <v>#N/A</v>
      </c>
      <c r="H2138" s="6" t="e">
        <f>VLOOKUP('Customer Info'!A2130,'Customer Info'!A2130:I2630,3,FALSE)</f>
        <v>#N/A</v>
      </c>
      <c r="I2138" s="6" t="e">
        <f>VLOOKUP('Customer Info'!A2130,'Customer Info'!A2130:I2629,5,FALSE)</f>
        <v>#N/A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92</v>
      </c>
      <c r="R2138" s="2" t="s">
        <v>28</v>
      </c>
      <c r="S2138" s="9">
        <f t="shared" si="169"/>
        <v>0.02</v>
      </c>
    </row>
    <row r="2139" spans="1:19" x14ac:dyDescent="0.25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e">
        <f>VLOOKUP('Customer Info'!A2131,'Customer Info'!A2131:I2630,2,FALSE)</f>
        <v>#N/A</v>
      </c>
      <c r="H2139" s="6" t="e">
        <f>VLOOKUP('Customer Info'!A2131,'Customer Info'!A2131:I2631,3,FALSE)</f>
        <v>#N/A</v>
      </c>
      <c r="I2139" s="6" t="e">
        <f>VLOOKUP('Customer Info'!A2131,'Customer Info'!A2131:I2630,5,FALSE)</f>
        <v>#N/A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726</v>
      </c>
      <c r="R2139" s="2" t="s">
        <v>50</v>
      </c>
      <c r="S2139" s="9">
        <f t="shared" si="169"/>
        <v>0.05</v>
      </c>
    </row>
    <row r="2140" spans="1:19" x14ac:dyDescent="0.25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e">
        <f>VLOOKUP('Customer Info'!A2132,'Customer Info'!A2132:I2631,2,FALSE)</f>
        <v>#N/A</v>
      </c>
      <c r="H2140" s="6" t="e">
        <f>VLOOKUP('Customer Info'!A2132,'Customer Info'!A2132:I2632,3,FALSE)</f>
        <v>#N/A</v>
      </c>
      <c r="I2140" s="6" t="e">
        <f>VLOOKUP('Customer Info'!A2132,'Customer Info'!A2132:I2631,5,FALSE)</f>
        <v>#N/A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611</v>
      </c>
      <c r="R2140" s="2" t="s">
        <v>50</v>
      </c>
      <c r="S2140" s="9">
        <f t="shared" si="169"/>
        <v>0.05</v>
      </c>
    </row>
    <row r="2141" spans="1:19" x14ac:dyDescent="0.25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e">
        <f>VLOOKUP('Customer Info'!A2133,'Customer Info'!A2133:I2632,2,FALSE)</f>
        <v>#N/A</v>
      </c>
      <c r="H2141" s="6" t="e">
        <f>VLOOKUP('Customer Info'!A2133,'Customer Info'!A2133:I2633,3,FALSE)</f>
        <v>#N/A</v>
      </c>
      <c r="I2141" s="6" t="e">
        <f>VLOOKUP('Customer Info'!A2133,'Customer Info'!A2133:I2632,5,FALSE)</f>
        <v>#N/A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684</v>
      </c>
      <c r="R2141" s="2" t="s">
        <v>28</v>
      </c>
      <c r="S2141" s="9">
        <f t="shared" si="169"/>
        <v>0.05</v>
      </c>
    </row>
    <row r="2142" spans="1:19" x14ac:dyDescent="0.25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e">
        <f>VLOOKUP('Customer Info'!A2134,'Customer Info'!A2134:I2633,2,FALSE)</f>
        <v>#N/A</v>
      </c>
      <c r="H2142" s="6" t="e">
        <f>VLOOKUP('Customer Info'!A2134,'Customer Info'!A2134:I2634,3,FALSE)</f>
        <v>#N/A</v>
      </c>
      <c r="I2142" s="6" t="e">
        <f>VLOOKUP('Customer Info'!A2134,'Customer Info'!A2134:I2633,5,FALSE)</f>
        <v>#N/A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102</v>
      </c>
      <c r="R2142" s="2" t="s">
        <v>28</v>
      </c>
      <c r="S2142" s="9">
        <f t="shared" si="169"/>
        <v>0.02</v>
      </c>
    </row>
    <row r="2143" spans="1:19" x14ac:dyDescent="0.25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e">
        <f>VLOOKUP('Customer Info'!A2135,'Customer Info'!A2135:I2634,2,FALSE)</f>
        <v>#N/A</v>
      </c>
      <c r="H2143" s="6" t="e">
        <f>VLOOKUP('Customer Info'!A2135,'Customer Info'!A2135:I2635,3,FALSE)</f>
        <v>#N/A</v>
      </c>
      <c r="I2143" s="6" t="e">
        <f>VLOOKUP('Customer Info'!A2135,'Customer Info'!A2135:I2634,5,FALSE)</f>
        <v>#N/A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478</v>
      </c>
      <c r="R2143" s="2" t="s">
        <v>50</v>
      </c>
      <c r="S2143" s="9">
        <f t="shared" si="169"/>
        <v>0.05</v>
      </c>
    </row>
    <row r="2144" spans="1:19" x14ac:dyDescent="0.25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e">
        <f>VLOOKUP('Customer Info'!A2136,'Customer Info'!A2136:I2635,2,FALSE)</f>
        <v>#N/A</v>
      </c>
      <c r="H2144" s="6" t="e">
        <f>VLOOKUP('Customer Info'!A2136,'Customer Info'!A2136:I2636,3,FALSE)</f>
        <v>#N/A</v>
      </c>
      <c r="I2144" s="6" t="e">
        <f>VLOOKUP('Customer Info'!A2136,'Customer Info'!A2136:I2635,5,FALSE)</f>
        <v>#N/A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852</v>
      </c>
      <c r="R2144" s="2" t="s">
        <v>28</v>
      </c>
      <c r="S2144" s="9">
        <f t="shared" si="169"/>
        <v>0.05</v>
      </c>
    </row>
    <row r="2145" spans="1:19" x14ac:dyDescent="0.25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e">
        <f>VLOOKUP('Customer Info'!A2137,'Customer Info'!A2137:I2636,2,FALSE)</f>
        <v>#N/A</v>
      </c>
      <c r="H2145" s="6" t="e">
        <f>VLOOKUP('Customer Info'!A2137,'Customer Info'!A2137:I2637,3,FALSE)</f>
        <v>#N/A</v>
      </c>
      <c r="I2145" s="6" t="e">
        <f>VLOOKUP('Customer Info'!A2137,'Customer Info'!A2137:I2636,5,FALSE)</f>
        <v>#N/A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173</v>
      </c>
      <c r="R2145" s="2" t="s">
        <v>26</v>
      </c>
      <c r="S2145" s="9">
        <f t="shared" si="169"/>
        <v>0.02</v>
      </c>
    </row>
    <row r="2146" spans="1:19" x14ac:dyDescent="0.25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e">
        <f>VLOOKUP('Customer Info'!A2138,'Customer Info'!A2138:I2637,2,FALSE)</f>
        <v>#N/A</v>
      </c>
      <c r="H2146" s="6" t="e">
        <f>VLOOKUP('Customer Info'!A2138,'Customer Info'!A2138:I2638,3,FALSE)</f>
        <v>#N/A</v>
      </c>
      <c r="I2146" s="6" t="e">
        <f>VLOOKUP('Customer Info'!A2138,'Customer Info'!A2138:I2637,5,FALSE)</f>
        <v>#N/A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416</v>
      </c>
      <c r="R2146" s="2" t="s">
        <v>28</v>
      </c>
      <c r="S2146" s="9">
        <f t="shared" si="169"/>
        <v>0.02</v>
      </c>
    </row>
    <row r="2147" spans="1:19" x14ac:dyDescent="0.25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e">
        <f>VLOOKUP('Customer Info'!A2139,'Customer Info'!A2139:I2638,2,FALSE)</f>
        <v>#N/A</v>
      </c>
      <c r="H2147" s="6" t="e">
        <f>VLOOKUP('Customer Info'!A2139,'Customer Info'!A2139:I2639,3,FALSE)</f>
        <v>#N/A</v>
      </c>
      <c r="I2147" s="6" t="e">
        <f>VLOOKUP('Customer Info'!A2139,'Customer Info'!A2139:I2638,5,FALSE)</f>
        <v>#N/A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491</v>
      </c>
      <c r="R2147" s="2" t="s">
        <v>28</v>
      </c>
      <c r="S2147" s="9">
        <f t="shared" si="169"/>
        <v>0.05</v>
      </c>
    </row>
    <row r="2148" spans="1:19" x14ac:dyDescent="0.25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e">
        <f>VLOOKUP('Customer Info'!A2140,'Customer Info'!A2140:I2639,2,FALSE)</f>
        <v>#N/A</v>
      </c>
      <c r="H2148" s="6" t="e">
        <f>VLOOKUP('Customer Info'!A2140,'Customer Info'!A2140:I2640,3,FALSE)</f>
        <v>#N/A</v>
      </c>
      <c r="I2148" s="6" t="e">
        <f>VLOOKUP('Customer Info'!A2140,'Customer Info'!A2140:I2639,5,FALSE)</f>
        <v>#N/A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14</v>
      </c>
      <c r="R2148" s="2" t="s">
        <v>28</v>
      </c>
      <c r="S2148" s="9">
        <f t="shared" si="169"/>
        <v>0.02</v>
      </c>
    </row>
    <row r="2149" spans="1:19" x14ac:dyDescent="0.25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e">
        <f>VLOOKUP('Customer Info'!A2141,'Customer Info'!A2141:I2640,2,FALSE)</f>
        <v>#N/A</v>
      </c>
      <c r="H2149" s="6" t="e">
        <f>VLOOKUP('Customer Info'!A2141,'Customer Info'!A2141:I2641,3,FALSE)</f>
        <v>#N/A</v>
      </c>
      <c r="I2149" s="6" t="e">
        <f>VLOOKUP('Customer Info'!A2141,'Customer Info'!A2141:I2640,5,FALSE)</f>
        <v>#N/A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69</v>
      </c>
      <c r="R2149" s="2" t="s">
        <v>28</v>
      </c>
      <c r="S2149" s="9">
        <f t="shared" si="169"/>
        <v>0.02</v>
      </c>
    </row>
    <row r="2150" spans="1:19" x14ac:dyDescent="0.25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e">
        <f>VLOOKUP('Customer Info'!A2142,'Customer Info'!A2142:I2641,2,FALSE)</f>
        <v>#N/A</v>
      </c>
      <c r="H2150" s="6" t="e">
        <f>VLOOKUP('Customer Info'!A2142,'Customer Info'!A2142:I2642,3,FALSE)</f>
        <v>#N/A</v>
      </c>
      <c r="I2150" s="6" t="e">
        <f>VLOOKUP('Customer Info'!A2142,'Customer Info'!A2142:I2641,5,FALSE)</f>
        <v>#N/A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43</v>
      </c>
      <c r="R2150" s="2" t="s">
        <v>28</v>
      </c>
      <c r="S2150" s="9">
        <f t="shared" si="169"/>
        <v>0.02</v>
      </c>
    </row>
    <row r="2151" spans="1:19" x14ac:dyDescent="0.25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e">
        <f>VLOOKUP('Customer Info'!A2143,'Customer Info'!A2143:I2642,2,FALSE)</f>
        <v>#N/A</v>
      </c>
      <c r="H2151" s="6" t="e">
        <f>VLOOKUP('Customer Info'!A2143,'Customer Info'!A2143:I2643,3,FALSE)</f>
        <v>#N/A</v>
      </c>
      <c r="I2151" s="6" t="e">
        <f>VLOOKUP('Customer Info'!A2143,'Customer Info'!A2143:I2642,5,FALSE)</f>
        <v>#N/A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1160</v>
      </c>
      <c r="R2151" s="2" t="s">
        <v>50</v>
      </c>
      <c r="S2151" s="9">
        <f t="shared" si="169"/>
        <v>0.05</v>
      </c>
    </row>
    <row r="2152" spans="1:19" x14ac:dyDescent="0.25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e">
        <f>VLOOKUP('Customer Info'!A2144,'Customer Info'!A2144:I2643,2,FALSE)</f>
        <v>#N/A</v>
      </c>
      <c r="H2152" s="6" t="e">
        <f>VLOOKUP('Customer Info'!A2144,'Customer Info'!A2144:I2644,3,FALSE)</f>
        <v>#N/A</v>
      </c>
      <c r="I2152" s="6" t="e">
        <f>VLOOKUP('Customer Info'!A2144,'Customer Info'!A2144:I2643,5,FALSE)</f>
        <v>#N/A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140</v>
      </c>
      <c r="R2152" s="2" t="s">
        <v>28</v>
      </c>
      <c r="S2152" s="9">
        <f t="shared" si="169"/>
        <v>0.02</v>
      </c>
    </row>
    <row r="2153" spans="1:19" x14ac:dyDescent="0.25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e">
        <f>VLOOKUP('Customer Info'!A2145,'Customer Info'!A2145:I2644,2,FALSE)</f>
        <v>#N/A</v>
      </c>
      <c r="H2153" s="6" t="e">
        <f>VLOOKUP('Customer Info'!A2145,'Customer Info'!A2145:I2645,3,FALSE)</f>
        <v>#N/A</v>
      </c>
      <c r="I2153" s="6" t="e">
        <f>VLOOKUP('Customer Info'!A2145,'Customer Info'!A2145:I2644,5,FALSE)</f>
        <v>#N/A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2638</v>
      </c>
      <c r="R2153" s="2" t="s">
        <v>28</v>
      </c>
      <c r="S2153" s="9">
        <f t="shared" si="169"/>
        <v>7.0000000000000007E-2</v>
      </c>
    </row>
    <row r="2154" spans="1:19" x14ac:dyDescent="0.25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e">
        <f>VLOOKUP('Customer Info'!A2146,'Customer Info'!A2146:I2645,2,FALSE)</f>
        <v>#N/A</v>
      </c>
      <c r="H2154" s="6" t="e">
        <f>VLOOKUP('Customer Info'!A2146,'Customer Info'!A2146:I2646,3,FALSE)</f>
        <v>#N/A</v>
      </c>
      <c r="I2154" s="6" t="e">
        <f>VLOOKUP('Customer Info'!A2146,'Customer Info'!A2146:I2645,5,FALSE)</f>
        <v>#N/A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778</v>
      </c>
      <c r="R2154" s="2" t="s">
        <v>50</v>
      </c>
      <c r="S2154" s="9">
        <f t="shared" si="169"/>
        <v>0.05</v>
      </c>
    </row>
    <row r="2155" spans="1:19" x14ac:dyDescent="0.25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e">
        <f>VLOOKUP('Customer Info'!A2147,'Customer Info'!A2147:I2646,2,FALSE)</f>
        <v>#N/A</v>
      </c>
      <c r="H2155" s="6" t="e">
        <f>VLOOKUP('Customer Info'!A2147,'Customer Info'!A2147:I2647,3,FALSE)</f>
        <v>#N/A</v>
      </c>
      <c r="I2155" s="6" t="e">
        <f>VLOOKUP('Customer Info'!A2147,'Customer Info'!A2147:I2646,5,FALSE)</f>
        <v>#N/A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2040</v>
      </c>
      <c r="R2155" s="2" t="s">
        <v>28</v>
      </c>
      <c r="S2155" s="9">
        <f t="shared" si="169"/>
        <v>7.0000000000000007E-2</v>
      </c>
    </row>
    <row r="2156" spans="1:19" x14ac:dyDescent="0.25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e">
        <f>VLOOKUP('Customer Info'!A2148,'Customer Info'!A2148:I2647,2,FALSE)</f>
        <v>#N/A</v>
      </c>
      <c r="H2156" s="6" t="e">
        <f>VLOOKUP('Customer Info'!A2148,'Customer Info'!A2148:I2648,3,FALSE)</f>
        <v>#N/A</v>
      </c>
      <c r="I2156" s="6" t="e">
        <f>VLOOKUP('Customer Info'!A2148,'Customer Info'!A2148:I2647,5,FALSE)</f>
        <v>#N/A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189</v>
      </c>
      <c r="R2156" s="2" t="s">
        <v>50</v>
      </c>
      <c r="S2156" s="9">
        <f t="shared" si="169"/>
        <v>0.02</v>
      </c>
    </row>
    <row r="2157" spans="1:19" x14ac:dyDescent="0.25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e">
        <f>VLOOKUP('Customer Info'!A2149,'Customer Info'!A2149:I2648,2,FALSE)</f>
        <v>#N/A</v>
      </c>
      <c r="H2157" s="6" t="e">
        <f>VLOOKUP('Customer Info'!A2149,'Customer Info'!A2149:I2649,3,FALSE)</f>
        <v>#N/A</v>
      </c>
      <c r="I2157" s="6" t="e">
        <f>VLOOKUP('Customer Info'!A2149,'Customer Info'!A2149:I2648,5,FALSE)</f>
        <v>#N/A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8646</v>
      </c>
      <c r="R2157" s="2" t="s">
        <v>50</v>
      </c>
      <c r="S2157" s="9">
        <f t="shared" si="169"/>
        <v>0.12</v>
      </c>
    </row>
    <row r="2158" spans="1:19" x14ac:dyDescent="0.25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e">
        <f>VLOOKUP('Customer Info'!A2150,'Customer Info'!A2150:I2649,2,FALSE)</f>
        <v>#N/A</v>
      </c>
      <c r="H2158" s="6" t="e">
        <f>VLOOKUP('Customer Info'!A2150,'Customer Info'!A2150:I2650,3,FALSE)</f>
        <v>#N/A</v>
      </c>
      <c r="I2158" s="6" t="e">
        <f>VLOOKUP('Customer Info'!A2150,'Customer Info'!A2150:I2649,5,FALSE)</f>
        <v>#N/A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635</v>
      </c>
      <c r="R2158" s="2" t="s">
        <v>26</v>
      </c>
      <c r="S2158" s="9">
        <f t="shared" si="169"/>
        <v>0.05</v>
      </c>
    </row>
    <row r="2159" spans="1:19" x14ac:dyDescent="0.25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e">
        <f>VLOOKUP('Customer Info'!A2151,'Customer Info'!A2151:I2650,2,FALSE)</f>
        <v>#N/A</v>
      </c>
      <c r="H2159" s="6" t="e">
        <f>VLOOKUP('Customer Info'!A2151,'Customer Info'!A2151:I2651,3,FALSE)</f>
        <v>#N/A</v>
      </c>
      <c r="I2159" s="6" t="e">
        <f>VLOOKUP('Customer Info'!A2151,'Customer Info'!A2151:I2650,5,FALSE)</f>
        <v>#N/A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346</v>
      </c>
      <c r="R2159" s="2" t="s">
        <v>28</v>
      </c>
      <c r="S2159" s="9">
        <f t="shared" si="169"/>
        <v>0.02</v>
      </c>
    </row>
    <row r="2160" spans="1:19" x14ac:dyDescent="0.25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e">
        <f>VLOOKUP('Customer Info'!A2152,'Customer Info'!A2152:I2651,2,FALSE)</f>
        <v>#N/A</v>
      </c>
      <c r="H2160" s="6" t="e">
        <f>VLOOKUP('Customer Info'!A2152,'Customer Info'!A2152:I2652,3,FALSE)</f>
        <v>#N/A</v>
      </c>
      <c r="I2160" s="6" t="e">
        <f>VLOOKUP('Customer Info'!A2152,'Customer Info'!A2152:I2651,5,FALSE)</f>
        <v>#N/A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354</v>
      </c>
      <c r="R2160" s="2" t="s">
        <v>28</v>
      </c>
      <c r="S2160" s="9">
        <f t="shared" si="169"/>
        <v>0.05</v>
      </c>
    </row>
    <row r="2161" spans="1:19" x14ac:dyDescent="0.25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e">
        <f>VLOOKUP('Customer Info'!A2153,'Customer Info'!A2153:I2652,2,FALSE)</f>
        <v>#N/A</v>
      </c>
      <c r="H2161" s="6" t="e">
        <f>VLOOKUP('Customer Info'!A2153,'Customer Info'!A2153:I2653,3,FALSE)</f>
        <v>#N/A</v>
      </c>
      <c r="I2161" s="6" t="e">
        <f>VLOOKUP('Customer Info'!A2153,'Customer Info'!A2153:I2652,5,FALSE)</f>
        <v>#N/A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1056</v>
      </c>
      <c r="R2161" s="2" t="s">
        <v>28</v>
      </c>
      <c r="S2161" s="9">
        <f t="shared" si="169"/>
        <v>0.05</v>
      </c>
    </row>
    <row r="2162" spans="1:19" x14ac:dyDescent="0.25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e">
        <f>VLOOKUP('Customer Info'!A2154,'Customer Info'!A2154:I2653,2,FALSE)</f>
        <v>#N/A</v>
      </c>
      <c r="H2162" s="6" t="e">
        <f>VLOOKUP('Customer Info'!A2154,'Customer Info'!A2154:I2654,3,FALSE)</f>
        <v>#N/A</v>
      </c>
      <c r="I2162" s="6" t="e">
        <f>VLOOKUP('Customer Info'!A2154,'Customer Info'!A2154:I2653,5,FALSE)</f>
        <v>#N/A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1469</v>
      </c>
      <c r="R2162" s="2" t="s">
        <v>28</v>
      </c>
      <c r="S2162" s="9">
        <f t="shared" si="169"/>
        <v>0.05</v>
      </c>
    </row>
    <row r="2163" spans="1:19" x14ac:dyDescent="0.25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e">
        <f>VLOOKUP('Customer Info'!A2155,'Customer Info'!A2155:I2654,2,FALSE)</f>
        <v>#N/A</v>
      </c>
      <c r="H2163" s="6" t="e">
        <f>VLOOKUP('Customer Info'!A2155,'Customer Info'!A2155:I2655,3,FALSE)</f>
        <v>#N/A</v>
      </c>
      <c r="I2163" s="6" t="e">
        <f>VLOOKUP('Customer Info'!A2155,'Customer Info'!A2155:I2654,5,FALSE)</f>
        <v>#N/A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2584</v>
      </c>
      <c r="R2163" s="2" t="s">
        <v>28</v>
      </c>
      <c r="S2163" s="9">
        <f t="shared" si="169"/>
        <v>0.05</v>
      </c>
    </row>
    <row r="2164" spans="1:19" x14ac:dyDescent="0.25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e">
        <f>VLOOKUP('Customer Info'!A2156,'Customer Info'!A2156:I2655,2,FALSE)</f>
        <v>#N/A</v>
      </c>
      <c r="H2164" s="6" t="e">
        <f>VLOOKUP('Customer Info'!A2156,'Customer Info'!A2156:I2656,3,FALSE)</f>
        <v>#N/A</v>
      </c>
      <c r="I2164" s="6" t="e">
        <f>VLOOKUP('Customer Info'!A2156,'Customer Info'!A2156:I2655,5,FALSE)</f>
        <v>#N/A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30</v>
      </c>
      <c r="R2164" s="2" t="s">
        <v>28</v>
      </c>
      <c r="S2164" s="9">
        <f t="shared" si="169"/>
        <v>0.02</v>
      </c>
    </row>
    <row r="2165" spans="1:19" x14ac:dyDescent="0.25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e">
        <f>VLOOKUP('Customer Info'!A2157,'Customer Info'!A2157:I2656,2,FALSE)</f>
        <v>#N/A</v>
      </c>
      <c r="H2165" s="6" t="e">
        <f>VLOOKUP('Customer Info'!A2157,'Customer Info'!A2157:I2657,3,FALSE)</f>
        <v>#N/A</v>
      </c>
      <c r="I2165" s="6" t="e">
        <f>VLOOKUP('Customer Info'!A2157,'Customer Info'!A2157:I2656,5,FALSE)</f>
        <v>#N/A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1761</v>
      </c>
      <c r="R2165" s="2" t="s">
        <v>50</v>
      </c>
      <c r="S2165" s="9">
        <f t="shared" si="169"/>
        <v>0.05</v>
      </c>
    </row>
    <row r="2166" spans="1:19" x14ac:dyDescent="0.25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e">
        <f>VLOOKUP('Customer Info'!A2158,'Customer Info'!A2158:I2657,2,FALSE)</f>
        <v>#N/A</v>
      </c>
      <c r="H2166" s="6" t="e">
        <f>VLOOKUP('Customer Info'!A2158,'Customer Info'!A2158:I2658,3,FALSE)</f>
        <v>#N/A</v>
      </c>
      <c r="I2166" s="6" t="e">
        <f>VLOOKUP('Customer Info'!A2158,'Customer Info'!A2158:I2657,5,FALSE)</f>
        <v>#N/A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17972</v>
      </c>
      <c r="R2166" s="2" t="s">
        <v>50</v>
      </c>
      <c r="S2166" s="9">
        <f t="shared" si="169"/>
        <v>0.12</v>
      </c>
    </row>
    <row r="2167" spans="1:19" x14ac:dyDescent="0.25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e">
        <f>VLOOKUP('Customer Info'!A2159,'Customer Info'!A2159:I2658,2,FALSE)</f>
        <v>#N/A</v>
      </c>
      <c r="H2167" s="6" t="e">
        <f>VLOOKUP('Customer Info'!A2159,'Customer Info'!A2159:I2659,3,FALSE)</f>
        <v>#N/A</v>
      </c>
      <c r="I2167" s="6" t="e">
        <f>VLOOKUP('Customer Info'!A2159,'Customer Info'!A2159:I2658,5,FALSE)</f>
        <v>#N/A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166</v>
      </c>
      <c r="R2167" s="2" t="s">
        <v>28</v>
      </c>
      <c r="S2167" s="9">
        <f t="shared" si="169"/>
        <v>0.02</v>
      </c>
    </row>
    <row r="2168" spans="1:19" x14ac:dyDescent="0.25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e">
        <f>VLOOKUP('Customer Info'!A2160,'Customer Info'!A2160:I2659,2,FALSE)</f>
        <v>#N/A</v>
      </c>
      <c r="H2168" s="6" t="e">
        <f>VLOOKUP('Customer Info'!A2160,'Customer Info'!A2160:I2660,3,FALSE)</f>
        <v>#N/A</v>
      </c>
      <c r="I2168" s="6" t="e">
        <f>VLOOKUP('Customer Info'!A2160,'Customer Info'!A2160:I2659,5,FALSE)</f>
        <v>#N/A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434</v>
      </c>
      <c r="R2168" s="2" t="s">
        <v>28</v>
      </c>
      <c r="S2168" s="9">
        <f t="shared" si="169"/>
        <v>0.02</v>
      </c>
    </row>
    <row r="2169" spans="1:19" x14ac:dyDescent="0.25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e">
        <f>VLOOKUP('Customer Info'!A2161,'Customer Info'!A2161:I2660,2,FALSE)</f>
        <v>#N/A</v>
      </c>
      <c r="H2169" s="6" t="e">
        <f>VLOOKUP('Customer Info'!A2161,'Customer Info'!A2161:I2661,3,FALSE)</f>
        <v>#N/A</v>
      </c>
      <c r="I2169" s="6" t="e">
        <f>VLOOKUP('Customer Info'!A2161,'Customer Info'!A2161:I2660,5,FALSE)</f>
        <v>#N/A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3048</v>
      </c>
      <c r="R2169" s="2" t="s">
        <v>28</v>
      </c>
      <c r="S2169" s="9">
        <f t="shared" si="169"/>
        <v>0.09</v>
      </c>
    </row>
    <row r="2170" spans="1:19" x14ac:dyDescent="0.25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e">
        <f>VLOOKUP('Customer Info'!A2162,'Customer Info'!A2162:I2661,2,FALSE)</f>
        <v>#N/A</v>
      </c>
      <c r="H2170" s="6" t="e">
        <f>VLOOKUP('Customer Info'!A2162,'Customer Info'!A2162:I2662,3,FALSE)</f>
        <v>#N/A</v>
      </c>
      <c r="I2170" s="6" t="e">
        <f>VLOOKUP('Customer Info'!A2162,'Customer Info'!A2162:I2661,5,FALSE)</f>
        <v>#N/A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161</v>
      </c>
      <c r="R2170" s="2" t="s">
        <v>28</v>
      </c>
      <c r="S2170" s="9">
        <f t="shared" si="169"/>
        <v>0.02</v>
      </c>
    </row>
    <row r="2171" spans="1:19" x14ac:dyDescent="0.25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e">
        <f>VLOOKUP('Customer Info'!A2163,'Customer Info'!A2163:I2662,2,FALSE)</f>
        <v>#N/A</v>
      </c>
      <c r="H2171" s="6" t="e">
        <f>VLOOKUP('Customer Info'!A2163,'Customer Info'!A2163:I2663,3,FALSE)</f>
        <v>#N/A</v>
      </c>
      <c r="I2171" s="6" t="e">
        <f>VLOOKUP('Customer Info'!A2163,'Customer Info'!A2163:I2662,5,FALSE)</f>
        <v>#N/A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316</v>
      </c>
      <c r="R2171" s="2" t="s">
        <v>50</v>
      </c>
      <c r="S2171" s="9">
        <f t="shared" si="169"/>
        <v>0.02</v>
      </c>
    </row>
    <row r="2172" spans="1:19" x14ac:dyDescent="0.25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e">
        <f>VLOOKUP('Customer Info'!A2164,'Customer Info'!A2164:I2663,2,FALSE)</f>
        <v>#N/A</v>
      </c>
      <c r="H2172" s="6" t="e">
        <f>VLOOKUP('Customer Info'!A2164,'Customer Info'!A2164:I2664,3,FALSE)</f>
        <v>#N/A</v>
      </c>
      <c r="I2172" s="6" t="e">
        <f>VLOOKUP('Customer Info'!A2164,'Customer Info'!A2164:I2663,5,FALSE)</f>
        <v>#N/A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15</v>
      </c>
      <c r="R2172" s="2" t="s">
        <v>56</v>
      </c>
      <c r="S2172" s="9">
        <f t="shared" si="169"/>
        <v>0.02</v>
      </c>
    </row>
    <row r="2173" spans="1:19" x14ac:dyDescent="0.25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e">
        <f>VLOOKUP('Customer Info'!A2165,'Customer Info'!A2165:I2664,2,FALSE)</f>
        <v>#N/A</v>
      </c>
      <c r="H2173" s="6" t="e">
        <f>VLOOKUP('Customer Info'!A2165,'Customer Info'!A2165:I2665,3,FALSE)</f>
        <v>#N/A</v>
      </c>
      <c r="I2173" s="6" t="e">
        <f>VLOOKUP('Customer Info'!A2165,'Customer Info'!A2165:I2664,5,FALSE)</f>
        <v>#N/A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42</v>
      </c>
      <c r="R2173" s="2" t="s">
        <v>50</v>
      </c>
      <c r="S2173" s="9">
        <f t="shared" si="169"/>
        <v>0.02</v>
      </c>
    </row>
    <row r="2174" spans="1:19" x14ac:dyDescent="0.25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e">
        <f>VLOOKUP('Customer Info'!A2166,'Customer Info'!A2166:I2665,2,FALSE)</f>
        <v>#N/A</v>
      </c>
      <c r="H2174" s="6" t="e">
        <f>VLOOKUP('Customer Info'!A2166,'Customer Info'!A2166:I2666,3,FALSE)</f>
        <v>#N/A</v>
      </c>
      <c r="I2174" s="6" t="e">
        <f>VLOOKUP('Customer Info'!A2166,'Customer Info'!A2166:I2665,5,FALSE)</f>
        <v>#N/A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2196</v>
      </c>
      <c r="R2174" s="2" t="s">
        <v>28</v>
      </c>
      <c r="S2174" s="9">
        <f t="shared" si="169"/>
        <v>7.0000000000000007E-2</v>
      </c>
    </row>
    <row r="2175" spans="1:19" x14ac:dyDescent="0.25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e">
        <f>VLOOKUP('Customer Info'!A2167,'Customer Info'!A2167:I2666,2,FALSE)</f>
        <v>#N/A</v>
      </c>
      <c r="H2175" s="6" t="e">
        <f>VLOOKUP('Customer Info'!A2167,'Customer Info'!A2167:I2667,3,FALSE)</f>
        <v>#N/A</v>
      </c>
      <c r="I2175" s="6" t="e">
        <f>VLOOKUP('Customer Info'!A2167,'Customer Info'!A2167:I2666,5,FALSE)</f>
        <v>#N/A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85</v>
      </c>
      <c r="R2175" s="2" t="s">
        <v>28</v>
      </c>
      <c r="S2175" s="9">
        <f t="shared" si="169"/>
        <v>0.02</v>
      </c>
    </row>
    <row r="2176" spans="1:19" x14ac:dyDescent="0.25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e">
        <f>VLOOKUP('Customer Info'!A2168,'Customer Info'!A2168:I2667,2,FALSE)</f>
        <v>#N/A</v>
      </c>
      <c r="H2176" s="6" t="e">
        <f>VLOOKUP('Customer Info'!A2168,'Customer Info'!A2168:I2668,3,FALSE)</f>
        <v>#N/A</v>
      </c>
      <c r="I2176" s="6" t="e">
        <f>VLOOKUP('Customer Info'!A2168,'Customer Info'!A2168:I2667,5,FALSE)</f>
        <v>#N/A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74</v>
      </c>
      <c r="R2176" s="2" t="s">
        <v>26</v>
      </c>
      <c r="S2176" s="9">
        <f t="shared" si="169"/>
        <v>0.02</v>
      </c>
    </row>
    <row r="2177" spans="1:19" x14ac:dyDescent="0.25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e">
        <f>VLOOKUP('Customer Info'!A2169,'Customer Info'!A2169:I2668,2,FALSE)</f>
        <v>#N/A</v>
      </c>
      <c r="H2177" s="6" t="e">
        <f>VLOOKUP('Customer Info'!A2169,'Customer Info'!A2169:I2669,3,FALSE)</f>
        <v>#N/A</v>
      </c>
      <c r="I2177" s="6" t="e">
        <f>VLOOKUP('Customer Info'!A2169,'Customer Info'!A2169:I2668,5,FALSE)</f>
        <v>#N/A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126</v>
      </c>
      <c r="R2177" s="2" t="s">
        <v>28</v>
      </c>
      <c r="S2177" s="9">
        <f t="shared" si="169"/>
        <v>0.02</v>
      </c>
    </row>
    <row r="2178" spans="1:19" x14ac:dyDescent="0.25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e">
        <f>VLOOKUP('Customer Info'!A2170,'Customer Info'!A2170:I2669,2,FALSE)</f>
        <v>#N/A</v>
      </c>
      <c r="H2178" s="6" t="e">
        <f>VLOOKUP('Customer Info'!A2170,'Customer Info'!A2170:I2670,3,FALSE)</f>
        <v>#N/A</v>
      </c>
      <c r="I2178" s="6" t="e">
        <f>VLOOKUP('Customer Info'!A2170,'Customer Info'!A2170:I2669,5,FALSE)</f>
        <v>#N/A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30</v>
      </c>
      <c r="R2178" s="2" t="s">
        <v>28</v>
      </c>
      <c r="S2178" s="9">
        <f t="shared" si="169"/>
        <v>0.02</v>
      </c>
    </row>
    <row r="2179" spans="1:19" x14ac:dyDescent="0.25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e">
        <f>VLOOKUP('Customer Info'!A2171,'Customer Info'!A2171:I2670,2,FALSE)</f>
        <v>#N/A</v>
      </c>
      <c r="H2179" s="6" t="e">
        <f>VLOOKUP('Customer Info'!A2171,'Customer Info'!A2171:I2671,3,FALSE)</f>
        <v>#N/A</v>
      </c>
      <c r="I2179" s="6" t="e">
        <f>VLOOKUP('Customer Info'!A2171,'Customer Info'!A2171:I2670,5,FALSE)</f>
        <v>#N/A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280</v>
      </c>
      <c r="R2179" s="2" t="s">
        <v>28</v>
      </c>
      <c r="S2179" s="9">
        <f t="shared" si="169"/>
        <v>0.02</v>
      </c>
    </row>
    <row r="2180" spans="1:19" x14ac:dyDescent="0.25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e">
        <f>VLOOKUP('Customer Info'!A2172,'Customer Info'!A2172:I2671,2,FALSE)</f>
        <v>#N/A</v>
      </c>
      <c r="H2180" s="6" t="e">
        <f>VLOOKUP('Customer Info'!A2172,'Customer Info'!A2172:I2672,3,FALSE)</f>
        <v>#N/A</v>
      </c>
      <c r="I2180" s="6" t="e">
        <f>VLOOKUP('Customer Info'!A2172,'Customer Info'!A2172:I2671,5,FALSE)</f>
        <v>#N/A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2623</v>
      </c>
      <c r="R2180" s="2" t="s">
        <v>28</v>
      </c>
      <c r="S2180" s="9">
        <f t="shared" si="169"/>
        <v>7.0000000000000007E-2</v>
      </c>
    </row>
    <row r="2181" spans="1:19" x14ac:dyDescent="0.25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e">
        <f>VLOOKUP('Customer Info'!A2173,'Customer Info'!A2173:I2672,2,FALSE)</f>
        <v>#N/A</v>
      </c>
      <c r="H2181" s="6" t="e">
        <f>VLOOKUP('Customer Info'!A2173,'Customer Info'!A2173:I2673,3,FALSE)</f>
        <v>#N/A</v>
      </c>
      <c r="I2181" s="6" t="e">
        <f>VLOOKUP('Customer Info'!A2173,'Customer Info'!A2173:I2672,5,FALSE)</f>
        <v>#N/A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254</v>
      </c>
      <c r="R2181" s="2" t="s">
        <v>28</v>
      </c>
      <c r="S2181" s="9">
        <f t="shared" si="169"/>
        <v>0.02</v>
      </c>
    </row>
    <row r="2182" spans="1:19" x14ac:dyDescent="0.25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e">
        <f>VLOOKUP('Customer Info'!A2174,'Customer Info'!A2174:I2673,2,FALSE)</f>
        <v>#N/A</v>
      </c>
      <c r="H2182" s="6" t="e">
        <f>VLOOKUP('Customer Info'!A2174,'Customer Info'!A2174:I2674,3,FALSE)</f>
        <v>#N/A</v>
      </c>
      <c r="I2182" s="6" t="e">
        <f>VLOOKUP('Customer Info'!A2174,'Customer Info'!A2174:I2673,5,FALSE)</f>
        <v>#N/A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477</v>
      </c>
      <c r="R2182" s="2" t="s">
        <v>28</v>
      </c>
      <c r="S2182" s="9">
        <f t="shared" si="169"/>
        <v>0.05</v>
      </c>
    </row>
    <row r="2183" spans="1:19" x14ac:dyDescent="0.25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e">
        <f>VLOOKUP('Customer Info'!A2175,'Customer Info'!A2175:I2674,2,FALSE)</f>
        <v>#N/A</v>
      </c>
      <c r="H2183" s="6" t="e">
        <f>VLOOKUP('Customer Info'!A2175,'Customer Info'!A2175:I2675,3,FALSE)</f>
        <v>#N/A</v>
      </c>
      <c r="I2183" s="6" t="e">
        <f>VLOOKUP('Customer Info'!A2175,'Customer Info'!A2175:I2674,5,FALSE)</f>
        <v>#N/A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680</v>
      </c>
      <c r="R2183" s="2" t="s">
        <v>26</v>
      </c>
      <c r="S2183" s="9">
        <f t="shared" si="169"/>
        <v>0.05</v>
      </c>
    </row>
    <row r="2184" spans="1:19" x14ac:dyDescent="0.25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e">
        <f>VLOOKUP('Customer Info'!A2176,'Customer Info'!A2176:I2675,2,FALSE)</f>
        <v>#N/A</v>
      </c>
      <c r="H2184" s="6" t="e">
        <f>VLOOKUP('Customer Info'!A2176,'Customer Info'!A2176:I2676,3,FALSE)</f>
        <v>#N/A</v>
      </c>
      <c r="I2184" s="6" t="e">
        <f>VLOOKUP('Customer Info'!A2176,'Customer Info'!A2176:I2675,5,FALSE)</f>
        <v>#N/A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702</v>
      </c>
      <c r="R2184" s="2" t="s">
        <v>28</v>
      </c>
      <c r="S2184" s="9">
        <f t="shared" si="169"/>
        <v>0.05</v>
      </c>
    </row>
    <row r="2185" spans="1:19" x14ac:dyDescent="0.25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e">
        <f>VLOOKUP('Customer Info'!A2177,'Customer Info'!A2177:I2676,2,FALSE)</f>
        <v>#N/A</v>
      </c>
      <c r="H2185" s="6" t="e">
        <f>VLOOKUP('Customer Info'!A2177,'Customer Info'!A2177:I2677,3,FALSE)</f>
        <v>#N/A</v>
      </c>
      <c r="I2185" s="6" t="e">
        <f>VLOOKUP('Customer Info'!A2177,'Customer Info'!A2177:I2676,5,FALSE)</f>
        <v>#N/A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559</v>
      </c>
      <c r="R2185" s="2" t="s">
        <v>50</v>
      </c>
      <c r="S2185" s="9">
        <f t="shared" si="169"/>
        <v>0.02</v>
      </c>
    </row>
    <row r="2186" spans="1:19" x14ac:dyDescent="0.25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e">
        <f>VLOOKUP('Customer Info'!A2178,'Customer Info'!A2178:I2677,2,FALSE)</f>
        <v>#N/A</v>
      </c>
      <c r="H2186" s="6" t="e">
        <f>VLOOKUP('Customer Info'!A2178,'Customer Info'!A2178:I2678,3,FALSE)</f>
        <v>#N/A</v>
      </c>
      <c r="I2186" s="6" t="e">
        <f>VLOOKUP('Customer Info'!A2178,'Customer Info'!A2178:I2677,5,FALSE)</f>
        <v>#N/A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336</v>
      </c>
      <c r="R2186" s="2" t="s">
        <v>28</v>
      </c>
      <c r="S2186" s="9">
        <f t="shared" si="169"/>
        <v>0.05</v>
      </c>
    </row>
    <row r="2187" spans="1:19" x14ac:dyDescent="0.25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e">
        <f>VLOOKUP('Customer Info'!A2179,'Customer Info'!A2179:I2678,2,FALSE)</f>
        <v>#N/A</v>
      </c>
      <c r="H2187" s="6" t="e">
        <f>VLOOKUP('Customer Info'!A2179,'Customer Info'!A2179:I2679,3,FALSE)</f>
        <v>#N/A</v>
      </c>
      <c r="I2187" s="6" t="e">
        <f>VLOOKUP('Customer Info'!A2179,'Customer Info'!A2179:I2678,5,FALSE)</f>
        <v>#N/A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8">
        <f t="shared" ref="P2187:P2250" si="172">N2187+O2187</f>
        <v>8682</v>
      </c>
      <c r="Q2187" s="8">
        <f t="shared" ref="Q2187:Q2250" si="173">P2187-M2187</f>
        <v>782</v>
      </c>
      <c r="R2187" s="2" t="s">
        <v>50</v>
      </c>
      <c r="S2187" s="9">
        <f t="shared" ref="S2187:S2250" si="174">VLOOKUP(P2187,$T$2:$U$7,2,TRUE)</f>
        <v>0.05</v>
      </c>
    </row>
    <row r="2188" spans="1:19" x14ac:dyDescent="0.25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e">
        <f>VLOOKUP('Customer Info'!A2180,'Customer Info'!A2180:I2679,2,FALSE)</f>
        <v>#N/A</v>
      </c>
      <c r="H2188" s="6" t="e">
        <f>VLOOKUP('Customer Info'!A2180,'Customer Info'!A2180:I2680,3,FALSE)</f>
        <v>#N/A</v>
      </c>
      <c r="I2188" s="6" t="e">
        <f>VLOOKUP('Customer Info'!A2180,'Customer Info'!A2180:I2679,5,FALSE)</f>
        <v>#N/A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1297</v>
      </c>
      <c r="R2188" s="2" t="s">
        <v>28</v>
      </c>
      <c r="S2188" s="9">
        <f t="shared" si="174"/>
        <v>7.0000000000000007E-2</v>
      </c>
    </row>
    <row r="2189" spans="1:19" x14ac:dyDescent="0.25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e">
        <f>VLOOKUP('Customer Info'!A2181,'Customer Info'!A2181:I2680,2,FALSE)</f>
        <v>#N/A</v>
      </c>
      <c r="H2189" s="6" t="e">
        <f>VLOOKUP('Customer Info'!A2181,'Customer Info'!A2181:I2681,3,FALSE)</f>
        <v>#N/A</v>
      </c>
      <c r="I2189" s="6" t="e">
        <f>VLOOKUP('Customer Info'!A2181,'Customer Info'!A2181:I2680,5,FALSE)</f>
        <v>#N/A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308</v>
      </c>
      <c r="R2189" s="2" t="s">
        <v>28</v>
      </c>
      <c r="S2189" s="9">
        <f t="shared" si="174"/>
        <v>0.05</v>
      </c>
    </row>
    <row r="2190" spans="1:19" x14ac:dyDescent="0.25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e">
        <f>VLOOKUP('Customer Info'!A2182,'Customer Info'!A2182:I2681,2,FALSE)</f>
        <v>#N/A</v>
      </c>
      <c r="H2190" s="6" t="e">
        <f>VLOOKUP('Customer Info'!A2182,'Customer Info'!A2182:I2682,3,FALSE)</f>
        <v>#N/A</v>
      </c>
      <c r="I2190" s="6" t="e">
        <f>VLOOKUP('Customer Info'!A2182,'Customer Info'!A2182:I2681,5,FALSE)</f>
        <v>#N/A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823</v>
      </c>
      <c r="R2190" s="2" t="s">
        <v>28</v>
      </c>
      <c r="S2190" s="9">
        <f t="shared" si="174"/>
        <v>0.05</v>
      </c>
    </row>
    <row r="2191" spans="1:19" x14ac:dyDescent="0.25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e">
        <f>VLOOKUP('Customer Info'!A2183,'Customer Info'!A2183:I2682,2,FALSE)</f>
        <v>#N/A</v>
      </c>
      <c r="H2191" s="6" t="e">
        <f>VLOOKUP('Customer Info'!A2183,'Customer Info'!A2183:I2683,3,FALSE)</f>
        <v>#N/A</v>
      </c>
      <c r="I2191" s="6" t="e">
        <f>VLOOKUP('Customer Info'!A2183,'Customer Info'!A2183:I2682,5,FALSE)</f>
        <v>#N/A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400</v>
      </c>
      <c r="R2191" s="2" t="s">
        <v>28</v>
      </c>
      <c r="S2191" s="9">
        <f t="shared" si="174"/>
        <v>0.05</v>
      </c>
    </row>
    <row r="2192" spans="1:19" x14ac:dyDescent="0.25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e">
        <f>VLOOKUP('Customer Info'!A2184,'Customer Info'!A2184:I2683,2,FALSE)</f>
        <v>#N/A</v>
      </c>
      <c r="H2192" s="6" t="e">
        <f>VLOOKUP('Customer Info'!A2184,'Customer Info'!A2184:I2684,3,FALSE)</f>
        <v>#N/A</v>
      </c>
      <c r="I2192" s="6" t="e">
        <f>VLOOKUP('Customer Info'!A2184,'Customer Info'!A2184:I2683,5,FALSE)</f>
        <v>#N/A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60</v>
      </c>
      <c r="R2192" s="2" t="s">
        <v>50</v>
      </c>
      <c r="S2192" s="9">
        <f t="shared" si="174"/>
        <v>0.02</v>
      </c>
    </row>
    <row r="2193" spans="1:19" x14ac:dyDescent="0.25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e">
        <f>VLOOKUP('Customer Info'!A2185,'Customer Info'!A2185:I2684,2,FALSE)</f>
        <v>#N/A</v>
      </c>
      <c r="H2193" s="6" t="e">
        <f>VLOOKUP('Customer Info'!A2185,'Customer Info'!A2185:I2685,3,FALSE)</f>
        <v>#N/A</v>
      </c>
      <c r="I2193" s="6" t="e">
        <f>VLOOKUP('Customer Info'!A2185,'Customer Info'!A2185:I2684,5,FALSE)</f>
        <v>#N/A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1226</v>
      </c>
      <c r="R2193" s="2" t="s">
        <v>26</v>
      </c>
      <c r="S2193" s="9">
        <f t="shared" si="174"/>
        <v>0.05</v>
      </c>
    </row>
    <row r="2194" spans="1:19" x14ac:dyDescent="0.25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e">
        <f>VLOOKUP('Customer Info'!A2186,'Customer Info'!A2186:I2685,2,FALSE)</f>
        <v>#N/A</v>
      </c>
      <c r="H2194" s="6" t="e">
        <f>VLOOKUP('Customer Info'!A2186,'Customer Info'!A2186:I2686,3,FALSE)</f>
        <v>#N/A</v>
      </c>
      <c r="I2194" s="6" t="e">
        <f>VLOOKUP('Customer Info'!A2186,'Customer Info'!A2186:I2685,5,FALSE)</f>
        <v>#N/A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816</v>
      </c>
      <c r="R2194" s="2" t="s">
        <v>28</v>
      </c>
      <c r="S2194" s="9">
        <f t="shared" si="174"/>
        <v>0.05</v>
      </c>
    </row>
    <row r="2195" spans="1:19" x14ac:dyDescent="0.25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e">
        <f>VLOOKUP('Customer Info'!A2187,'Customer Info'!A2187:I2686,2,FALSE)</f>
        <v>#N/A</v>
      </c>
      <c r="H2195" s="6" t="e">
        <f>VLOOKUP('Customer Info'!A2187,'Customer Info'!A2187:I2687,3,FALSE)</f>
        <v>#N/A</v>
      </c>
      <c r="I2195" s="6" t="e">
        <f>VLOOKUP('Customer Info'!A2187,'Customer Info'!A2187:I2686,5,FALSE)</f>
        <v>#N/A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373</v>
      </c>
      <c r="R2195" s="2" t="s">
        <v>50</v>
      </c>
      <c r="S2195" s="9">
        <f t="shared" si="174"/>
        <v>0.02</v>
      </c>
    </row>
    <row r="2196" spans="1:19" x14ac:dyDescent="0.25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e">
        <f>VLOOKUP('Customer Info'!A2188,'Customer Info'!A2188:I2687,2,FALSE)</f>
        <v>#N/A</v>
      </c>
      <c r="H2196" s="6" t="e">
        <f>VLOOKUP('Customer Info'!A2188,'Customer Info'!A2188:I2688,3,FALSE)</f>
        <v>#N/A</v>
      </c>
      <c r="I2196" s="6" t="e">
        <f>VLOOKUP('Customer Info'!A2188,'Customer Info'!A2188:I2687,5,FALSE)</f>
        <v>#N/A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703</v>
      </c>
      <c r="R2196" s="2" t="s">
        <v>28</v>
      </c>
      <c r="S2196" s="9">
        <f t="shared" si="174"/>
        <v>0.05</v>
      </c>
    </row>
    <row r="2197" spans="1:19" x14ac:dyDescent="0.25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e">
        <f>VLOOKUP('Customer Info'!A2189,'Customer Info'!A2189:I2688,2,FALSE)</f>
        <v>#N/A</v>
      </c>
      <c r="H2197" s="6" t="e">
        <f>VLOOKUP('Customer Info'!A2189,'Customer Info'!A2189:I2689,3,FALSE)</f>
        <v>#N/A</v>
      </c>
      <c r="I2197" s="6" t="e">
        <f>VLOOKUP('Customer Info'!A2189,'Customer Info'!A2189:I2688,5,FALSE)</f>
        <v>#N/A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1853</v>
      </c>
      <c r="R2197" s="2" t="s">
        <v>50</v>
      </c>
      <c r="S2197" s="9">
        <f t="shared" si="174"/>
        <v>7.0000000000000007E-2</v>
      </c>
    </row>
    <row r="2198" spans="1:19" x14ac:dyDescent="0.25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e">
        <f>VLOOKUP('Customer Info'!A2190,'Customer Info'!A2190:I2689,2,FALSE)</f>
        <v>#N/A</v>
      </c>
      <c r="H2198" s="6" t="e">
        <f>VLOOKUP('Customer Info'!A2190,'Customer Info'!A2190:I2690,3,FALSE)</f>
        <v>#N/A</v>
      </c>
      <c r="I2198" s="6" t="e">
        <f>VLOOKUP('Customer Info'!A2190,'Customer Info'!A2190:I2689,5,FALSE)</f>
        <v>#N/A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1106</v>
      </c>
      <c r="R2198" s="2" t="s">
        <v>50</v>
      </c>
      <c r="S2198" s="9">
        <f t="shared" si="174"/>
        <v>0.05</v>
      </c>
    </row>
    <row r="2199" spans="1:19" x14ac:dyDescent="0.25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e">
        <f>VLOOKUP('Customer Info'!A2191,'Customer Info'!A2191:I2690,2,FALSE)</f>
        <v>#N/A</v>
      </c>
      <c r="H2199" s="6" t="e">
        <f>VLOOKUP('Customer Info'!A2191,'Customer Info'!A2191:I2691,3,FALSE)</f>
        <v>#N/A</v>
      </c>
      <c r="I2199" s="6" t="e">
        <f>VLOOKUP('Customer Info'!A2191,'Customer Info'!A2191:I2690,5,FALSE)</f>
        <v>#N/A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122</v>
      </c>
      <c r="R2199" s="2" t="s">
        <v>50</v>
      </c>
      <c r="S2199" s="9">
        <f t="shared" si="174"/>
        <v>0.02</v>
      </c>
    </row>
    <row r="2200" spans="1:19" x14ac:dyDescent="0.25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e">
        <f>VLOOKUP('Customer Info'!A2192,'Customer Info'!A2192:I2691,2,FALSE)</f>
        <v>#N/A</v>
      </c>
      <c r="H2200" s="6" t="e">
        <f>VLOOKUP('Customer Info'!A2192,'Customer Info'!A2192:I2692,3,FALSE)</f>
        <v>#N/A</v>
      </c>
      <c r="I2200" s="6" t="e">
        <f>VLOOKUP('Customer Info'!A2192,'Customer Info'!A2192:I2691,5,FALSE)</f>
        <v>#N/A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431</v>
      </c>
      <c r="R2200" s="2" t="s">
        <v>50</v>
      </c>
      <c r="S2200" s="9">
        <f t="shared" si="174"/>
        <v>0.05</v>
      </c>
    </row>
    <row r="2201" spans="1:19" x14ac:dyDescent="0.25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e">
        <f>VLOOKUP('Customer Info'!A2193,'Customer Info'!A2193:I2692,2,FALSE)</f>
        <v>#N/A</v>
      </c>
      <c r="H2201" s="6" t="e">
        <f>VLOOKUP('Customer Info'!A2193,'Customer Info'!A2193:I2693,3,FALSE)</f>
        <v>#N/A</v>
      </c>
      <c r="I2201" s="6" t="e">
        <f>VLOOKUP('Customer Info'!A2193,'Customer Info'!A2193:I2692,5,FALSE)</f>
        <v>#N/A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355</v>
      </c>
      <c r="R2201" s="2" t="s">
        <v>28</v>
      </c>
      <c r="S2201" s="9">
        <f t="shared" si="174"/>
        <v>0.02</v>
      </c>
    </row>
    <row r="2202" spans="1:19" x14ac:dyDescent="0.25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e">
        <f>VLOOKUP('Customer Info'!A2194,'Customer Info'!A2194:I2693,2,FALSE)</f>
        <v>#N/A</v>
      </c>
      <c r="H2202" s="6" t="e">
        <f>VLOOKUP('Customer Info'!A2194,'Customer Info'!A2194:I2694,3,FALSE)</f>
        <v>#N/A</v>
      </c>
      <c r="I2202" s="6" t="e">
        <f>VLOOKUP('Customer Info'!A2194,'Customer Info'!A2194:I2693,5,FALSE)</f>
        <v>#N/A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910</v>
      </c>
      <c r="R2202" s="2" t="s">
        <v>50</v>
      </c>
      <c r="S2202" s="9">
        <f t="shared" si="174"/>
        <v>0.05</v>
      </c>
    </row>
    <row r="2203" spans="1:19" x14ac:dyDescent="0.25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e">
        <f>VLOOKUP('Customer Info'!A2195,'Customer Info'!A2195:I2694,2,FALSE)</f>
        <v>#N/A</v>
      </c>
      <c r="H2203" s="6" t="e">
        <f>VLOOKUP('Customer Info'!A2195,'Customer Info'!A2195:I2695,3,FALSE)</f>
        <v>#N/A</v>
      </c>
      <c r="I2203" s="6" t="e">
        <f>VLOOKUP('Customer Info'!A2195,'Customer Info'!A2195:I2694,5,FALSE)</f>
        <v>#N/A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297</v>
      </c>
      <c r="R2203" s="2" t="s">
        <v>28</v>
      </c>
      <c r="S2203" s="9">
        <f t="shared" si="174"/>
        <v>0.02</v>
      </c>
    </row>
    <row r="2204" spans="1:19" x14ac:dyDescent="0.25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e">
        <f>VLOOKUP('Customer Info'!A2196,'Customer Info'!A2196:I2695,2,FALSE)</f>
        <v>#N/A</v>
      </c>
      <c r="H2204" s="6" t="e">
        <f>VLOOKUP('Customer Info'!A2196,'Customer Info'!A2196:I2696,3,FALSE)</f>
        <v>#N/A</v>
      </c>
      <c r="I2204" s="6" t="e">
        <f>VLOOKUP('Customer Info'!A2196,'Customer Info'!A2196:I2695,5,FALSE)</f>
        <v>#N/A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907</v>
      </c>
      <c r="R2204" s="2" t="s">
        <v>50</v>
      </c>
      <c r="S2204" s="9">
        <f t="shared" si="174"/>
        <v>0.05</v>
      </c>
    </row>
    <row r="2205" spans="1:19" x14ac:dyDescent="0.25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e">
        <f>VLOOKUP('Customer Info'!A2197,'Customer Info'!A2197:I2696,2,FALSE)</f>
        <v>#N/A</v>
      </c>
      <c r="H2205" s="6" t="e">
        <f>VLOOKUP('Customer Info'!A2197,'Customer Info'!A2197:I2697,3,FALSE)</f>
        <v>#N/A</v>
      </c>
      <c r="I2205" s="6" t="e">
        <f>VLOOKUP('Customer Info'!A2197,'Customer Info'!A2197:I2696,5,FALSE)</f>
        <v>#N/A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685</v>
      </c>
      <c r="R2205" s="2" t="s">
        <v>50</v>
      </c>
      <c r="S2205" s="9">
        <f t="shared" si="174"/>
        <v>0.05</v>
      </c>
    </row>
    <row r="2206" spans="1:19" x14ac:dyDescent="0.25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e">
        <f>VLOOKUP('Customer Info'!A2198,'Customer Info'!A2198:I2697,2,FALSE)</f>
        <v>#N/A</v>
      </c>
      <c r="H2206" s="6" t="e">
        <f>VLOOKUP('Customer Info'!A2198,'Customer Info'!A2198:I2698,3,FALSE)</f>
        <v>#N/A</v>
      </c>
      <c r="I2206" s="6" t="e">
        <f>VLOOKUP('Customer Info'!A2198,'Customer Info'!A2198:I2697,5,FALSE)</f>
        <v>#N/A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984</v>
      </c>
      <c r="R2206" s="2" t="s">
        <v>50</v>
      </c>
      <c r="S2206" s="9">
        <f t="shared" si="174"/>
        <v>0.05</v>
      </c>
    </row>
    <row r="2207" spans="1:19" x14ac:dyDescent="0.25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e">
        <f>VLOOKUP('Customer Info'!A2199,'Customer Info'!A2199:I2698,2,FALSE)</f>
        <v>#N/A</v>
      </c>
      <c r="H2207" s="6" t="e">
        <f>VLOOKUP('Customer Info'!A2199,'Customer Info'!A2199:I2699,3,FALSE)</f>
        <v>#N/A</v>
      </c>
      <c r="I2207" s="6" t="e">
        <f>VLOOKUP('Customer Info'!A2199,'Customer Info'!A2199:I2698,5,FALSE)</f>
        <v>#N/A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182</v>
      </c>
      <c r="R2207" s="2" t="s">
        <v>26</v>
      </c>
      <c r="S2207" s="9">
        <f t="shared" si="174"/>
        <v>0.02</v>
      </c>
    </row>
    <row r="2208" spans="1:19" x14ac:dyDescent="0.25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e">
        <f>VLOOKUP('Customer Info'!A2200,'Customer Info'!A2200:I2699,2,FALSE)</f>
        <v>#N/A</v>
      </c>
      <c r="H2208" s="6" t="e">
        <f>VLOOKUP('Customer Info'!A2200,'Customer Info'!A2200:I2700,3,FALSE)</f>
        <v>#N/A</v>
      </c>
      <c r="I2208" s="6" t="e">
        <f>VLOOKUP('Customer Info'!A2200,'Customer Info'!A2200:I2699,5,FALSE)</f>
        <v>#N/A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5778</v>
      </c>
      <c r="R2208" s="2" t="s">
        <v>28</v>
      </c>
      <c r="S2208" s="9">
        <f t="shared" si="174"/>
        <v>0.09</v>
      </c>
    </row>
    <row r="2209" spans="1:19" x14ac:dyDescent="0.25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e">
        <f>VLOOKUP('Customer Info'!A2201,'Customer Info'!A2201:I2700,2,FALSE)</f>
        <v>#N/A</v>
      </c>
      <c r="H2209" s="6" t="e">
        <f>VLOOKUP('Customer Info'!A2201,'Customer Info'!A2201:I2701,3,FALSE)</f>
        <v>#N/A</v>
      </c>
      <c r="I2209" s="6" t="e">
        <f>VLOOKUP('Customer Info'!A2201,'Customer Info'!A2201:I2700,5,FALSE)</f>
        <v>#N/A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380</v>
      </c>
      <c r="R2209" s="2" t="s">
        <v>28</v>
      </c>
      <c r="S2209" s="9">
        <f t="shared" si="174"/>
        <v>0.02</v>
      </c>
    </row>
    <row r="2210" spans="1:19" x14ac:dyDescent="0.25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e">
        <f>VLOOKUP('Customer Info'!A2202,'Customer Info'!A2202:I2701,2,FALSE)</f>
        <v>#N/A</v>
      </c>
      <c r="H2210" s="6" t="e">
        <f>VLOOKUP('Customer Info'!A2202,'Customer Info'!A2202:I2702,3,FALSE)</f>
        <v>#N/A</v>
      </c>
      <c r="I2210" s="6" t="e">
        <f>VLOOKUP('Customer Info'!A2202,'Customer Info'!A2202:I2701,5,FALSE)</f>
        <v>#N/A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22</v>
      </c>
      <c r="R2210" s="2" t="s">
        <v>28</v>
      </c>
      <c r="S2210" s="9">
        <f t="shared" si="174"/>
        <v>0.02</v>
      </c>
    </row>
    <row r="2211" spans="1:19" x14ac:dyDescent="0.25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e">
        <f>VLOOKUP('Customer Info'!A2203,'Customer Info'!A2203:I2702,2,FALSE)</f>
        <v>#N/A</v>
      </c>
      <c r="H2211" s="6" t="e">
        <f>VLOOKUP('Customer Info'!A2203,'Customer Info'!A2203:I2703,3,FALSE)</f>
        <v>#N/A</v>
      </c>
      <c r="I2211" s="6" t="e">
        <f>VLOOKUP('Customer Info'!A2203,'Customer Info'!A2203:I2702,5,FALSE)</f>
        <v>#N/A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126</v>
      </c>
      <c r="R2211" s="2" t="s">
        <v>28</v>
      </c>
      <c r="S2211" s="9">
        <f t="shared" si="174"/>
        <v>0.02</v>
      </c>
    </row>
    <row r="2212" spans="1:19" x14ac:dyDescent="0.25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e">
        <f>VLOOKUP('Customer Info'!A2204,'Customer Info'!A2204:I2703,2,FALSE)</f>
        <v>#N/A</v>
      </c>
      <c r="H2212" s="6" t="e">
        <f>VLOOKUP('Customer Info'!A2204,'Customer Info'!A2204:I2704,3,FALSE)</f>
        <v>#N/A</v>
      </c>
      <c r="I2212" s="6" t="e">
        <f>VLOOKUP('Customer Info'!A2204,'Customer Info'!A2204:I2703,5,FALSE)</f>
        <v>#N/A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945</v>
      </c>
      <c r="R2212" s="2" t="s">
        <v>26</v>
      </c>
      <c r="S2212" s="9">
        <f t="shared" si="174"/>
        <v>0.05</v>
      </c>
    </row>
    <row r="2213" spans="1:19" x14ac:dyDescent="0.25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e">
        <f>VLOOKUP('Customer Info'!A2205,'Customer Info'!A2205:I2704,2,FALSE)</f>
        <v>#N/A</v>
      </c>
      <c r="H2213" s="6" t="e">
        <f>VLOOKUP('Customer Info'!A2205,'Customer Info'!A2205:I2705,3,FALSE)</f>
        <v>#N/A</v>
      </c>
      <c r="I2213" s="6" t="e">
        <f>VLOOKUP('Customer Info'!A2205,'Customer Info'!A2205:I2704,5,FALSE)</f>
        <v>#N/A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2397</v>
      </c>
      <c r="R2213" s="2" t="s">
        <v>28</v>
      </c>
      <c r="S2213" s="9">
        <f t="shared" si="174"/>
        <v>0.05</v>
      </c>
    </row>
    <row r="2214" spans="1:19" x14ac:dyDescent="0.25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e">
        <f>VLOOKUP('Customer Info'!A2206,'Customer Info'!A2206:I2705,2,FALSE)</f>
        <v>#N/A</v>
      </c>
      <c r="H2214" s="6" t="e">
        <f>VLOOKUP('Customer Info'!A2206,'Customer Info'!A2206:I2706,3,FALSE)</f>
        <v>#N/A</v>
      </c>
      <c r="I2214" s="6" t="e">
        <f>VLOOKUP('Customer Info'!A2206,'Customer Info'!A2206:I2705,5,FALSE)</f>
        <v>#N/A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78</v>
      </c>
      <c r="R2214" s="2" t="s">
        <v>28</v>
      </c>
      <c r="S2214" s="9">
        <f t="shared" si="174"/>
        <v>0.02</v>
      </c>
    </row>
    <row r="2215" spans="1:19" x14ac:dyDescent="0.25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e">
        <f>VLOOKUP('Customer Info'!A2207,'Customer Info'!A2207:I2706,2,FALSE)</f>
        <v>#N/A</v>
      </c>
      <c r="H2215" s="6" t="e">
        <f>VLOOKUP('Customer Info'!A2207,'Customer Info'!A2207:I2707,3,FALSE)</f>
        <v>#N/A</v>
      </c>
      <c r="I2215" s="6" t="e">
        <f>VLOOKUP('Customer Info'!A2207,'Customer Info'!A2207:I2706,5,FALSE)</f>
        <v>#N/A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16</v>
      </c>
      <c r="R2215" s="2" t="s">
        <v>28</v>
      </c>
      <c r="S2215" s="9">
        <f t="shared" si="174"/>
        <v>0.02</v>
      </c>
    </row>
    <row r="2216" spans="1:19" x14ac:dyDescent="0.25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e">
        <f>VLOOKUP('Customer Info'!A2208,'Customer Info'!A2208:I2707,2,FALSE)</f>
        <v>#N/A</v>
      </c>
      <c r="H2216" s="6" t="e">
        <f>VLOOKUP('Customer Info'!A2208,'Customer Info'!A2208:I2708,3,FALSE)</f>
        <v>#N/A</v>
      </c>
      <c r="I2216" s="6" t="e">
        <f>VLOOKUP('Customer Info'!A2208,'Customer Info'!A2208:I2707,5,FALSE)</f>
        <v>#N/A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25</v>
      </c>
      <c r="R2216" s="2" t="s">
        <v>26</v>
      </c>
      <c r="S2216" s="9">
        <f t="shared" si="174"/>
        <v>0.02</v>
      </c>
    </row>
    <row r="2217" spans="1:19" x14ac:dyDescent="0.25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e">
        <f>VLOOKUP('Customer Info'!A2209,'Customer Info'!A2209:I2708,2,FALSE)</f>
        <v>#N/A</v>
      </c>
      <c r="H2217" s="6" t="e">
        <f>VLOOKUP('Customer Info'!A2209,'Customer Info'!A2209:I2709,3,FALSE)</f>
        <v>#N/A</v>
      </c>
      <c r="I2217" s="6" t="e">
        <f>VLOOKUP('Customer Info'!A2209,'Customer Info'!A2209:I2708,5,FALSE)</f>
        <v>#N/A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206</v>
      </c>
      <c r="R2217" s="2" t="s">
        <v>28</v>
      </c>
      <c r="S2217" s="9">
        <f t="shared" si="174"/>
        <v>0.02</v>
      </c>
    </row>
    <row r="2218" spans="1:19" x14ac:dyDescent="0.25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e">
        <f>VLOOKUP('Customer Info'!A2210,'Customer Info'!A2210:I2709,2,FALSE)</f>
        <v>#N/A</v>
      </c>
      <c r="H2218" s="6" t="e">
        <f>VLOOKUP('Customer Info'!A2210,'Customer Info'!A2210:I2710,3,FALSE)</f>
        <v>#N/A</v>
      </c>
      <c r="I2218" s="6" t="e">
        <f>VLOOKUP('Customer Info'!A2210,'Customer Info'!A2210:I2709,5,FALSE)</f>
        <v>#N/A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1360</v>
      </c>
      <c r="R2218" s="2" t="s">
        <v>26</v>
      </c>
      <c r="S2218" s="9">
        <f t="shared" si="174"/>
        <v>0.05</v>
      </c>
    </row>
    <row r="2219" spans="1:19" x14ac:dyDescent="0.25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e">
        <f>VLOOKUP('Customer Info'!A2211,'Customer Info'!A2211:I2710,2,FALSE)</f>
        <v>#N/A</v>
      </c>
      <c r="H2219" s="6" t="e">
        <f>VLOOKUP('Customer Info'!A2211,'Customer Info'!A2211:I2711,3,FALSE)</f>
        <v>#N/A</v>
      </c>
      <c r="I2219" s="6" t="e">
        <f>VLOOKUP('Customer Info'!A2211,'Customer Info'!A2211:I2710,5,FALSE)</f>
        <v>#N/A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15</v>
      </c>
      <c r="R2219" s="2" t="s">
        <v>28</v>
      </c>
      <c r="S2219" s="9">
        <f t="shared" si="174"/>
        <v>0.02</v>
      </c>
    </row>
    <row r="2220" spans="1:19" x14ac:dyDescent="0.25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e">
        <f>VLOOKUP('Customer Info'!A2212,'Customer Info'!A2212:I2711,2,FALSE)</f>
        <v>#N/A</v>
      </c>
      <c r="H2220" s="6" t="e">
        <f>VLOOKUP('Customer Info'!A2212,'Customer Info'!A2212:I2712,3,FALSE)</f>
        <v>#N/A</v>
      </c>
      <c r="I2220" s="6" t="e">
        <f>VLOOKUP('Customer Info'!A2212,'Customer Info'!A2212:I2711,5,FALSE)</f>
        <v>#N/A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45</v>
      </c>
      <c r="R2220" s="2" t="s">
        <v>28</v>
      </c>
      <c r="S2220" s="9">
        <f t="shared" si="174"/>
        <v>0.02</v>
      </c>
    </row>
    <row r="2221" spans="1:19" x14ac:dyDescent="0.25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e">
        <f>VLOOKUP('Customer Info'!A2213,'Customer Info'!A2213:I2712,2,FALSE)</f>
        <v>#N/A</v>
      </c>
      <c r="H2221" s="6" t="e">
        <f>VLOOKUP('Customer Info'!A2213,'Customer Info'!A2213:I2713,3,FALSE)</f>
        <v>#N/A</v>
      </c>
      <c r="I2221" s="6" t="e">
        <f>VLOOKUP('Customer Info'!A2213,'Customer Info'!A2213:I2712,5,FALSE)</f>
        <v>#N/A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20</v>
      </c>
      <c r="R2221" s="2" t="s">
        <v>50</v>
      </c>
      <c r="S2221" s="9">
        <f t="shared" si="174"/>
        <v>0.02</v>
      </c>
    </row>
    <row r="2222" spans="1:19" x14ac:dyDescent="0.25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e">
        <f>VLOOKUP('Customer Info'!A2214,'Customer Info'!A2214:I2713,2,FALSE)</f>
        <v>#N/A</v>
      </c>
      <c r="H2222" s="6" t="e">
        <f>VLOOKUP('Customer Info'!A2214,'Customer Info'!A2214:I2714,3,FALSE)</f>
        <v>#N/A</v>
      </c>
      <c r="I2222" s="6" t="e">
        <f>VLOOKUP('Customer Info'!A2214,'Customer Info'!A2214:I2713,5,FALSE)</f>
        <v>#N/A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845</v>
      </c>
      <c r="R2222" s="2" t="s">
        <v>50</v>
      </c>
      <c r="S2222" s="9">
        <f t="shared" si="174"/>
        <v>0.05</v>
      </c>
    </row>
    <row r="2223" spans="1:19" x14ac:dyDescent="0.25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e">
        <f>VLOOKUP('Customer Info'!A2215,'Customer Info'!A2215:I2714,2,FALSE)</f>
        <v>#N/A</v>
      </c>
      <c r="H2223" s="6" t="e">
        <f>VLOOKUP('Customer Info'!A2215,'Customer Info'!A2215:I2715,3,FALSE)</f>
        <v>#N/A</v>
      </c>
      <c r="I2223" s="6" t="e">
        <f>VLOOKUP('Customer Info'!A2215,'Customer Info'!A2215:I2714,5,FALSE)</f>
        <v>#N/A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192</v>
      </c>
      <c r="R2223" s="2" t="s">
        <v>28</v>
      </c>
      <c r="S2223" s="9">
        <f t="shared" si="174"/>
        <v>0.05</v>
      </c>
    </row>
    <row r="2224" spans="1:19" x14ac:dyDescent="0.25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e">
        <f>VLOOKUP('Customer Info'!A2216,'Customer Info'!A2216:I2715,2,FALSE)</f>
        <v>#N/A</v>
      </c>
      <c r="H2224" s="6" t="e">
        <f>VLOOKUP('Customer Info'!A2216,'Customer Info'!A2216:I2716,3,FALSE)</f>
        <v>#N/A</v>
      </c>
      <c r="I2224" s="6" t="e">
        <f>VLOOKUP('Customer Info'!A2216,'Customer Info'!A2216:I2715,5,FALSE)</f>
        <v>#N/A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55</v>
      </c>
      <c r="R2224" s="2" t="s">
        <v>28</v>
      </c>
      <c r="S2224" s="9">
        <f t="shared" si="174"/>
        <v>0.02</v>
      </c>
    </row>
    <row r="2225" spans="1:19" x14ac:dyDescent="0.25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e">
        <f>VLOOKUP('Customer Info'!A2217,'Customer Info'!A2217:I2716,2,FALSE)</f>
        <v>#N/A</v>
      </c>
      <c r="H2225" s="6" t="e">
        <f>VLOOKUP('Customer Info'!A2217,'Customer Info'!A2217:I2717,3,FALSE)</f>
        <v>#N/A</v>
      </c>
      <c r="I2225" s="6" t="e">
        <f>VLOOKUP('Customer Info'!A2217,'Customer Info'!A2217:I2716,5,FALSE)</f>
        <v>#N/A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154</v>
      </c>
      <c r="R2225" s="2" t="s">
        <v>26</v>
      </c>
      <c r="S2225" s="9">
        <f t="shared" si="174"/>
        <v>0.02</v>
      </c>
    </row>
    <row r="2226" spans="1:19" x14ac:dyDescent="0.25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e">
        <f>VLOOKUP('Customer Info'!A2218,'Customer Info'!A2218:I2717,2,FALSE)</f>
        <v>#N/A</v>
      </c>
      <c r="H2226" s="6" t="e">
        <f>VLOOKUP('Customer Info'!A2218,'Customer Info'!A2218:I2718,3,FALSE)</f>
        <v>#N/A</v>
      </c>
      <c r="I2226" s="6" t="e">
        <f>VLOOKUP('Customer Info'!A2218,'Customer Info'!A2218:I2717,5,FALSE)</f>
        <v>#N/A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592</v>
      </c>
      <c r="R2226" s="2" t="s">
        <v>28</v>
      </c>
      <c r="S2226" s="9">
        <f t="shared" si="174"/>
        <v>0.05</v>
      </c>
    </row>
    <row r="2227" spans="1:19" x14ac:dyDescent="0.25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e">
        <f>VLOOKUP('Customer Info'!A2219,'Customer Info'!A2219:I2718,2,FALSE)</f>
        <v>#N/A</v>
      </c>
      <c r="H2227" s="6" t="e">
        <f>VLOOKUP('Customer Info'!A2219,'Customer Info'!A2219:I2719,3,FALSE)</f>
        <v>#N/A</v>
      </c>
      <c r="I2227" s="6" t="e">
        <f>VLOOKUP('Customer Info'!A2219,'Customer Info'!A2219:I2718,5,FALSE)</f>
        <v>#N/A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1807</v>
      </c>
      <c r="R2227" s="2" t="s">
        <v>50</v>
      </c>
      <c r="S2227" s="9">
        <f t="shared" si="174"/>
        <v>0.05</v>
      </c>
    </row>
    <row r="2228" spans="1:19" x14ac:dyDescent="0.25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e">
        <f>VLOOKUP('Customer Info'!A2220,'Customer Info'!A2220:I2719,2,FALSE)</f>
        <v>#N/A</v>
      </c>
      <c r="H2228" s="6" t="e">
        <f>VLOOKUP('Customer Info'!A2220,'Customer Info'!A2220:I2720,3,FALSE)</f>
        <v>#N/A</v>
      </c>
      <c r="I2228" s="6" t="e">
        <f>VLOOKUP('Customer Info'!A2220,'Customer Info'!A2220:I2719,5,FALSE)</f>
        <v>#N/A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102</v>
      </c>
      <c r="R2228" s="2" t="s">
        <v>28</v>
      </c>
      <c r="S2228" s="9">
        <f t="shared" si="174"/>
        <v>0.02</v>
      </c>
    </row>
    <row r="2229" spans="1:19" x14ac:dyDescent="0.25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e">
        <f>VLOOKUP('Customer Info'!A2221,'Customer Info'!A2221:I2720,2,FALSE)</f>
        <v>#N/A</v>
      </c>
      <c r="H2229" s="6" t="e">
        <f>VLOOKUP('Customer Info'!A2221,'Customer Info'!A2221:I2721,3,FALSE)</f>
        <v>#N/A</v>
      </c>
      <c r="I2229" s="6" t="e">
        <f>VLOOKUP('Customer Info'!A2221,'Customer Info'!A2221:I2720,5,FALSE)</f>
        <v>#N/A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240</v>
      </c>
      <c r="R2229" s="2" t="s">
        <v>50</v>
      </c>
      <c r="S2229" s="9">
        <f t="shared" si="174"/>
        <v>0.02</v>
      </c>
    </row>
    <row r="2230" spans="1:19" x14ac:dyDescent="0.25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e">
        <f>VLOOKUP('Customer Info'!A2222,'Customer Info'!A2222:I2721,2,FALSE)</f>
        <v>#N/A</v>
      </c>
      <c r="H2230" s="6" t="e">
        <f>VLOOKUP('Customer Info'!A2222,'Customer Info'!A2222:I2722,3,FALSE)</f>
        <v>#N/A</v>
      </c>
      <c r="I2230" s="6" t="e">
        <f>VLOOKUP('Customer Info'!A2222,'Customer Info'!A2222:I2721,5,FALSE)</f>
        <v>#N/A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415</v>
      </c>
      <c r="R2230" s="2" t="s">
        <v>50</v>
      </c>
      <c r="S2230" s="9">
        <f t="shared" si="174"/>
        <v>0.05</v>
      </c>
    </row>
    <row r="2231" spans="1:19" x14ac:dyDescent="0.25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e">
        <f>VLOOKUP('Customer Info'!A2223,'Customer Info'!A2223:I2722,2,FALSE)</f>
        <v>#N/A</v>
      </c>
      <c r="H2231" s="6" t="e">
        <f>VLOOKUP('Customer Info'!A2223,'Customer Info'!A2223:I2723,3,FALSE)</f>
        <v>#N/A</v>
      </c>
      <c r="I2231" s="6" t="e">
        <f>VLOOKUP('Customer Info'!A2223,'Customer Info'!A2223:I2722,5,FALSE)</f>
        <v>#N/A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228</v>
      </c>
      <c r="R2231" s="2" t="s">
        <v>28</v>
      </c>
      <c r="S2231" s="9">
        <f t="shared" si="174"/>
        <v>0.02</v>
      </c>
    </row>
    <row r="2232" spans="1:19" x14ac:dyDescent="0.25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e">
        <f>VLOOKUP('Customer Info'!A2224,'Customer Info'!A2224:I2723,2,FALSE)</f>
        <v>#N/A</v>
      </c>
      <c r="H2232" s="6" t="e">
        <f>VLOOKUP('Customer Info'!A2224,'Customer Info'!A2224:I2724,3,FALSE)</f>
        <v>#N/A</v>
      </c>
      <c r="I2232" s="6" t="e">
        <f>VLOOKUP('Customer Info'!A2224,'Customer Info'!A2224:I2723,5,FALSE)</f>
        <v>#N/A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1753</v>
      </c>
      <c r="R2232" s="2" t="s">
        <v>28</v>
      </c>
      <c r="S2232" s="9">
        <f t="shared" si="174"/>
        <v>7.0000000000000007E-2</v>
      </c>
    </row>
    <row r="2233" spans="1:19" x14ac:dyDescent="0.25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e">
        <f>VLOOKUP('Customer Info'!A2225,'Customer Info'!A2225:I2724,2,FALSE)</f>
        <v>#N/A</v>
      </c>
      <c r="H2233" s="6" t="e">
        <f>VLOOKUP('Customer Info'!A2225,'Customer Info'!A2225:I2725,3,FALSE)</f>
        <v>#N/A</v>
      </c>
      <c r="I2233" s="6" t="e">
        <f>VLOOKUP('Customer Info'!A2225,'Customer Info'!A2225:I2724,5,FALSE)</f>
        <v>#N/A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526</v>
      </c>
      <c r="R2233" s="2" t="s">
        <v>56</v>
      </c>
      <c r="S2233" s="9">
        <f t="shared" si="174"/>
        <v>0.05</v>
      </c>
    </row>
    <row r="2234" spans="1:19" x14ac:dyDescent="0.25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e">
        <f>VLOOKUP('Customer Info'!A2226,'Customer Info'!A2226:I2725,2,FALSE)</f>
        <v>#N/A</v>
      </c>
      <c r="H2234" s="6" t="e">
        <f>VLOOKUP('Customer Info'!A2226,'Customer Info'!A2226:I2726,3,FALSE)</f>
        <v>#N/A</v>
      </c>
      <c r="I2234" s="6" t="e">
        <f>VLOOKUP('Customer Info'!A2226,'Customer Info'!A2226:I2725,5,FALSE)</f>
        <v>#N/A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18</v>
      </c>
      <c r="R2234" s="2" t="s">
        <v>28</v>
      </c>
      <c r="S2234" s="9">
        <f t="shared" si="174"/>
        <v>0.02</v>
      </c>
    </row>
    <row r="2235" spans="1:19" x14ac:dyDescent="0.25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e">
        <f>VLOOKUP('Customer Info'!A2227,'Customer Info'!A2227:I2726,2,FALSE)</f>
        <v>#N/A</v>
      </c>
      <c r="H2235" s="6" t="e">
        <f>VLOOKUP('Customer Info'!A2227,'Customer Info'!A2227:I2727,3,FALSE)</f>
        <v>#N/A</v>
      </c>
      <c r="I2235" s="6" t="e">
        <f>VLOOKUP('Customer Info'!A2227,'Customer Info'!A2227:I2726,5,FALSE)</f>
        <v>#N/A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2256</v>
      </c>
      <c r="R2235" s="2" t="s">
        <v>50</v>
      </c>
      <c r="S2235" s="9">
        <f t="shared" si="174"/>
        <v>7.0000000000000007E-2</v>
      </c>
    </row>
    <row r="2236" spans="1:19" x14ac:dyDescent="0.25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e">
        <f>VLOOKUP('Customer Info'!A2228,'Customer Info'!A2228:I2727,2,FALSE)</f>
        <v>#N/A</v>
      </c>
      <c r="H2236" s="6" t="e">
        <f>VLOOKUP('Customer Info'!A2228,'Customer Info'!A2228:I2728,3,FALSE)</f>
        <v>#N/A</v>
      </c>
      <c r="I2236" s="6" t="e">
        <f>VLOOKUP('Customer Info'!A2228,'Customer Info'!A2228:I2727,5,FALSE)</f>
        <v>#N/A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2697</v>
      </c>
      <c r="R2236" s="2" t="s">
        <v>50</v>
      </c>
      <c r="S2236" s="9">
        <f t="shared" si="174"/>
        <v>7.0000000000000007E-2</v>
      </c>
    </row>
    <row r="2237" spans="1:19" x14ac:dyDescent="0.25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e">
        <f>VLOOKUP('Customer Info'!A2229,'Customer Info'!A2229:I2728,2,FALSE)</f>
        <v>#N/A</v>
      </c>
      <c r="H2237" s="6" t="e">
        <f>VLOOKUP('Customer Info'!A2229,'Customer Info'!A2229:I2729,3,FALSE)</f>
        <v>#N/A</v>
      </c>
      <c r="I2237" s="6" t="e">
        <f>VLOOKUP('Customer Info'!A2229,'Customer Info'!A2229:I2728,5,FALSE)</f>
        <v>#N/A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74</v>
      </c>
      <c r="R2237" s="2" t="s">
        <v>28</v>
      </c>
      <c r="S2237" s="9">
        <f t="shared" si="174"/>
        <v>0.02</v>
      </c>
    </row>
    <row r="2238" spans="1:19" x14ac:dyDescent="0.25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e">
        <f>VLOOKUP('Customer Info'!A2230,'Customer Info'!A2230:I2729,2,FALSE)</f>
        <v>#N/A</v>
      </c>
      <c r="H2238" s="6" t="e">
        <f>VLOOKUP('Customer Info'!A2230,'Customer Info'!A2230:I2730,3,FALSE)</f>
        <v>#N/A</v>
      </c>
      <c r="I2238" s="6" t="e">
        <f>VLOOKUP('Customer Info'!A2230,'Customer Info'!A2230:I2729,5,FALSE)</f>
        <v>#N/A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1950</v>
      </c>
      <c r="R2238" s="2" t="s">
        <v>28</v>
      </c>
      <c r="S2238" s="9">
        <f t="shared" si="174"/>
        <v>0.05</v>
      </c>
    </row>
    <row r="2239" spans="1:19" x14ac:dyDescent="0.25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e">
        <f>VLOOKUP('Customer Info'!A2231,'Customer Info'!A2231:I2730,2,FALSE)</f>
        <v>#N/A</v>
      </c>
      <c r="H2239" s="6" t="e">
        <f>VLOOKUP('Customer Info'!A2231,'Customer Info'!A2231:I2731,3,FALSE)</f>
        <v>#N/A</v>
      </c>
      <c r="I2239" s="6" t="e">
        <f>VLOOKUP('Customer Info'!A2231,'Customer Info'!A2231:I2730,5,FALSE)</f>
        <v>#N/A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62</v>
      </c>
      <c r="R2239" s="2" t="s">
        <v>50</v>
      </c>
      <c r="S2239" s="9">
        <f t="shared" si="174"/>
        <v>0.02</v>
      </c>
    </row>
    <row r="2240" spans="1:19" x14ac:dyDescent="0.25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e">
        <f>VLOOKUP('Customer Info'!A2232,'Customer Info'!A2232:I2731,2,FALSE)</f>
        <v>#N/A</v>
      </c>
      <c r="H2240" s="6" t="e">
        <f>VLOOKUP('Customer Info'!A2232,'Customer Info'!A2232:I2732,3,FALSE)</f>
        <v>#N/A</v>
      </c>
      <c r="I2240" s="6" t="e">
        <f>VLOOKUP('Customer Info'!A2232,'Customer Info'!A2232:I2731,5,FALSE)</f>
        <v>#N/A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54</v>
      </c>
      <c r="R2240" s="2" t="s">
        <v>50</v>
      </c>
      <c r="S2240" s="9">
        <f t="shared" si="174"/>
        <v>0.02</v>
      </c>
    </row>
    <row r="2241" spans="1:19" x14ac:dyDescent="0.25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e">
        <f>VLOOKUP('Customer Info'!A2233,'Customer Info'!A2233:I2732,2,FALSE)</f>
        <v>#N/A</v>
      </c>
      <c r="H2241" s="6" t="e">
        <f>VLOOKUP('Customer Info'!A2233,'Customer Info'!A2233:I2733,3,FALSE)</f>
        <v>#N/A</v>
      </c>
      <c r="I2241" s="6" t="e">
        <f>VLOOKUP('Customer Info'!A2233,'Customer Info'!A2233:I2732,5,FALSE)</f>
        <v>#N/A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1112</v>
      </c>
      <c r="R2241" s="2" t="s">
        <v>28</v>
      </c>
      <c r="S2241" s="9">
        <f t="shared" si="174"/>
        <v>0.05</v>
      </c>
    </row>
    <row r="2242" spans="1:19" x14ac:dyDescent="0.25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e">
        <f>VLOOKUP('Customer Info'!A2234,'Customer Info'!A2234:I2733,2,FALSE)</f>
        <v>#N/A</v>
      </c>
      <c r="H2242" s="6" t="e">
        <f>VLOOKUP('Customer Info'!A2234,'Customer Info'!A2234:I2734,3,FALSE)</f>
        <v>#N/A</v>
      </c>
      <c r="I2242" s="6" t="e">
        <f>VLOOKUP('Customer Info'!A2234,'Customer Info'!A2234:I2733,5,FALSE)</f>
        <v>#N/A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28</v>
      </c>
      <c r="R2242" s="2" t="s">
        <v>26</v>
      </c>
      <c r="S2242" s="9">
        <f t="shared" si="174"/>
        <v>0.02</v>
      </c>
    </row>
    <row r="2243" spans="1:19" x14ac:dyDescent="0.25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e">
        <f>VLOOKUP('Customer Info'!A2235,'Customer Info'!A2235:I2734,2,FALSE)</f>
        <v>#N/A</v>
      </c>
      <c r="H2243" s="6" t="e">
        <f>VLOOKUP('Customer Info'!A2235,'Customer Info'!A2235:I2735,3,FALSE)</f>
        <v>#N/A</v>
      </c>
      <c r="I2243" s="6" t="e">
        <f>VLOOKUP('Customer Info'!A2235,'Customer Info'!A2235:I2734,5,FALSE)</f>
        <v>#N/A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749</v>
      </c>
      <c r="R2243" s="2" t="s">
        <v>50</v>
      </c>
      <c r="S2243" s="9">
        <f t="shared" si="174"/>
        <v>0.05</v>
      </c>
    </row>
    <row r="2244" spans="1:19" x14ac:dyDescent="0.25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e">
        <f>VLOOKUP('Customer Info'!A2236,'Customer Info'!A2236:I2735,2,FALSE)</f>
        <v>#N/A</v>
      </c>
      <c r="H2244" s="6" t="e">
        <f>VLOOKUP('Customer Info'!A2236,'Customer Info'!A2236:I2736,3,FALSE)</f>
        <v>#N/A</v>
      </c>
      <c r="I2244" s="6" t="e">
        <f>VLOOKUP('Customer Info'!A2236,'Customer Info'!A2236:I2735,5,FALSE)</f>
        <v>#N/A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66</v>
      </c>
      <c r="R2244" s="2" t="s">
        <v>50</v>
      </c>
      <c r="S2244" s="9">
        <f t="shared" si="174"/>
        <v>0.02</v>
      </c>
    </row>
    <row r="2245" spans="1:19" x14ac:dyDescent="0.25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e">
        <f>VLOOKUP('Customer Info'!A2237,'Customer Info'!A2237:I2736,2,FALSE)</f>
        <v>#N/A</v>
      </c>
      <c r="H2245" s="6" t="e">
        <f>VLOOKUP('Customer Info'!A2237,'Customer Info'!A2237:I2737,3,FALSE)</f>
        <v>#N/A</v>
      </c>
      <c r="I2245" s="6" t="e">
        <f>VLOOKUP('Customer Info'!A2237,'Customer Info'!A2237:I2736,5,FALSE)</f>
        <v>#N/A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2222</v>
      </c>
      <c r="R2245" s="2" t="s">
        <v>28</v>
      </c>
      <c r="S2245" s="9">
        <f t="shared" si="174"/>
        <v>7.0000000000000007E-2</v>
      </c>
    </row>
    <row r="2246" spans="1:19" x14ac:dyDescent="0.25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e">
        <f>VLOOKUP('Customer Info'!A2238,'Customer Info'!A2238:I2737,2,FALSE)</f>
        <v>#N/A</v>
      </c>
      <c r="H2246" s="6" t="e">
        <f>VLOOKUP('Customer Info'!A2238,'Customer Info'!A2238:I2738,3,FALSE)</f>
        <v>#N/A</v>
      </c>
      <c r="I2246" s="6" t="e">
        <f>VLOOKUP('Customer Info'!A2238,'Customer Info'!A2238:I2737,5,FALSE)</f>
        <v>#N/A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67</v>
      </c>
      <c r="R2246" s="2" t="s">
        <v>28</v>
      </c>
      <c r="S2246" s="9">
        <f t="shared" si="174"/>
        <v>0.02</v>
      </c>
    </row>
    <row r="2247" spans="1:19" x14ac:dyDescent="0.25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e">
        <f>VLOOKUP('Customer Info'!A2239,'Customer Info'!A2239:I2738,2,FALSE)</f>
        <v>#N/A</v>
      </c>
      <c r="H2247" s="6" t="e">
        <f>VLOOKUP('Customer Info'!A2239,'Customer Info'!A2239:I2739,3,FALSE)</f>
        <v>#N/A</v>
      </c>
      <c r="I2247" s="6" t="e">
        <f>VLOOKUP('Customer Info'!A2239,'Customer Info'!A2239:I2738,5,FALSE)</f>
        <v>#N/A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311</v>
      </c>
      <c r="R2247" s="2" t="s">
        <v>28</v>
      </c>
      <c r="S2247" s="9">
        <f t="shared" si="174"/>
        <v>0.02</v>
      </c>
    </row>
    <row r="2248" spans="1:19" x14ac:dyDescent="0.25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e">
        <f>VLOOKUP('Customer Info'!A2240,'Customer Info'!A2240:I2739,2,FALSE)</f>
        <v>#N/A</v>
      </c>
      <c r="H2248" s="6" t="e">
        <f>VLOOKUP('Customer Info'!A2240,'Customer Info'!A2240:I2740,3,FALSE)</f>
        <v>#N/A</v>
      </c>
      <c r="I2248" s="6" t="e">
        <f>VLOOKUP('Customer Info'!A2240,'Customer Info'!A2240:I2739,5,FALSE)</f>
        <v>#N/A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261</v>
      </c>
      <c r="R2248" s="2" t="s">
        <v>50</v>
      </c>
      <c r="S2248" s="9">
        <f t="shared" si="174"/>
        <v>0.02</v>
      </c>
    </row>
    <row r="2249" spans="1:19" x14ac:dyDescent="0.25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e">
        <f>VLOOKUP('Customer Info'!A2241,'Customer Info'!A2241:I2740,2,FALSE)</f>
        <v>#N/A</v>
      </c>
      <c r="H2249" s="6" t="e">
        <f>VLOOKUP('Customer Info'!A2241,'Customer Info'!A2241:I2741,3,FALSE)</f>
        <v>#N/A</v>
      </c>
      <c r="I2249" s="6" t="e">
        <f>VLOOKUP('Customer Info'!A2241,'Customer Info'!A2241:I2740,5,FALSE)</f>
        <v>#N/A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14</v>
      </c>
      <c r="R2249" s="2" t="s">
        <v>28</v>
      </c>
      <c r="S2249" s="9">
        <f t="shared" si="174"/>
        <v>0.02</v>
      </c>
    </row>
    <row r="2250" spans="1:19" x14ac:dyDescent="0.25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e">
        <f>VLOOKUP('Customer Info'!A2242,'Customer Info'!A2242:I2741,2,FALSE)</f>
        <v>#N/A</v>
      </c>
      <c r="H2250" s="6" t="e">
        <f>VLOOKUP('Customer Info'!A2242,'Customer Info'!A2242:I2742,3,FALSE)</f>
        <v>#N/A</v>
      </c>
      <c r="I2250" s="6" t="e">
        <f>VLOOKUP('Customer Info'!A2242,'Customer Info'!A2242:I2741,5,FALSE)</f>
        <v>#N/A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739</v>
      </c>
      <c r="R2250" s="2" t="s">
        <v>56</v>
      </c>
      <c r="S2250" s="9">
        <f t="shared" si="174"/>
        <v>0.05</v>
      </c>
    </row>
    <row r="2251" spans="1:19" x14ac:dyDescent="0.25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e">
        <f>VLOOKUP('Customer Info'!A2243,'Customer Info'!A2243:I2742,2,FALSE)</f>
        <v>#N/A</v>
      </c>
      <c r="H2251" s="6" t="e">
        <f>VLOOKUP('Customer Info'!A2243,'Customer Info'!A2243:I2743,3,FALSE)</f>
        <v>#N/A</v>
      </c>
      <c r="I2251" s="6" t="e">
        <f>VLOOKUP('Customer Info'!A2243,'Customer Info'!A2243:I2742,5,FALSE)</f>
        <v>#N/A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8">
        <f t="shared" ref="P2251:P2314" si="177">N2251+O2251</f>
        <v>25138</v>
      </c>
      <c r="Q2251" s="8">
        <f t="shared" ref="Q2251:Q2314" si="178">P2251-M2251</f>
        <v>1009</v>
      </c>
      <c r="R2251" s="2" t="s">
        <v>28</v>
      </c>
      <c r="S2251" s="9">
        <f t="shared" ref="S2251:S2314" si="179">VLOOKUP(P2251,$T$2:$U$7,2,TRUE)</f>
        <v>7.0000000000000007E-2</v>
      </c>
    </row>
    <row r="2252" spans="1:19" x14ac:dyDescent="0.25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e">
        <f>VLOOKUP('Customer Info'!A2244,'Customer Info'!A2244:I2743,2,FALSE)</f>
        <v>#N/A</v>
      </c>
      <c r="H2252" s="6" t="e">
        <f>VLOOKUP('Customer Info'!A2244,'Customer Info'!A2244:I2744,3,FALSE)</f>
        <v>#N/A</v>
      </c>
      <c r="I2252" s="6" t="e">
        <f>VLOOKUP('Customer Info'!A2244,'Customer Info'!A2244:I2743,5,FALSE)</f>
        <v>#N/A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993</v>
      </c>
      <c r="R2252" s="2" t="s">
        <v>28</v>
      </c>
      <c r="S2252" s="9">
        <f t="shared" si="179"/>
        <v>0.05</v>
      </c>
    </row>
    <row r="2253" spans="1:19" x14ac:dyDescent="0.25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e">
        <f>VLOOKUP('Customer Info'!A2245,'Customer Info'!A2245:I2744,2,FALSE)</f>
        <v>#N/A</v>
      </c>
      <c r="H2253" s="6" t="e">
        <f>VLOOKUP('Customer Info'!A2245,'Customer Info'!A2245:I2745,3,FALSE)</f>
        <v>#N/A</v>
      </c>
      <c r="I2253" s="6" t="e">
        <f>VLOOKUP('Customer Info'!A2245,'Customer Info'!A2245:I2744,5,FALSE)</f>
        <v>#N/A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4097</v>
      </c>
      <c r="R2253" s="2" t="s">
        <v>50</v>
      </c>
      <c r="S2253" s="9">
        <f t="shared" si="179"/>
        <v>7.0000000000000007E-2</v>
      </c>
    </row>
    <row r="2254" spans="1:19" x14ac:dyDescent="0.25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e">
        <f>VLOOKUP('Customer Info'!A2246,'Customer Info'!A2246:I2745,2,FALSE)</f>
        <v>#N/A</v>
      </c>
      <c r="H2254" s="6" t="e">
        <f>VLOOKUP('Customer Info'!A2246,'Customer Info'!A2246:I2746,3,FALSE)</f>
        <v>#N/A</v>
      </c>
      <c r="I2254" s="6" t="e">
        <f>VLOOKUP('Customer Info'!A2246,'Customer Info'!A2246:I2745,5,FALSE)</f>
        <v>#N/A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1221</v>
      </c>
      <c r="R2254" s="2" t="s">
        <v>28</v>
      </c>
      <c r="S2254" s="9">
        <f t="shared" si="179"/>
        <v>0.05</v>
      </c>
    </row>
    <row r="2255" spans="1:19" x14ac:dyDescent="0.25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e">
        <f>VLOOKUP('Customer Info'!A2247,'Customer Info'!A2247:I2746,2,FALSE)</f>
        <v>#N/A</v>
      </c>
      <c r="H2255" s="6" t="e">
        <f>VLOOKUP('Customer Info'!A2247,'Customer Info'!A2247:I2747,3,FALSE)</f>
        <v>#N/A</v>
      </c>
      <c r="I2255" s="6" t="e">
        <f>VLOOKUP('Customer Info'!A2247,'Customer Info'!A2247:I2746,5,FALSE)</f>
        <v>#N/A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657</v>
      </c>
      <c r="R2255" s="2" t="s">
        <v>26</v>
      </c>
      <c r="S2255" s="9">
        <f t="shared" si="179"/>
        <v>0.05</v>
      </c>
    </row>
    <row r="2256" spans="1:19" x14ac:dyDescent="0.25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e">
        <f>VLOOKUP('Customer Info'!A2248,'Customer Info'!A2248:I2747,2,FALSE)</f>
        <v>#N/A</v>
      </c>
      <c r="H2256" s="6" t="e">
        <f>VLOOKUP('Customer Info'!A2248,'Customer Info'!A2248:I2748,3,FALSE)</f>
        <v>#N/A</v>
      </c>
      <c r="I2256" s="6" t="e">
        <f>VLOOKUP('Customer Info'!A2248,'Customer Info'!A2248:I2747,5,FALSE)</f>
        <v>#N/A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731</v>
      </c>
      <c r="R2256" s="2" t="s">
        <v>28</v>
      </c>
      <c r="S2256" s="9">
        <f t="shared" si="179"/>
        <v>0.05</v>
      </c>
    </row>
    <row r="2257" spans="1:19" x14ac:dyDescent="0.25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e">
        <f>VLOOKUP('Customer Info'!A2249,'Customer Info'!A2249:I2748,2,FALSE)</f>
        <v>#N/A</v>
      </c>
      <c r="H2257" s="6" t="e">
        <f>VLOOKUP('Customer Info'!A2249,'Customer Info'!A2249:I2749,3,FALSE)</f>
        <v>#N/A</v>
      </c>
      <c r="I2257" s="6" t="e">
        <f>VLOOKUP('Customer Info'!A2249,'Customer Info'!A2249:I2748,5,FALSE)</f>
        <v>#N/A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154</v>
      </c>
      <c r="R2257" s="2" t="s">
        <v>28</v>
      </c>
      <c r="S2257" s="9">
        <f t="shared" si="179"/>
        <v>0.02</v>
      </c>
    </row>
    <row r="2258" spans="1:19" x14ac:dyDescent="0.25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e">
        <f>VLOOKUP('Customer Info'!A2250,'Customer Info'!A2250:I2749,2,FALSE)</f>
        <v>#N/A</v>
      </c>
      <c r="H2258" s="6" t="e">
        <f>VLOOKUP('Customer Info'!A2250,'Customer Info'!A2250:I2750,3,FALSE)</f>
        <v>#N/A</v>
      </c>
      <c r="I2258" s="6" t="e">
        <f>VLOOKUP('Customer Info'!A2250,'Customer Info'!A2250:I2749,5,FALSE)</f>
        <v>#N/A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468</v>
      </c>
      <c r="R2258" s="2" t="s">
        <v>28</v>
      </c>
      <c r="S2258" s="9">
        <f t="shared" si="179"/>
        <v>0.05</v>
      </c>
    </row>
    <row r="2259" spans="1:19" x14ac:dyDescent="0.25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e">
        <f>VLOOKUP('Customer Info'!A2251,'Customer Info'!A2251:I2750,2,FALSE)</f>
        <v>#N/A</v>
      </c>
      <c r="H2259" s="6" t="e">
        <f>VLOOKUP('Customer Info'!A2251,'Customer Info'!A2251:I2751,3,FALSE)</f>
        <v>#N/A</v>
      </c>
      <c r="I2259" s="6" t="e">
        <f>VLOOKUP('Customer Info'!A2251,'Customer Info'!A2251:I2750,5,FALSE)</f>
        <v>#N/A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87</v>
      </c>
      <c r="R2259" s="2" t="s">
        <v>28</v>
      </c>
      <c r="S2259" s="9">
        <f t="shared" si="179"/>
        <v>0.02</v>
      </c>
    </row>
    <row r="2260" spans="1:19" x14ac:dyDescent="0.25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e">
        <f>VLOOKUP('Customer Info'!A2252,'Customer Info'!A2252:I2751,2,FALSE)</f>
        <v>#N/A</v>
      </c>
      <c r="H2260" s="6" t="e">
        <f>VLOOKUP('Customer Info'!A2252,'Customer Info'!A2252:I2752,3,FALSE)</f>
        <v>#N/A</v>
      </c>
      <c r="I2260" s="6" t="e">
        <f>VLOOKUP('Customer Info'!A2252,'Customer Info'!A2252:I2751,5,FALSE)</f>
        <v>#N/A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58</v>
      </c>
      <c r="R2260" s="2" t="s">
        <v>28</v>
      </c>
      <c r="S2260" s="9">
        <f t="shared" si="179"/>
        <v>0.02</v>
      </c>
    </row>
    <row r="2261" spans="1:19" x14ac:dyDescent="0.25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e">
        <f>VLOOKUP('Customer Info'!A2253,'Customer Info'!A2253:I2752,2,FALSE)</f>
        <v>#N/A</v>
      </c>
      <c r="H2261" s="6" t="e">
        <f>VLOOKUP('Customer Info'!A2253,'Customer Info'!A2253:I2753,3,FALSE)</f>
        <v>#N/A</v>
      </c>
      <c r="I2261" s="6" t="e">
        <f>VLOOKUP('Customer Info'!A2253,'Customer Info'!A2253:I2752,5,FALSE)</f>
        <v>#N/A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121</v>
      </c>
      <c r="R2261" s="2" t="s">
        <v>50</v>
      </c>
      <c r="S2261" s="9">
        <f t="shared" si="179"/>
        <v>0.02</v>
      </c>
    </row>
    <row r="2262" spans="1:19" x14ac:dyDescent="0.25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e">
        <f>VLOOKUP('Customer Info'!A2254,'Customer Info'!A2254:I2753,2,FALSE)</f>
        <v>#N/A</v>
      </c>
      <c r="H2262" s="6" t="e">
        <f>VLOOKUP('Customer Info'!A2254,'Customer Info'!A2254:I2754,3,FALSE)</f>
        <v>#N/A</v>
      </c>
      <c r="I2262" s="6" t="e">
        <f>VLOOKUP('Customer Info'!A2254,'Customer Info'!A2254:I2753,5,FALSE)</f>
        <v>#N/A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171</v>
      </c>
      <c r="R2262" s="2" t="s">
        <v>28</v>
      </c>
      <c r="S2262" s="9">
        <f t="shared" si="179"/>
        <v>0.02</v>
      </c>
    </row>
    <row r="2263" spans="1:19" x14ac:dyDescent="0.25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e">
        <f>VLOOKUP('Customer Info'!A2255,'Customer Info'!A2255:I2754,2,FALSE)</f>
        <v>#N/A</v>
      </c>
      <c r="H2263" s="6" t="e">
        <f>VLOOKUP('Customer Info'!A2255,'Customer Info'!A2255:I2755,3,FALSE)</f>
        <v>#N/A</v>
      </c>
      <c r="I2263" s="6" t="e">
        <f>VLOOKUP('Customer Info'!A2255,'Customer Info'!A2255:I2754,5,FALSE)</f>
        <v>#N/A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271</v>
      </c>
      <c r="R2263" s="2" t="s">
        <v>28</v>
      </c>
      <c r="S2263" s="9">
        <f t="shared" si="179"/>
        <v>0.05</v>
      </c>
    </row>
    <row r="2264" spans="1:19" x14ac:dyDescent="0.25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e">
        <f>VLOOKUP('Customer Info'!A2256,'Customer Info'!A2256:I2755,2,FALSE)</f>
        <v>#N/A</v>
      </c>
      <c r="H2264" s="6" t="e">
        <f>VLOOKUP('Customer Info'!A2256,'Customer Info'!A2256:I2756,3,FALSE)</f>
        <v>#N/A</v>
      </c>
      <c r="I2264" s="6" t="e">
        <f>VLOOKUP('Customer Info'!A2256,'Customer Info'!A2256:I2755,5,FALSE)</f>
        <v>#N/A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2965</v>
      </c>
      <c r="R2264" s="2" t="s">
        <v>28</v>
      </c>
      <c r="S2264" s="9">
        <f t="shared" si="179"/>
        <v>7.0000000000000007E-2</v>
      </c>
    </row>
    <row r="2265" spans="1:19" x14ac:dyDescent="0.25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e">
        <f>VLOOKUP('Customer Info'!A2257,'Customer Info'!A2257:I2756,2,FALSE)</f>
        <v>#N/A</v>
      </c>
      <c r="H2265" s="6" t="e">
        <f>VLOOKUP('Customer Info'!A2257,'Customer Info'!A2257:I2757,3,FALSE)</f>
        <v>#N/A</v>
      </c>
      <c r="I2265" s="6" t="e">
        <f>VLOOKUP('Customer Info'!A2257,'Customer Info'!A2257:I2756,5,FALSE)</f>
        <v>#N/A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2629</v>
      </c>
      <c r="R2265" s="2" t="s">
        <v>28</v>
      </c>
      <c r="S2265" s="9">
        <f t="shared" si="179"/>
        <v>7.0000000000000007E-2</v>
      </c>
    </row>
    <row r="2266" spans="1:19" x14ac:dyDescent="0.25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e">
        <f>VLOOKUP('Customer Info'!A2258,'Customer Info'!A2258:I2757,2,FALSE)</f>
        <v>#N/A</v>
      </c>
      <c r="H2266" s="6" t="e">
        <f>VLOOKUP('Customer Info'!A2258,'Customer Info'!A2258:I2758,3,FALSE)</f>
        <v>#N/A</v>
      </c>
      <c r="I2266" s="6" t="e">
        <f>VLOOKUP('Customer Info'!A2258,'Customer Info'!A2258:I2757,5,FALSE)</f>
        <v>#N/A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723</v>
      </c>
      <c r="R2266" s="2" t="s">
        <v>50</v>
      </c>
      <c r="S2266" s="9">
        <f t="shared" si="179"/>
        <v>0.05</v>
      </c>
    </row>
    <row r="2267" spans="1:19" x14ac:dyDescent="0.25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e">
        <f>VLOOKUP('Customer Info'!A2259,'Customer Info'!A2259:I2758,2,FALSE)</f>
        <v>#N/A</v>
      </c>
      <c r="H2267" s="6" t="e">
        <f>VLOOKUP('Customer Info'!A2259,'Customer Info'!A2259:I2759,3,FALSE)</f>
        <v>#N/A</v>
      </c>
      <c r="I2267" s="6" t="e">
        <f>VLOOKUP('Customer Info'!A2259,'Customer Info'!A2259:I2758,5,FALSE)</f>
        <v>#N/A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88</v>
      </c>
      <c r="R2267" s="2" t="s">
        <v>50</v>
      </c>
      <c r="S2267" s="9">
        <f t="shared" si="179"/>
        <v>0.02</v>
      </c>
    </row>
    <row r="2268" spans="1:19" x14ac:dyDescent="0.25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e">
        <f>VLOOKUP('Customer Info'!A2260,'Customer Info'!A2260:I2759,2,FALSE)</f>
        <v>#N/A</v>
      </c>
      <c r="H2268" s="6" t="e">
        <f>VLOOKUP('Customer Info'!A2260,'Customer Info'!A2260:I2760,3,FALSE)</f>
        <v>#N/A</v>
      </c>
      <c r="I2268" s="6" t="e">
        <f>VLOOKUP('Customer Info'!A2260,'Customer Info'!A2260:I2759,5,FALSE)</f>
        <v>#N/A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521</v>
      </c>
      <c r="R2268" s="2" t="s">
        <v>28</v>
      </c>
      <c r="S2268" s="9">
        <f t="shared" si="179"/>
        <v>0.02</v>
      </c>
    </row>
    <row r="2269" spans="1:19" x14ac:dyDescent="0.25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e">
        <f>VLOOKUP('Customer Info'!A2261,'Customer Info'!A2261:I2760,2,FALSE)</f>
        <v>#N/A</v>
      </c>
      <c r="H2269" s="6" t="e">
        <f>VLOOKUP('Customer Info'!A2261,'Customer Info'!A2261:I2761,3,FALSE)</f>
        <v>#N/A</v>
      </c>
      <c r="I2269" s="6" t="e">
        <f>VLOOKUP('Customer Info'!A2261,'Customer Info'!A2261:I2760,5,FALSE)</f>
        <v>#N/A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1261</v>
      </c>
      <c r="R2269" s="2" t="s">
        <v>28</v>
      </c>
      <c r="S2269" s="9">
        <f t="shared" si="179"/>
        <v>0.05</v>
      </c>
    </row>
    <row r="2270" spans="1:19" x14ac:dyDescent="0.25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e">
        <f>VLOOKUP('Customer Info'!A2262,'Customer Info'!A2262:I2761,2,FALSE)</f>
        <v>#N/A</v>
      </c>
      <c r="H2270" s="6" t="e">
        <f>VLOOKUP('Customer Info'!A2262,'Customer Info'!A2262:I2762,3,FALSE)</f>
        <v>#N/A</v>
      </c>
      <c r="I2270" s="6" t="e">
        <f>VLOOKUP('Customer Info'!A2262,'Customer Info'!A2262:I2761,5,FALSE)</f>
        <v>#N/A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46</v>
      </c>
      <c r="R2270" s="2" t="s">
        <v>50</v>
      </c>
      <c r="S2270" s="9">
        <f t="shared" si="179"/>
        <v>0.02</v>
      </c>
    </row>
    <row r="2271" spans="1:19" x14ac:dyDescent="0.25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e">
        <f>VLOOKUP('Customer Info'!A2263,'Customer Info'!A2263:I2762,2,FALSE)</f>
        <v>#N/A</v>
      </c>
      <c r="H2271" s="6" t="e">
        <f>VLOOKUP('Customer Info'!A2263,'Customer Info'!A2263:I2763,3,FALSE)</f>
        <v>#N/A</v>
      </c>
      <c r="I2271" s="6" t="e">
        <f>VLOOKUP('Customer Info'!A2263,'Customer Info'!A2263:I2762,5,FALSE)</f>
        <v>#N/A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22</v>
      </c>
      <c r="R2271" s="2" t="s">
        <v>28</v>
      </c>
      <c r="S2271" s="9">
        <f t="shared" si="179"/>
        <v>0.02</v>
      </c>
    </row>
    <row r="2272" spans="1:19" x14ac:dyDescent="0.25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e">
        <f>VLOOKUP('Customer Info'!A2264,'Customer Info'!A2264:I2763,2,FALSE)</f>
        <v>#N/A</v>
      </c>
      <c r="H2272" s="6" t="e">
        <f>VLOOKUP('Customer Info'!A2264,'Customer Info'!A2264:I2764,3,FALSE)</f>
        <v>#N/A</v>
      </c>
      <c r="I2272" s="6" t="e">
        <f>VLOOKUP('Customer Info'!A2264,'Customer Info'!A2264:I2763,5,FALSE)</f>
        <v>#N/A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427</v>
      </c>
      <c r="R2272" s="2" t="s">
        <v>28</v>
      </c>
      <c r="S2272" s="9">
        <f t="shared" si="179"/>
        <v>0.05</v>
      </c>
    </row>
    <row r="2273" spans="1:19" x14ac:dyDescent="0.25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e">
        <f>VLOOKUP('Customer Info'!A2265,'Customer Info'!A2265:I2764,2,FALSE)</f>
        <v>#N/A</v>
      </c>
      <c r="H2273" s="6" t="e">
        <f>VLOOKUP('Customer Info'!A2265,'Customer Info'!A2265:I2765,3,FALSE)</f>
        <v>#N/A</v>
      </c>
      <c r="I2273" s="6" t="e">
        <f>VLOOKUP('Customer Info'!A2265,'Customer Info'!A2265:I2764,5,FALSE)</f>
        <v>#N/A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913</v>
      </c>
      <c r="R2273" s="2" t="s">
        <v>28</v>
      </c>
      <c r="S2273" s="9">
        <f t="shared" si="179"/>
        <v>0.05</v>
      </c>
    </row>
    <row r="2274" spans="1:19" x14ac:dyDescent="0.25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e">
        <f>VLOOKUP('Customer Info'!A2266,'Customer Info'!A2266:I2765,2,FALSE)</f>
        <v>#N/A</v>
      </c>
      <c r="H2274" s="6" t="e">
        <f>VLOOKUP('Customer Info'!A2266,'Customer Info'!A2266:I2766,3,FALSE)</f>
        <v>#N/A</v>
      </c>
      <c r="I2274" s="6" t="e">
        <f>VLOOKUP('Customer Info'!A2266,'Customer Info'!A2266:I2765,5,FALSE)</f>
        <v>#N/A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38</v>
      </c>
      <c r="R2274" s="2" t="s">
        <v>28</v>
      </c>
      <c r="S2274" s="9">
        <f t="shared" si="179"/>
        <v>0.02</v>
      </c>
    </row>
    <row r="2275" spans="1:19" x14ac:dyDescent="0.25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e">
        <f>VLOOKUP('Customer Info'!A2267,'Customer Info'!A2267:I2766,2,FALSE)</f>
        <v>#N/A</v>
      </c>
      <c r="H2275" s="6" t="e">
        <f>VLOOKUP('Customer Info'!A2267,'Customer Info'!A2267:I2767,3,FALSE)</f>
        <v>#N/A</v>
      </c>
      <c r="I2275" s="6" t="e">
        <f>VLOOKUP('Customer Info'!A2267,'Customer Info'!A2267:I2766,5,FALSE)</f>
        <v>#N/A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42</v>
      </c>
      <c r="R2275" s="2" t="s">
        <v>26</v>
      </c>
      <c r="S2275" s="9">
        <f t="shared" si="179"/>
        <v>0.02</v>
      </c>
    </row>
    <row r="2276" spans="1:19" x14ac:dyDescent="0.25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e">
        <f>VLOOKUP('Customer Info'!A2268,'Customer Info'!A2268:I2767,2,FALSE)</f>
        <v>#N/A</v>
      </c>
      <c r="H2276" s="6" t="e">
        <f>VLOOKUP('Customer Info'!A2268,'Customer Info'!A2268:I2768,3,FALSE)</f>
        <v>#N/A</v>
      </c>
      <c r="I2276" s="6" t="e">
        <f>VLOOKUP('Customer Info'!A2268,'Customer Info'!A2268:I2767,5,FALSE)</f>
        <v>#N/A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360</v>
      </c>
      <c r="R2276" s="2" t="s">
        <v>28</v>
      </c>
      <c r="S2276" s="9">
        <f t="shared" si="179"/>
        <v>0.02</v>
      </c>
    </row>
    <row r="2277" spans="1:19" x14ac:dyDescent="0.25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e">
        <f>VLOOKUP('Customer Info'!A2269,'Customer Info'!A2269:I2768,2,FALSE)</f>
        <v>#N/A</v>
      </c>
      <c r="H2277" s="6" t="e">
        <f>VLOOKUP('Customer Info'!A2269,'Customer Info'!A2269:I2769,3,FALSE)</f>
        <v>#N/A</v>
      </c>
      <c r="I2277" s="6" t="e">
        <f>VLOOKUP('Customer Info'!A2269,'Customer Info'!A2269:I2768,5,FALSE)</f>
        <v>#N/A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284</v>
      </c>
      <c r="R2277" s="2" t="s">
        <v>26</v>
      </c>
      <c r="S2277" s="9">
        <f t="shared" si="179"/>
        <v>0.02</v>
      </c>
    </row>
    <row r="2278" spans="1:19" x14ac:dyDescent="0.25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e">
        <f>VLOOKUP('Customer Info'!A2270,'Customer Info'!A2270:I2769,2,FALSE)</f>
        <v>#N/A</v>
      </c>
      <c r="H2278" s="6" t="e">
        <f>VLOOKUP('Customer Info'!A2270,'Customer Info'!A2270:I2770,3,FALSE)</f>
        <v>#N/A</v>
      </c>
      <c r="I2278" s="6" t="e">
        <f>VLOOKUP('Customer Info'!A2270,'Customer Info'!A2270:I2769,5,FALSE)</f>
        <v>#N/A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852</v>
      </c>
      <c r="R2278" s="2" t="s">
        <v>28</v>
      </c>
      <c r="S2278" s="9">
        <f t="shared" si="179"/>
        <v>0.05</v>
      </c>
    </row>
    <row r="2279" spans="1:19" x14ac:dyDescent="0.25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e">
        <f>VLOOKUP('Customer Info'!A2271,'Customer Info'!A2271:I2770,2,FALSE)</f>
        <v>#N/A</v>
      </c>
      <c r="H2279" s="6" t="e">
        <f>VLOOKUP('Customer Info'!A2271,'Customer Info'!A2271:I2771,3,FALSE)</f>
        <v>#N/A</v>
      </c>
      <c r="I2279" s="6" t="e">
        <f>VLOOKUP('Customer Info'!A2271,'Customer Info'!A2271:I2770,5,FALSE)</f>
        <v>#N/A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207</v>
      </c>
      <c r="R2279" s="2" t="s">
        <v>28</v>
      </c>
      <c r="S2279" s="9">
        <f t="shared" si="179"/>
        <v>0.02</v>
      </c>
    </row>
    <row r="2280" spans="1:19" x14ac:dyDescent="0.25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e">
        <f>VLOOKUP('Customer Info'!A2272,'Customer Info'!A2272:I2771,2,FALSE)</f>
        <v>#N/A</v>
      </c>
      <c r="H2280" s="6" t="e">
        <f>VLOOKUP('Customer Info'!A2272,'Customer Info'!A2272:I2772,3,FALSE)</f>
        <v>#N/A</v>
      </c>
      <c r="I2280" s="6" t="e">
        <f>VLOOKUP('Customer Info'!A2272,'Customer Info'!A2272:I2771,5,FALSE)</f>
        <v>#N/A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189</v>
      </c>
      <c r="R2280" s="2" t="s">
        <v>28</v>
      </c>
      <c r="S2280" s="9">
        <f t="shared" si="179"/>
        <v>0.02</v>
      </c>
    </row>
    <row r="2281" spans="1:19" x14ac:dyDescent="0.25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e">
        <f>VLOOKUP('Customer Info'!A2273,'Customer Info'!A2273:I2772,2,FALSE)</f>
        <v>#N/A</v>
      </c>
      <c r="H2281" s="6" t="e">
        <f>VLOOKUP('Customer Info'!A2273,'Customer Info'!A2273:I2773,3,FALSE)</f>
        <v>#N/A</v>
      </c>
      <c r="I2281" s="6" t="e">
        <f>VLOOKUP('Customer Info'!A2273,'Customer Info'!A2273:I2772,5,FALSE)</f>
        <v>#N/A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1132</v>
      </c>
      <c r="R2281" s="2" t="s">
        <v>28</v>
      </c>
      <c r="S2281" s="9">
        <f t="shared" si="179"/>
        <v>0.05</v>
      </c>
    </row>
    <row r="2282" spans="1:19" x14ac:dyDescent="0.25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e">
        <f>VLOOKUP('Customer Info'!A2274,'Customer Info'!A2274:I2773,2,FALSE)</f>
        <v>#N/A</v>
      </c>
      <c r="H2282" s="6" t="e">
        <f>VLOOKUP('Customer Info'!A2274,'Customer Info'!A2274:I2774,3,FALSE)</f>
        <v>#N/A</v>
      </c>
      <c r="I2282" s="6" t="e">
        <f>VLOOKUP('Customer Info'!A2274,'Customer Info'!A2274:I2773,5,FALSE)</f>
        <v>#N/A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418</v>
      </c>
      <c r="R2282" s="2" t="s">
        <v>56</v>
      </c>
      <c r="S2282" s="9">
        <f t="shared" si="179"/>
        <v>0.02</v>
      </c>
    </row>
    <row r="2283" spans="1:19" x14ac:dyDescent="0.25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e">
        <f>VLOOKUP('Customer Info'!A2275,'Customer Info'!A2275:I2774,2,FALSE)</f>
        <v>#N/A</v>
      </c>
      <c r="H2283" s="6" t="e">
        <f>VLOOKUP('Customer Info'!A2275,'Customer Info'!A2275:I2775,3,FALSE)</f>
        <v>#N/A</v>
      </c>
      <c r="I2283" s="6" t="e">
        <f>VLOOKUP('Customer Info'!A2275,'Customer Info'!A2275:I2774,5,FALSE)</f>
        <v>#N/A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132</v>
      </c>
      <c r="R2283" s="2" t="s">
        <v>26</v>
      </c>
      <c r="S2283" s="9">
        <f t="shared" si="179"/>
        <v>0.02</v>
      </c>
    </row>
    <row r="2284" spans="1:19" x14ac:dyDescent="0.25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e">
        <f>VLOOKUP('Customer Info'!A2276,'Customer Info'!A2276:I2775,2,FALSE)</f>
        <v>#N/A</v>
      </c>
      <c r="H2284" s="6" t="e">
        <f>VLOOKUP('Customer Info'!A2276,'Customer Info'!A2276:I2776,3,FALSE)</f>
        <v>#N/A</v>
      </c>
      <c r="I2284" s="6" t="e">
        <f>VLOOKUP('Customer Info'!A2276,'Customer Info'!A2276:I2775,5,FALSE)</f>
        <v>#N/A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355</v>
      </c>
      <c r="R2284" s="2" t="s">
        <v>50</v>
      </c>
      <c r="S2284" s="9">
        <f t="shared" si="179"/>
        <v>0.02</v>
      </c>
    </row>
    <row r="2285" spans="1:19" x14ac:dyDescent="0.25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e">
        <f>VLOOKUP('Customer Info'!A2277,'Customer Info'!A2277:I2776,2,FALSE)</f>
        <v>#N/A</v>
      </c>
      <c r="H2285" s="6" t="e">
        <f>VLOOKUP('Customer Info'!A2277,'Customer Info'!A2277:I2777,3,FALSE)</f>
        <v>#N/A</v>
      </c>
      <c r="I2285" s="6" t="e">
        <f>VLOOKUP('Customer Info'!A2277,'Customer Info'!A2277:I2776,5,FALSE)</f>
        <v>#N/A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166</v>
      </c>
      <c r="R2285" s="2" t="s">
        <v>28</v>
      </c>
      <c r="S2285" s="9">
        <f t="shared" si="179"/>
        <v>0.02</v>
      </c>
    </row>
    <row r="2286" spans="1:19" x14ac:dyDescent="0.25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e">
        <f>VLOOKUP('Customer Info'!A2278,'Customer Info'!A2278:I2777,2,FALSE)</f>
        <v>#N/A</v>
      </c>
      <c r="H2286" s="6" t="e">
        <f>VLOOKUP('Customer Info'!A2278,'Customer Info'!A2278:I2778,3,FALSE)</f>
        <v>#N/A</v>
      </c>
      <c r="I2286" s="6" t="e">
        <f>VLOOKUP('Customer Info'!A2278,'Customer Info'!A2278:I2777,5,FALSE)</f>
        <v>#N/A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25</v>
      </c>
      <c r="R2286" s="2" t="s">
        <v>50</v>
      </c>
      <c r="S2286" s="9">
        <f t="shared" si="179"/>
        <v>0.02</v>
      </c>
    </row>
    <row r="2287" spans="1:19" x14ac:dyDescent="0.25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e">
        <f>VLOOKUP('Customer Info'!A2279,'Customer Info'!A2279:I2778,2,FALSE)</f>
        <v>#N/A</v>
      </c>
      <c r="H2287" s="6" t="e">
        <f>VLOOKUP('Customer Info'!A2279,'Customer Info'!A2279:I2779,3,FALSE)</f>
        <v>#N/A</v>
      </c>
      <c r="I2287" s="6" t="e">
        <f>VLOOKUP('Customer Info'!A2279,'Customer Info'!A2279:I2778,5,FALSE)</f>
        <v>#N/A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587</v>
      </c>
      <c r="R2287" s="2" t="s">
        <v>50</v>
      </c>
      <c r="S2287" s="9">
        <f t="shared" si="179"/>
        <v>0.05</v>
      </c>
    </row>
    <row r="2288" spans="1:19" x14ac:dyDescent="0.25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e">
        <f>VLOOKUP('Customer Info'!A2280,'Customer Info'!A2280:I2779,2,FALSE)</f>
        <v>#N/A</v>
      </c>
      <c r="H2288" s="6" t="e">
        <f>VLOOKUP('Customer Info'!A2280,'Customer Info'!A2280:I2780,3,FALSE)</f>
        <v>#N/A</v>
      </c>
      <c r="I2288" s="6" t="e">
        <f>VLOOKUP('Customer Info'!A2280,'Customer Info'!A2280:I2779,5,FALSE)</f>
        <v>#N/A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128</v>
      </c>
      <c r="R2288" s="2" t="s">
        <v>28</v>
      </c>
      <c r="S2288" s="9">
        <f t="shared" si="179"/>
        <v>0.02</v>
      </c>
    </row>
    <row r="2289" spans="1:19" x14ac:dyDescent="0.25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e">
        <f>VLOOKUP('Customer Info'!A2281,'Customer Info'!A2281:I2780,2,FALSE)</f>
        <v>#N/A</v>
      </c>
      <c r="H2289" s="6" t="e">
        <f>VLOOKUP('Customer Info'!A2281,'Customer Info'!A2281:I2781,3,FALSE)</f>
        <v>#N/A</v>
      </c>
      <c r="I2289" s="6" t="e">
        <f>VLOOKUP('Customer Info'!A2281,'Customer Info'!A2281:I2780,5,FALSE)</f>
        <v>#N/A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15</v>
      </c>
      <c r="R2289" s="2" t="s">
        <v>26</v>
      </c>
      <c r="S2289" s="9">
        <f t="shared" si="179"/>
        <v>0.02</v>
      </c>
    </row>
    <row r="2290" spans="1:19" x14ac:dyDescent="0.25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e">
        <f>VLOOKUP('Customer Info'!A2282,'Customer Info'!A2282:I2781,2,FALSE)</f>
        <v>#N/A</v>
      </c>
      <c r="H2290" s="6" t="e">
        <f>VLOOKUP('Customer Info'!A2282,'Customer Info'!A2282:I2782,3,FALSE)</f>
        <v>#N/A</v>
      </c>
      <c r="I2290" s="6" t="e">
        <f>VLOOKUP('Customer Info'!A2282,'Customer Info'!A2282:I2781,5,FALSE)</f>
        <v>#N/A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477</v>
      </c>
      <c r="R2290" s="2" t="s">
        <v>28</v>
      </c>
      <c r="S2290" s="9">
        <f t="shared" si="179"/>
        <v>0.05</v>
      </c>
    </row>
    <row r="2291" spans="1:19" x14ac:dyDescent="0.25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e">
        <f>VLOOKUP('Customer Info'!A2283,'Customer Info'!A2283:I2782,2,FALSE)</f>
        <v>#N/A</v>
      </c>
      <c r="H2291" s="6" t="e">
        <f>VLOOKUP('Customer Info'!A2283,'Customer Info'!A2283:I2783,3,FALSE)</f>
        <v>#N/A</v>
      </c>
      <c r="I2291" s="6" t="e">
        <f>VLOOKUP('Customer Info'!A2283,'Customer Info'!A2283:I2782,5,FALSE)</f>
        <v>#N/A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116</v>
      </c>
      <c r="R2291" s="2" t="s">
        <v>28</v>
      </c>
      <c r="S2291" s="9">
        <f t="shared" si="179"/>
        <v>0.02</v>
      </c>
    </row>
    <row r="2292" spans="1:19" x14ac:dyDescent="0.25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e">
        <f>VLOOKUP('Customer Info'!A2284,'Customer Info'!A2284:I2783,2,FALSE)</f>
        <v>#N/A</v>
      </c>
      <c r="H2292" s="6" t="e">
        <f>VLOOKUP('Customer Info'!A2284,'Customer Info'!A2284:I2784,3,FALSE)</f>
        <v>#N/A</v>
      </c>
      <c r="I2292" s="6" t="e">
        <f>VLOOKUP('Customer Info'!A2284,'Customer Info'!A2284:I2783,5,FALSE)</f>
        <v>#N/A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671</v>
      </c>
      <c r="R2292" s="2" t="s">
        <v>28</v>
      </c>
      <c r="S2292" s="9">
        <f t="shared" si="179"/>
        <v>0.05</v>
      </c>
    </row>
    <row r="2293" spans="1:19" x14ac:dyDescent="0.25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e">
        <f>VLOOKUP('Customer Info'!A2285,'Customer Info'!A2285:I2784,2,FALSE)</f>
        <v>#N/A</v>
      </c>
      <c r="H2293" s="6" t="e">
        <f>VLOOKUP('Customer Info'!A2285,'Customer Info'!A2285:I2785,3,FALSE)</f>
        <v>#N/A</v>
      </c>
      <c r="I2293" s="6" t="e">
        <f>VLOOKUP('Customer Info'!A2285,'Customer Info'!A2285:I2784,5,FALSE)</f>
        <v>#N/A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998</v>
      </c>
      <c r="R2293" s="2" t="s">
        <v>28</v>
      </c>
      <c r="S2293" s="9">
        <f t="shared" si="179"/>
        <v>0.05</v>
      </c>
    </row>
    <row r="2294" spans="1:19" x14ac:dyDescent="0.25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e">
        <f>VLOOKUP('Customer Info'!A2286,'Customer Info'!A2286:I2785,2,FALSE)</f>
        <v>#N/A</v>
      </c>
      <c r="H2294" s="6" t="e">
        <f>VLOOKUP('Customer Info'!A2286,'Customer Info'!A2286:I2786,3,FALSE)</f>
        <v>#N/A</v>
      </c>
      <c r="I2294" s="6" t="e">
        <f>VLOOKUP('Customer Info'!A2286,'Customer Info'!A2286:I2785,5,FALSE)</f>
        <v>#N/A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169</v>
      </c>
      <c r="R2294" s="2" t="s">
        <v>50</v>
      </c>
      <c r="S2294" s="9">
        <f t="shared" si="179"/>
        <v>0.05</v>
      </c>
    </row>
    <row r="2295" spans="1:19" x14ac:dyDescent="0.25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e">
        <f>VLOOKUP('Customer Info'!A2287,'Customer Info'!A2287:I2786,2,FALSE)</f>
        <v>#N/A</v>
      </c>
      <c r="H2295" s="6" t="e">
        <f>VLOOKUP('Customer Info'!A2287,'Customer Info'!A2287:I2787,3,FALSE)</f>
        <v>#N/A</v>
      </c>
      <c r="I2295" s="6" t="e">
        <f>VLOOKUP('Customer Info'!A2287,'Customer Info'!A2287:I2786,5,FALSE)</f>
        <v>#N/A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228</v>
      </c>
      <c r="R2295" s="2" t="s">
        <v>26</v>
      </c>
      <c r="S2295" s="9">
        <f t="shared" si="179"/>
        <v>0.02</v>
      </c>
    </row>
    <row r="2296" spans="1:19" x14ac:dyDescent="0.25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e">
        <f>VLOOKUP('Customer Info'!A2288,'Customer Info'!A2288:I2787,2,FALSE)</f>
        <v>#N/A</v>
      </c>
      <c r="H2296" s="6" t="e">
        <f>VLOOKUP('Customer Info'!A2288,'Customer Info'!A2288:I2788,3,FALSE)</f>
        <v>#N/A</v>
      </c>
      <c r="I2296" s="6" t="e">
        <f>VLOOKUP('Customer Info'!A2288,'Customer Info'!A2288:I2787,5,FALSE)</f>
        <v>#N/A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54</v>
      </c>
      <c r="R2296" s="2" t="s">
        <v>28</v>
      </c>
      <c r="S2296" s="9">
        <f t="shared" si="179"/>
        <v>0.02</v>
      </c>
    </row>
    <row r="2297" spans="1:19" x14ac:dyDescent="0.25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e">
        <f>VLOOKUP('Customer Info'!A2289,'Customer Info'!A2289:I2788,2,FALSE)</f>
        <v>#N/A</v>
      </c>
      <c r="H2297" s="6" t="e">
        <f>VLOOKUP('Customer Info'!A2289,'Customer Info'!A2289:I2789,3,FALSE)</f>
        <v>#N/A</v>
      </c>
      <c r="I2297" s="6" t="e">
        <f>VLOOKUP('Customer Info'!A2289,'Customer Info'!A2289:I2788,5,FALSE)</f>
        <v>#N/A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1012</v>
      </c>
      <c r="R2297" s="2" t="s">
        <v>50</v>
      </c>
      <c r="S2297" s="9">
        <f t="shared" si="179"/>
        <v>0.05</v>
      </c>
    </row>
    <row r="2298" spans="1:19" x14ac:dyDescent="0.25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e">
        <f>VLOOKUP('Customer Info'!A2290,'Customer Info'!A2290:I2789,2,FALSE)</f>
        <v>#N/A</v>
      </c>
      <c r="H2298" s="6" t="e">
        <f>VLOOKUP('Customer Info'!A2290,'Customer Info'!A2290:I2790,3,FALSE)</f>
        <v>#N/A</v>
      </c>
      <c r="I2298" s="6" t="e">
        <f>VLOOKUP('Customer Info'!A2290,'Customer Info'!A2290:I2789,5,FALSE)</f>
        <v>#N/A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42</v>
      </c>
      <c r="R2298" s="2" t="s">
        <v>28</v>
      </c>
      <c r="S2298" s="9">
        <f t="shared" si="179"/>
        <v>0.02</v>
      </c>
    </row>
    <row r="2299" spans="1:19" x14ac:dyDescent="0.25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e">
        <f>VLOOKUP('Customer Info'!A2291,'Customer Info'!A2291:I2790,2,FALSE)</f>
        <v>#N/A</v>
      </c>
      <c r="H2299" s="6" t="e">
        <f>VLOOKUP('Customer Info'!A2291,'Customer Info'!A2291:I2791,3,FALSE)</f>
        <v>#N/A</v>
      </c>
      <c r="I2299" s="6" t="e">
        <f>VLOOKUP('Customer Info'!A2291,'Customer Info'!A2291:I2790,5,FALSE)</f>
        <v>#N/A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55</v>
      </c>
      <c r="R2299" s="2" t="s">
        <v>28</v>
      </c>
      <c r="S2299" s="9">
        <f t="shared" si="179"/>
        <v>0.02</v>
      </c>
    </row>
    <row r="2300" spans="1:19" x14ac:dyDescent="0.25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e">
        <f>VLOOKUP('Customer Info'!A2292,'Customer Info'!A2292:I2791,2,FALSE)</f>
        <v>#N/A</v>
      </c>
      <c r="H2300" s="6" t="e">
        <f>VLOOKUP('Customer Info'!A2292,'Customer Info'!A2292:I2792,3,FALSE)</f>
        <v>#N/A</v>
      </c>
      <c r="I2300" s="6" t="e">
        <f>VLOOKUP('Customer Info'!A2292,'Customer Info'!A2292:I2791,5,FALSE)</f>
        <v>#N/A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37</v>
      </c>
      <c r="R2300" s="2" t="s">
        <v>28</v>
      </c>
      <c r="S2300" s="9">
        <f t="shared" si="179"/>
        <v>0.02</v>
      </c>
    </row>
    <row r="2301" spans="1:19" x14ac:dyDescent="0.25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e">
        <f>VLOOKUP('Customer Info'!A2293,'Customer Info'!A2293:I2792,2,FALSE)</f>
        <v>#N/A</v>
      </c>
      <c r="H2301" s="6" t="e">
        <f>VLOOKUP('Customer Info'!A2293,'Customer Info'!A2293:I2793,3,FALSE)</f>
        <v>#N/A</v>
      </c>
      <c r="I2301" s="6" t="e">
        <f>VLOOKUP('Customer Info'!A2293,'Customer Info'!A2293:I2792,5,FALSE)</f>
        <v>#N/A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727</v>
      </c>
      <c r="R2301" s="2" t="s">
        <v>28</v>
      </c>
      <c r="S2301" s="9">
        <f t="shared" si="179"/>
        <v>0.05</v>
      </c>
    </row>
    <row r="2302" spans="1:19" x14ac:dyDescent="0.25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e">
        <f>VLOOKUP('Customer Info'!A2294,'Customer Info'!A2294:I2793,2,FALSE)</f>
        <v>#N/A</v>
      </c>
      <c r="H2302" s="6" t="e">
        <f>VLOOKUP('Customer Info'!A2294,'Customer Info'!A2294:I2794,3,FALSE)</f>
        <v>#N/A</v>
      </c>
      <c r="I2302" s="6" t="e">
        <f>VLOOKUP('Customer Info'!A2294,'Customer Info'!A2294:I2793,5,FALSE)</f>
        <v>#N/A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644</v>
      </c>
      <c r="R2302" s="2" t="s">
        <v>28</v>
      </c>
      <c r="S2302" s="9">
        <f t="shared" si="179"/>
        <v>0.02</v>
      </c>
    </row>
    <row r="2303" spans="1:19" x14ac:dyDescent="0.25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e">
        <f>VLOOKUP('Customer Info'!A2295,'Customer Info'!A2295:I2794,2,FALSE)</f>
        <v>#N/A</v>
      </c>
      <c r="H2303" s="6" t="e">
        <f>VLOOKUP('Customer Info'!A2295,'Customer Info'!A2295:I2795,3,FALSE)</f>
        <v>#N/A</v>
      </c>
      <c r="I2303" s="6" t="e">
        <f>VLOOKUP('Customer Info'!A2295,'Customer Info'!A2295:I2794,5,FALSE)</f>
        <v>#N/A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796</v>
      </c>
      <c r="R2303" s="2" t="s">
        <v>50</v>
      </c>
      <c r="S2303" s="9">
        <f t="shared" si="179"/>
        <v>0.05</v>
      </c>
    </row>
    <row r="2304" spans="1:19" x14ac:dyDescent="0.25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e">
        <f>VLOOKUP('Customer Info'!A2296,'Customer Info'!A2296:I2795,2,FALSE)</f>
        <v>#N/A</v>
      </c>
      <c r="H2304" s="6" t="e">
        <f>VLOOKUP('Customer Info'!A2296,'Customer Info'!A2296:I2796,3,FALSE)</f>
        <v>#N/A</v>
      </c>
      <c r="I2304" s="6" t="e">
        <f>VLOOKUP('Customer Info'!A2296,'Customer Info'!A2296:I2795,5,FALSE)</f>
        <v>#N/A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395</v>
      </c>
      <c r="R2304" s="2" t="s">
        <v>28</v>
      </c>
      <c r="S2304" s="9">
        <f t="shared" si="179"/>
        <v>0.05</v>
      </c>
    </row>
    <row r="2305" spans="1:19" x14ac:dyDescent="0.25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e">
        <f>VLOOKUP('Customer Info'!A2297,'Customer Info'!A2297:I2796,2,FALSE)</f>
        <v>#N/A</v>
      </c>
      <c r="H2305" s="6" t="e">
        <f>VLOOKUP('Customer Info'!A2297,'Customer Info'!A2297:I2797,3,FALSE)</f>
        <v>#N/A</v>
      </c>
      <c r="I2305" s="6" t="e">
        <f>VLOOKUP('Customer Info'!A2297,'Customer Info'!A2297:I2796,5,FALSE)</f>
        <v>#N/A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186</v>
      </c>
      <c r="R2305" s="2" t="s">
        <v>28</v>
      </c>
      <c r="S2305" s="9">
        <f t="shared" si="179"/>
        <v>0.02</v>
      </c>
    </row>
    <row r="2306" spans="1:19" x14ac:dyDescent="0.25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e">
        <f>VLOOKUP('Customer Info'!A2298,'Customer Info'!A2298:I2797,2,FALSE)</f>
        <v>#N/A</v>
      </c>
      <c r="H2306" s="6" t="e">
        <f>VLOOKUP('Customer Info'!A2298,'Customer Info'!A2298:I2798,3,FALSE)</f>
        <v>#N/A</v>
      </c>
      <c r="I2306" s="6" t="e">
        <f>VLOOKUP('Customer Info'!A2298,'Customer Info'!A2298:I2797,5,FALSE)</f>
        <v>#N/A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60</v>
      </c>
      <c r="R2306" s="2" t="s">
        <v>28</v>
      </c>
      <c r="S2306" s="9">
        <f t="shared" si="179"/>
        <v>0.02</v>
      </c>
    </row>
    <row r="2307" spans="1:19" x14ac:dyDescent="0.25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e">
        <f>VLOOKUP('Customer Info'!A2299,'Customer Info'!A2299:I2798,2,FALSE)</f>
        <v>#N/A</v>
      </c>
      <c r="H2307" s="6" t="e">
        <f>VLOOKUP('Customer Info'!A2299,'Customer Info'!A2299:I2799,3,FALSE)</f>
        <v>#N/A</v>
      </c>
      <c r="I2307" s="6" t="e">
        <f>VLOOKUP('Customer Info'!A2299,'Customer Info'!A2299:I2798,5,FALSE)</f>
        <v>#N/A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348</v>
      </c>
      <c r="R2307" s="2" t="s">
        <v>28</v>
      </c>
      <c r="S2307" s="9">
        <f t="shared" si="179"/>
        <v>0.02</v>
      </c>
    </row>
    <row r="2308" spans="1:19" x14ac:dyDescent="0.25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e">
        <f>VLOOKUP('Customer Info'!A2300,'Customer Info'!A2300:I2799,2,FALSE)</f>
        <v>#N/A</v>
      </c>
      <c r="H2308" s="6" t="e">
        <f>VLOOKUP('Customer Info'!A2300,'Customer Info'!A2300:I2800,3,FALSE)</f>
        <v>#N/A</v>
      </c>
      <c r="I2308" s="6" t="e">
        <f>VLOOKUP('Customer Info'!A2300,'Customer Info'!A2300:I2799,5,FALSE)</f>
        <v>#N/A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161</v>
      </c>
      <c r="R2308" s="2" t="s">
        <v>26</v>
      </c>
      <c r="S2308" s="9">
        <f t="shared" si="179"/>
        <v>0.02</v>
      </c>
    </row>
    <row r="2309" spans="1:19" x14ac:dyDescent="0.25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e">
        <f>VLOOKUP('Customer Info'!A2301,'Customer Info'!A2301:I2800,2,FALSE)</f>
        <v>#N/A</v>
      </c>
      <c r="H2309" s="6" t="e">
        <f>VLOOKUP('Customer Info'!A2301,'Customer Info'!A2301:I2801,3,FALSE)</f>
        <v>#N/A</v>
      </c>
      <c r="I2309" s="6" t="e">
        <f>VLOOKUP('Customer Info'!A2301,'Customer Info'!A2301:I2800,5,FALSE)</f>
        <v>#N/A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287</v>
      </c>
      <c r="R2309" s="2" t="s">
        <v>50</v>
      </c>
      <c r="S2309" s="9">
        <f t="shared" si="179"/>
        <v>0.02</v>
      </c>
    </row>
    <row r="2310" spans="1:19" x14ac:dyDescent="0.25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e">
        <f>VLOOKUP('Customer Info'!A2302,'Customer Info'!A2302:I2801,2,FALSE)</f>
        <v>#N/A</v>
      </c>
      <c r="H2310" s="6" t="e">
        <f>VLOOKUP('Customer Info'!A2302,'Customer Info'!A2302:I2802,3,FALSE)</f>
        <v>#N/A</v>
      </c>
      <c r="I2310" s="6" t="e">
        <f>VLOOKUP('Customer Info'!A2302,'Customer Info'!A2302:I2801,5,FALSE)</f>
        <v>#N/A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301</v>
      </c>
      <c r="R2310" s="2" t="s">
        <v>28</v>
      </c>
      <c r="S2310" s="9">
        <f t="shared" si="179"/>
        <v>0.02</v>
      </c>
    </row>
    <row r="2311" spans="1:19" x14ac:dyDescent="0.25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e">
        <f>VLOOKUP('Customer Info'!A2303,'Customer Info'!A2303:I2802,2,FALSE)</f>
        <v>#N/A</v>
      </c>
      <c r="H2311" s="6" t="e">
        <f>VLOOKUP('Customer Info'!A2303,'Customer Info'!A2303:I2803,3,FALSE)</f>
        <v>#N/A</v>
      </c>
      <c r="I2311" s="6" t="e">
        <f>VLOOKUP('Customer Info'!A2303,'Customer Info'!A2303:I2802,5,FALSE)</f>
        <v>#N/A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201</v>
      </c>
      <c r="R2311" s="2" t="s">
        <v>28</v>
      </c>
      <c r="S2311" s="9">
        <f t="shared" si="179"/>
        <v>0.02</v>
      </c>
    </row>
    <row r="2312" spans="1:19" x14ac:dyDescent="0.25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e">
        <f>VLOOKUP('Customer Info'!A2304,'Customer Info'!A2304:I2803,2,FALSE)</f>
        <v>#N/A</v>
      </c>
      <c r="H2312" s="6" t="e">
        <f>VLOOKUP('Customer Info'!A2304,'Customer Info'!A2304:I2804,3,FALSE)</f>
        <v>#N/A</v>
      </c>
      <c r="I2312" s="6" t="e">
        <f>VLOOKUP('Customer Info'!A2304,'Customer Info'!A2304:I2803,5,FALSE)</f>
        <v>#N/A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354</v>
      </c>
      <c r="R2312" s="2" t="s">
        <v>26</v>
      </c>
      <c r="S2312" s="9">
        <f t="shared" si="179"/>
        <v>0.05</v>
      </c>
    </row>
    <row r="2313" spans="1:19" x14ac:dyDescent="0.25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e">
        <f>VLOOKUP('Customer Info'!A2305,'Customer Info'!A2305:I2804,2,FALSE)</f>
        <v>#N/A</v>
      </c>
      <c r="H2313" s="6" t="e">
        <f>VLOOKUP('Customer Info'!A2305,'Customer Info'!A2305:I2805,3,FALSE)</f>
        <v>#N/A</v>
      </c>
      <c r="I2313" s="6" t="e">
        <f>VLOOKUP('Customer Info'!A2305,'Customer Info'!A2305:I2804,5,FALSE)</f>
        <v>#N/A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41</v>
      </c>
      <c r="R2313" s="2" t="s">
        <v>50</v>
      </c>
      <c r="S2313" s="9">
        <f t="shared" si="179"/>
        <v>0.02</v>
      </c>
    </row>
    <row r="2314" spans="1:19" x14ac:dyDescent="0.25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e">
        <f>VLOOKUP('Customer Info'!A2306,'Customer Info'!A2306:I2805,2,FALSE)</f>
        <v>#N/A</v>
      </c>
      <c r="H2314" s="6" t="e">
        <f>VLOOKUP('Customer Info'!A2306,'Customer Info'!A2306:I2806,3,FALSE)</f>
        <v>#N/A</v>
      </c>
      <c r="I2314" s="6" t="e">
        <f>VLOOKUP('Customer Info'!A2306,'Customer Info'!A2306:I2805,5,FALSE)</f>
        <v>#N/A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191</v>
      </c>
      <c r="R2314" s="2" t="s">
        <v>28</v>
      </c>
      <c r="S2314" s="9">
        <f t="shared" si="179"/>
        <v>0.02</v>
      </c>
    </row>
    <row r="2315" spans="1:19" x14ac:dyDescent="0.25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e">
        <f>VLOOKUP('Customer Info'!A2307,'Customer Info'!A2307:I2806,2,FALSE)</f>
        <v>#N/A</v>
      </c>
      <c r="H2315" s="6" t="e">
        <f>VLOOKUP('Customer Info'!A2307,'Customer Info'!A2307:I2807,3,FALSE)</f>
        <v>#N/A</v>
      </c>
      <c r="I2315" s="6" t="e">
        <f>VLOOKUP('Customer Info'!A2307,'Customer Info'!A2307:I2806,5,FALSE)</f>
        <v>#N/A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8">
        <f t="shared" ref="P2315:P2378" si="182">N2315+O2315</f>
        <v>15997</v>
      </c>
      <c r="Q2315" s="8">
        <f t="shared" ref="Q2315:Q2378" si="183">P2315-M2315</f>
        <v>1247</v>
      </c>
      <c r="R2315" s="2" t="s">
        <v>28</v>
      </c>
      <c r="S2315" s="9">
        <f t="shared" ref="S2315:S2378" si="184">VLOOKUP(P2315,$T$2:$U$7,2,TRUE)</f>
        <v>0.05</v>
      </c>
    </row>
    <row r="2316" spans="1:19" x14ac:dyDescent="0.25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e">
        <f>VLOOKUP('Customer Info'!A2308,'Customer Info'!A2308:I2807,2,FALSE)</f>
        <v>#N/A</v>
      </c>
      <c r="H2316" s="6" t="e">
        <f>VLOOKUP('Customer Info'!A2308,'Customer Info'!A2308:I2808,3,FALSE)</f>
        <v>#N/A</v>
      </c>
      <c r="I2316" s="6" t="e">
        <f>VLOOKUP('Customer Info'!A2308,'Customer Info'!A2308:I2807,5,FALSE)</f>
        <v>#N/A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9464</v>
      </c>
      <c r="R2316" s="2" t="s">
        <v>28</v>
      </c>
      <c r="S2316" s="9">
        <f t="shared" si="184"/>
        <v>0.09</v>
      </c>
    </row>
    <row r="2317" spans="1:19" x14ac:dyDescent="0.25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e">
        <f>VLOOKUP('Customer Info'!A2309,'Customer Info'!A2309:I2808,2,FALSE)</f>
        <v>#N/A</v>
      </c>
      <c r="H2317" s="6" t="e">
        <f>VLOOKUP('Customer Info'!A2309,'Customer Info'!A2309:I2809,3,FALSE)</f>
        <v>#N/A</v>
      </c>
      <c r="I2317" s="6" t="e">
        <f>VLOOKUP('Customer Info'!A2309,'Customer Info'!A2309:I2808,5,FALSE)</f>
        <v>#N/A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15</v>
      </c>
      <c r="R2317" s="2" t="s">
        <v>28</v>
      </c>
      <c r="S2317" s="9">
        <f t="shared" si="184"/>
        <v>0.02</v>
      </c>
    </row>
    <row r="2318" spans="1:19" x14ac:dyDescent="0.25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e">
        <f>VLOOKUP('Customer Info'!A2310,'Customer Info'!A2310:I2809,2,FALSE)</f>
        <v>#N/A</v>
      </c>
      <c r="H2318" s="6" t="e">
        <f>VLOOKUP('Customer Info'!A2310,'Customer Info'!A2310:I2810,3,FALSE)</f>
        <v>#N/A</v>
      </c>
      <c r="I2318" s="6" t="e">
        <f>VLOOKUP('Customer Info'!A2310,'Customer Info'!A2310:I2809,5,FALSE)</f>
        <v>#N/A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90</v>
      </c>
      <c r="R2318" s="2" t="s">
        <v>50</v>
      </c>
      <c r="S2318" s="9">
        <f t="shared" si="184"/>
        <v>0.02</v>
      </c>
    </row>
    <row r="2319" spans="1:19" x14ac:dyDescent="0.25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e">
        <f>VLOOKUP('Customer Info'!A2311,'Customer Info'!A2311:I2810,2,FALSE)</f>
        <v>#N/A</v>
      </c>
      <c r="H2319" s="6" t="e">
        <f>VLOOKUP('Customer Info'!A2311,'Customer Info'!A2311:I2811,3,FALSE)</f>
        <v>#N/A</v>
      </c>
      <c r="I2319" s="6" t="e">
        <f>VLOOKUP('Customer Info'!A2311,'Customer Info'!A2311:I2810,5,FALSE)</f>
        <v>#N/A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556</v>
      </c>
      <c r="R2319" s="2" t="s">
        <v>28</v>
      </c>
      <c r="S2319" s="9">
        <f t="shared" si="184"/>
        <v>0.02</v>
      </c>
    </row>
    <row r="2320" spans="1:19" x14ac:dyDescent="0.25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e">
        <f>VLOOKUP('Customer Info'!A2312,'Customer Info'!A2312:I2811,2,FALSE)</f>
        <v>#N/A</v>
      </c>
      <c r="H2320" s="6" t="e">
        <f>VLOOKUP('Customer Info'!A2312,'Customer Info'!A2312:I2812,3,FALSE)</f>
        <v>#N/A</v>
      </c>
      <c r="I2320" s="6" t="e">
        <f>VLOOKUP('Customer Info'!A2312,'Customer Info'!A2312:I2811,5,FALSE)</f>
        <v>#N/A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932</v>
      </c>
      <c r="R2320" s="2" t="s">
        <v>28</v>
      </c>
      <c r="S2320" s="9">
        <f t="shared" si="184"/>
        <v>0.05</v>
      </c>
    </row>
    <row r="2321" spans="1:19" x14ac:dyDescent="0.25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e">
        <f>VLOOKUP('Customer Info'!A2313,'Customer Info'!A2313:I2812,2,FALSE)</f>
        <v>#N/A</v>
      </c>
      <c r="H2321" s="6" t="e">
        <f>VLOOKUP('Customer Info'!A2313,'Customer Info'!A2313:I2813,3,FALSE)</f>
        <v>#N/A</v>
      </c>
      <c r="I2321" s="6" t="e">
        <f>VLOOKUP('Customer Info'!A2313,'Customer Info'!A2313:I2812,5,FALSE)</f>
        <v>#N/A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337</v>
      </c>
      <c r="R2321" s="2" t="s">
        <v>56</v>
      </c>
      <c r="S2321" s="9">
        <f t="shared" si="184"/>
        <v>0.02</v>
      </c>
    </row>
    <row r="2322" spans="1:19" x14ac:dyDescent="0.25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e">
        <f>VLOOKUP('Customer Info'!A2314,'Customer Info'!A2314:I2813,2,FALSE)</f>
        <v>#N/A</v>
      </c>
      <c r="H2322" s="6" t="e">
        <f>VLOOKUP('Customer Info'!A2314,'Customer Info'!A2314:I2814,3,FALSE)</f>
        <v>#N/A</v>
      </c>
      <c r="I2322" s="6" t="e">
        <f>VLOOKUP('Customer Info'!A2314,'Customer Info'!A2314:I2813,5,FALSE)</f>
        <v>#N/A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410</v>
      </c>
      <c r="R2322" s="2" t="s">
        <v>26</v>
      </c>
      <c r="S2322" s="9">
        <f t="shared" si="184"/>
        <v>0.02</v>
      </c>
    </row>
    <row r="2323" spans="1:19" x14ac:dyDescent="0.25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e">
        <f>VLOOKUP('Customer Info'!A2315,'Customer Info'!A2315:I2814,2,FALSE)</f>
        <v>#N/A</v>
      </c>
      <c r="H2323" s="6" t="e">
        <f>VLOOKUP('Customer Info'!A2315,'Customer Info'!A2315:I2815,3,FALSE)</f>
        <v>#N/A</v>
      </c>
      <c r="I2323" s="6" t="e">
        <f>VLOOKUP('Customer Info'!A2315,'Customer Info'!A2315:I2814,5,FALSE)</f>
        <v>#N/A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247</v>
      </c>
      <c r="R2323" s="2" t="s">
        <v>28</v>
      </c>
      <c r="S2323" s="9">
        <f t="shared" si="184"/>
        <v>0.02</v>
      </c>
    </row>
    <row r="2324" spans="1:19" x14ac:dyDescent="0.25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e">
        <f>VLOOKUP('Customer Info'!A2316,'Customer Info'!A2316:I2815,2,FALSE)</f>
        <v>#N/A</v>
      </c>
      <c r="H2324" s="6" t="e">
        <f>VLOOKUP('Customer Info'!A2316,'Customer Info'!A2316:I2816,3,FALSE)</f>
        <v>#N/A</v>
      </c>
      <c r="I2324" s="6" t="e">
        <f>VLOOKUP('Customer Info'!A2316,'Customer Info'!A2316:I2815,5,FALSE)</f>
        <v>#N/A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51</v>
      </c>
      <c r="R2324" s="2" t="s">
        <v>28</v>
      </c>
      <c r="S2324" s="9">
        <f t="shared" si="184"/>
        <v>0.02</v>
      </c>
    </row>
    <row r="2325" spans="1:19" x14ac:dyDescent="0.25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e">
        <f>VLOOKUP('Customer Info'!A2317,'Customer Info'!A2317:I2816,2,FALSE)</f>
        <v>#N/A</v>
      </c>
      <c r="H2325" s="6" t="e">
        <f>VLOOKUP('Customer Info'!A2317,'Customer Info'!A2317:I2817,3,FALSE)</f>
        <v>#N/A</v>
      </c>
      <c r="I2325" s="6" t="e">
        <f>VLOOKUP('Customer Info'!A2317,'Customer Info'!A2317:I2816,5,FALSE)</f>
        <v>#N/A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1040</v>
      </c>
      <c r="R2325" s="2" t="s">
        <v>28</v>
      </c>
      <c r="S2325" s="9">
        <f t="shared" si="184"/>
        <v>0.05</v>
      </c>
    </row>
    <row r="2326" spans="1:19" x14ac:dyDescent="0.25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e">
        <f>VLOOKUP('Customer Info'!A2318,'Customer Info'!A2318:I2817,2,FALSE)</f>
        <v>#N/A</v>
      </c>
      <c r="H2326" s="6" t="e">
        <f>VLOOKUP('Customer Info'!A2318,'Customer Info'!A2318:I2818,3,FALSE)</f>
        <v>#N/A</v>
      </c>
      <c r="I2326" s="6" t="e">
        <f>VLOOKUP('Customer Info'!A2318,'Customer Info'!A2318:I2817,5,FALSE)</f>
        <v>#N/A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3198</v>
      </c>
      <c r="R2326" s="2" t="s">
        <v>28</v>
      </c>
      <c r="S2326" s="9">
        <f t="shared" si="184"/>
        <v>7.0000000000000007E-2</v>
      </c>
    </row>
    <row r="2327" spans="1:19" x14ac:dyDescent="0.25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e">
        <f>VLOOKUP('Customer Info'!A2319,'Customer Info'!A2319:I2818,2,FALSE)</f>
        <v>#N/A</v>
      </c>
      <c r="H2327" s="6" t="e">
        <f>VLOOKUP('Customer Info'!A2319,'Customer Info'!A2319:I2819,3,FALSE)</f>
        <v>#N/A</v>
      </c>
      <c r="I2327" s="6" t="e">
        <f>VLOOKUP('Customer Info'!A2319,'Customer Info'!A2319:I2818,5,FALSE)</f>
        <v>#N/A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200</v>
      </c>
      <c r="R2327" s="2" t="s">
        <v>28</v>
      </c>
      <c r="S2327" s="9">
        <f t="shared" si="184"/>
        <v>0.02</v>
      </c>
    </row>
    <row r="2328" spans="1:19" x14ac:dyDescent="0.25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e">
        <f>VLOOKUP('Customer Info'!A2320,'Customer Info'!A2320:I2819,2,FALSE)</f>
        <v>#N/A</v>
      </c>
      <c r="H2328" s="6" t="e">
        <f>VLOOKUP('Customer Info'!A2320,'Customer Info'!A2320:I2820,3,FALSE)</f>
        <v>#N/A</v>
      </c>
      <c r="I2328" s="6" t="e">
        <f>VLOOKUP('Customer Info'!A2320,'Customer Info'!A2320:I2819,5,FALSE)</f>
        <v>#N/A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820</v>
      </c>
      <c r="R2328" s="2" t="s">
        <v>50</v>
      </c>
      <c r="S2328" s="9">
        <f t="shared" si="184"/>
        <v>0.05</v>
      </c>
    </row>
    <row r="2329" spans="1:19" x14ac:dyDescent="0.25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e">
        <f>VLOOKUP('Customer Info'!A2321,'Customer Info'!A2321:I2820,2,FALSE)</f>
        <v>#N/A</v>
      </c>
      <c r="H2329" s="6" t="e">
        <f>VLOOKUP('Customer Info'!A2321,'Customer Info'!A2321:I2821,3,FALSE)</f>
        <v>#N/A</v>
      </c>
      <c r="I2329" s="6" t="e">
        <f>VLOOKUP('Customer Info'!A2321,'Customer Info'!A2321:I2820,5,FALSE)</f>
        <v>#N/A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55</v>
      </c>
      <c r="R2329" s="2" t="s">
        <v>28</v>
      </c>
      <c r="S2329" s="9">
        <f t="shared" si="184"/>
        <v>0.02</v>
      </c>
    </row>
    <row r="2330" spans="1:19" x14ac:dyDescent="0.25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e">
        <f>VLOOKUP('Customer Info'!A2322,'Customer Info'!A2322:I2821,2,FALSE)</f>
        <v>#N/A</v>
      </c>
      <c r="H2330" s="6" t="e">
        <f>VLOOKUP('Customer Info'!A2322,'Customer Info'!A2322:I2822,3,FALSE)</f>
        <v>#N/A</v>
      </c>
      <c r="I2330" s="6" t="e">
        <f>VLOOKUP('Customer Info'!A2322,'Customer Info'!A2322:I2821,5,FALSE)</f>
        <v>#N/A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279</v>
      </c>
      <c r="R2330" s="2" t="s">
        <v>28</v>
      </c>
      <c r="S2330" s="9">
        <f t="shared" si="184"/>
        <v>0.02</v>
      </c>
    </row>
    <row r="2331" spans="1:19" x14ac:dyDescent="0.25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e">
        <f>VLOOKUP('Customer Info'!A2323,'Customer Info'!A2323:I2822,2,FALSE)</f>
        <v>#N/A</v>
      </c>
      <c r="H2331" s="6" t="e">
        <f>VLOOKUP('Customer Info'!A2323,'Customer Info'!A2323:I2823,3,FALSE)</f>
        <v>#N/A</v>
      </c>
      <c r="I2331" s="6" t="e">
        <f>VLOOKUP('Customer Info'!A2323,'Customer Info'!A2323:I2822,5,FALSE)</f>
        <v>#N/A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734</v>
      </c>
      <c r="R2331" s="2" t="s">
        <v>50</v>
      </c>
      <c r="S2331" s="9">
        <f t="shared" si="184"/>
        <v>0.05</v>
      </c>
    </row>
    <row r="2332" spans="1:19" x14ac:dyDescent="0.25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e">
        <f>VLOOKUP('Customer Info'!A2324,'Customer Info'!A2324:I2823,2,FALSE)</f>
        <v>#N/A</v>
      </c>
      <c r="H2332" s="6" t="e">
        <f>VLOOKUP('Customer Info'!A2324,'Customer Info'!A2324:I2824,3,FALSE)</f>
        <v>#N/A</v>
      </c>
      <c r="I2332" s="6" t="e">
        <f>VLOOKUP('Customer Info'!A2324,'Customer Info'!A2324:I2823,5,FALSE)</f>
        <v>#N/A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150</v>
      </c>
      <c r="R2332" s="2" t="s">
        <v>28</v>
      </c>
      <c r="S2332" s="9">
        <f t="shared" si="184"/>
        <v>0.02</v>
      </c>
    </row>
    <row r="2333" spans="1:19" x14ac:dyDescent="0.25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e">
        <f>VLOOKUP('Customer Info'!A2325,'Customer Info'!A2325:I2824,2,FALSE)</f>
        <v>#N/A</v>
      </c>
      <c r="H2333" s="6" t="e">
        <f>VLOOKUP('Customer Info'!A2325,'Customer Info'!A2325:I2825,3,FALSE)</f>
        <v>#N/A</v>
      </c>
      <c r="I2333" s="6" t="e">
        <f>VLOOKUP('Customer Info'!A2325,'Customer Info'!A2325:I2824,5,FALSE)</f>
        <v>#N/A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217</v>
      </c>
      <c r="R2333" s="2" t="s">
        <v>50</v>
      </c>
      <c r="S2333" s="9">
        <f t="shared" si="184"/>
        <v>0.02</v>
      </c>
    </row>
    <row r="2334" spans="1:19" x14ac:dyDescent="0.25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e">
        <f>VLOOKUP('Customer Info'!A2326,'Customer Info'!A2326:I2825,2,FALSE)</f>
        <v>#N/A</v>
      </c>
      <c r="H2334" s="6" t="e">
        <f>VLOOKUP('Customer Info'!A2326,'Customer Info'!A2326:I2826,3,FALSE)</f>
        <v>#N/A</v>
      </c>
      <c r="I2334" s="6" t="e">
        <f>VLOOKUP('Customer Info'!A2326,'Customer Info'!A2326:I2825,5,FALSE)</f>
        <v>#N/A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4373</v>
      </c>
      <c r="R2334" s="2" t="s">
        <v>50</v>
      </c>
      <c r="S2334" s="9">
        <f t="shared" si="184"/>
        <v>7.0000000000000007E-2</v>
      </c>
    </row>
    <row r="2335" spans="1:19" x14ac:dyDescent="0.25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e">
        <f>VLOOKUP('Customer Info'!A2327,'Customer Info'!A2327:I2826,2,FALSE)</f>
        <v>#N/A</v>
      </c>
      <c r="H2335" s="6" t="e">
        <f>VLOOKUP('Customer Info'!A2327,'Customer Info'!A2327:I2827,3,FALSE)</f>
        <v>#N/A</v>
      </c>
      <c r="I2335" s="6" t="e">
        <f>VLOOKUP('Customer Info'!A2327,'Customer Info'!A2327:I2826,5,FALSE)</f>
        <v>#N/A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2335</v>
      </c>
      <c r="R2335" s="2" t="s">
        <v>28</v>
      </c>
      <c r="S2335" s="9">
        <f t="shared" si="184"/>
        <v>7.0000000000000007E-2</v>
      </c>
    </row>
    <row r="2336" spans="1:19" x14ac:dyDescent="0.25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e">
        <f>VLOOKUP('Customer Info'!A2328,'Customer Info'!A2328:I2827,2,FALSE)</f>
        <v>#N/A</v>
      </c>
      <c r="H2336" s="6" t="e">
        <f>VLOOKUP('Customer Info'!A2328,'Customer Info'!A2328:I2828,3,FALSE)</f>
        <v>#N/A</v>
      </c>
      <c r="I2336" s="6" t="e">
        <f>VLOOKUP('Customer Info'!A2328,'Customer Info'!A2328:I2827,5,FALSE)</f>
        <v>#N/A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209</v>
      </c>
      <c r="R2336" s="2" t="s">
        <v>50</v>
      </c>
      <c r="S2336" s="9">
        <f t="shared" si="184"/>
        <v>0.02</v>
      </c>
    </row>
    <row r="2337" spans="1:19" x14ac:dyDescent="0.25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e">
        <f>VLOOKUP('Customer Info'!A2329,'Customer Info'!A2329:I2828,2,FALSE)</f>
        <v>#N/A</v>
      </c>
      <c r="H2337" s="6" t="e">
        <f>VLOOKUP('Customer Info'!A2329,'Customer Info'!A2329:I2829,3,FALSE)</f>
        <v>#N/A</v>
      </c>
      <c r="I2337" s="6" t="e">
        <f>VLOOKUP('Customer Info'!A2329,'Customer Info'!A2329:I2828,5,FALSE)</f>
        <v>#N/A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305</v>
      </c>
      <c r="R2337" s="2" t="s">
        <v>28</v>
      </c>
      <c r="S2337" s="9">
        <f t="shared" si="184"/>
        <v>0.02</v>
      </c>
    </row>
    <row r="2338" spans="1:19" x14ac:dyDescent="0.25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e">
        <f>VLOOKUP('Customer Info'!A2330,'Customer Info'!A2330:I2829,2,FALSE)</f>
        <v>#N/A</v>
      </c>
      <c r="H2338" s="6" t="e">
        <f>VLOOKUP('Customer Info'!A2330,'Customer Info'!A2330:I2830,3,FALSE)</f>
        <v>#N/A</v>
      </c>
      <c r="I2338" s="6" t="e">
        <f>VLOOKUP('Customer Info'!A2330,'Customer Info'!A2330:I2829,5,FALSE)</f>
        <v>#N/A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2640</v>
      </c>
      <c r="R2338" s="2" t="s">
        <v>28</v>
      </c>
      <c r="S2338" s="9">
        <f t="shared" si="184"/>
        <v>7.0000000000000007E-2</v>
      </c>
    </row>
    <row r="2339" spans="1:19" x14ac:dyDescent="0.25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e">
        <f>VLOOKUP('Customer Info'!A2331,'Customer Info'!A2331:I2830,2,FALSE)</f>
        <v>#N/A</v>
      </c>
      <c r="H2339" s="6" t="e">
        <f>VLOOKUP('Customer Info'!A2331,'Customer Info'!A2331:I2831,3,FALSE)</f>
        <v>#N/A</v>
      </c>
      <c r="I2339" s="6" t="e">
        <f>VLOOKUP('Customer Info'!A2331,'Customer Info'!A2331:I2830,5,FALSE)</f>
        <v>#N/A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72</v>
      </c>
      <c r="R2339" s="2" t="s">
        <v>28</v>
      </c>
      <c r="S2339" s="9">
        <f t="shared" si="184"/>
        <v>0.02</v>
      </c>
    </row>
    <row r="2340" spans="1:19" x14ac:dyDescent="0.25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e">
        <f>VLOOKUP('Customer Info'!A2332,'Customer Info'!A2332:I2831,2,FALSE)</f>
        <v>#N/A</v>
      </c>
      <c r="H2340" s="6" t="e">
        <f>VLOOKUP('Customer Info'!A2332,'Customer Info'!A2332:I2832,3,FALSE)</f>
        <v>#N/A</v>
      </c>
      <c r="I2340" s="6" t="e">
        <f>VLOOKUP('Customer Info'!A2332,'Customer Info'!A2332:I2831,5,FALSE)</f>
        <v>#N/A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695</v>
      </c>
      <c r="R2340" s="2" t="s">
        <v>28</v>
      </c>
      <c r="S2340" s="9">
        <f t="shared" si="184"/>
        <v>0.05</v>
      </c>
    </row>
    <row r="2341" spans="1:19" x14ac:dyDescent="0.25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e">
        <f>VLOOKUP('Customer Info'!A2333,'Customer Info'!A2333:I2832,2,FALSE)</f>
        <v>#N/A</v>
      </c>
      <c r="H2341" s="6" t="e">
        <f>VLOOKUP('Customer Info'!A2333,'Customer Info'!A2333:I2833,3,FALSE)</f>
        <v>#N/A</v>
      </c>
      <c r="I2341" s="6" t="e">
        <f>VLOOKUP('Customer Info'!A2333,'Customer Info'!A2333:I2832,5,FALSE)</f>
        <v>#N/A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764</v>
      </c>
      <c r="R2341" s="2" t="s">
        <v>26</v>
      </c>
      <c r="S2341" s="9">
        <f t="shared" si="184"/>
        <v>0.05</v>
      </c>
    </row>
    <row r="2342" spans="1:19" x14ac:dyDescent="0.25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e">
        <f>VLOOKUP('Customer Info'!A2334,'Customer Info'!A2334:I2833,2,FALSE)</f>
        <v>#N/A</v>
      </c>
      <c r="H2342" s="6" t="e">
        <f>VLOOKUP('Customer Info'!A2334,'Customer Info'!A2334:I2834,3,FALSE)</f>
        <v>#N/A</v>
      </c>
      <c r="I2342" s="6" t="e">
        <f>VLOOKUP('Customer Info'!A2334,'Customer Info'!A2334:I2833,5,FALSE)</f>
        <v>#N/A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66</v>
      </c>
      <c r="R2342" s="2" t="s">
        <v>50</v>
      </c>
      <c r="S2342" s="9">
        <f t="shared" si="184"/>
        <v>0.02</v>
      </c>
    </row>
    <row r="2343" spans="1:19" x14ac:dyDescent="0.25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e">
        <f>VLOOKUP('Customer Info'!A2335,'Customer Info'!A2335:I2834,2,FALSE)</f>
        <v>#N/A</v>
      </c>
      <c r="H2343" s="6" t="e">
        <f>VLOOKUP('Customer Info'!A2335,'Customer Info'!A2335:I2835,3,FALSE)</f>
        <v>#N/A</v>
      </c>
      <c r="I2343" s="6" t="e">
        <f>VLOOKUP('Customer Info'!A2335,'Customer Info'!A2335:I2834,5,FALSE)</f>
        <v>#N/A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26</v>
      </c>
      <c r="R2343" s="2" t="s">
        <v>28</v>
      </c>
      <c r="S2343" s="9">
        <f t="shared" si="184"/>
        <v>0.02</v>
      </c>
    </row>
    <row r="2344" spans="1:19" x14ac:dyDescent="0.25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e">
        <f>VLOOKUP('Customer Info'!A2336,'Customer Info'!A2336:I2835,2,FALSE)</f>
        <v>#N/A</v>
      </c>
      <c r="H2344" s="6" t="e">
        <f>VLOOKUP('Customer Info'!A2336,'Customer Info'!A2336:I2836,3,FALSE)</f>
        <v>#N/A</v>
      </c>
      <c r="I2344" s="6" t="e">
        <f>VLOOKUP('Customer Info'!A2336,'Customer Info'!A2336:I2835,5,FALSE)</f>
        <v>#N/A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611</v>
      </c>
      <c r="R2344" s="2" t="s">
        <v>28</v>
      </c>
      <c r="S2344" s="9">
        <f t="shared" si="184"/>
        <v>0.05</v>
      </c>
    </row>
    <row r="2345" spans="1:19" x14ac:dyDescent="0.25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e">
        <f>VLOOKUP('Customer Info'!A2337,'Customer Info'!A2337:I2836,2,FALSE)</f>
        <v>#N/A</v>
      </c>
      <c r="H2345" s="6" t="e">
        <f>VLOOKUP('Customer Info'!A2337,'Customer Info'!A2337:I2837,3,FALSE)</f>
        <v>#N/A</v>
      </c>
      <c r="I2345" s="6" t="e">
        <f>VLOOKUP('Customer Info'!A2337,'Customer Info'!A2337:I2836,5,FALSE)</f>
        <v>#N/A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4163</v>
      </c>
      <c r="R2345" s="2" t="s">
        <v>50</v>
      </c>
      <c r="S2345" s="9">
        <f t="shared" si="184"/>
        <v>0.12</v>
      </c>
    </row>
    <row r="2346" spans="1:19" x14ac:dyDescent="0.25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e">
        <f>VLOOKUP('Customer Info'!A2338,'Customer Info'!A2338:I2837,2,FALSE)</f>
        <v>#N/A</v>
      </c>
      <c r="H2346" s="6" t="e">
        <f>VLOOKUP('Customer Info'!A2338,'Customer Info'!A2338:I2838,3,FALSE)</f>
        <v>#N/A</v>
      </c>
      <c r="I2346" s="6" t="e">
        <f>VLOOKUP('Customer Info'!A2338,'Customer Info'!A2338:I2837,5,FALSE)</f>
        <v>#N/A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1536</v>
      </c>
      <c r="R2346" s="2" t="s">
        <v>28</v>
      </c>
      <c r="S2346" s="9">
        <f t="shared" si="184"/>
        <v>7.0000000000000007E-2</v>
      </c>
    </row>
    <row r="2347" spans="1:19" x14ac:dyDescent="0.25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e">
        <f>VLOOKUP('Customer Info'!A2339,'Customer Info'!A2339:I2838,2,FALSE)</f>
        <v>#N/A</v>
      </c>
      <c r="H2347" s="6" t="e">
        <f>VLOOKUP('Customer Info'!A2339,'Customer Info'!A2339:I2839,3,FALSE)</f>
        <v>#N/A</v>
      </c>
      <c r="I2347" s="6" t="e">
        <f>VLOOKUP('Customer Info'!A2339,'Customer Info'!A2339:I2838,5,FALSE)</f>
        <v>#N/A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316</v>
      </c>
      <c r="R2347" s="2" t="s">
        <v>26</v>
      </c>
      <c r="S2347" s="9">
        <f t="shared" si="184"/>
        <v>0.02</v>
      </c>
    </row>
    <row r="2348" spans="1:19" x14ac:dyDescent="0.25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e">
        <f>VLOOKUP('Customer Info'!A2340,'Customer Info'!A2340:I2839,2,FALSE)</f>
        <v>#N/A</v>
      </c>
      <c r="H2348" s="6" t="e">
        <f>VLOOKUP('Customer Info'!A2340,'Customer Info'!A2340:I2840,3,FALSE)</f>
        <v>#N/A</v>
      </c>
      <c r="I2348" s="6" t="e">
        <f>VLOOKUP('Customer Info'!A2340,'Customer Info'!A2340:I2839,5,FALSE)</f>
        <v>#N/A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55</v>
      </c>
      <c r="R2348" s="2" t="s">
        <v>28</v>
      </c>
      <c r="S2348" s="9">
        <f t="shared" si="184"/>
        <v>0.02</v>
      </c>
    </row>
    <row r="2349" spans="1:19" x14ac:dyDescent="0.25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e">
        <f>VLOOKUP('Customer Info'!A2341,'Customer Info'!A2341:I2840,2,FALSE)</f>
        <v>#N/A</v>
      </c>
      <c r="H2349" s="6" t="e">
        <f>VLOOKUP('Customer Info'!A2341,'Customer Info'!A2341:I2841,3,FALSE)</f>
        <v>#N/A</v>
      </c>
      <c r="I2349" s="6" t="e">
        <f>VLOOKUP('Customer Info'!A2341,'Customer Info'!A2341:I2840,5,FALSE)</f>
        <v>#N/A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140</v>
      </c>
      <c r="R2349" s="2" t="s">
        <v>26</v>
      </c>
      <c r="S2349" s="9">
        <f t="shared" si="184"/>
        <v>0.02</v>
      </c>
    </row>
    <row r="2350" spans="1:19" x14ac:dyDescent="0.25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e">
        <f>VLOOKUP('Customer Info'!A2342,'Customer Info'!A2342:I2841,2,FALSE)</f>
        <v>#N/A</v>
      </c>
      <c r="H2350" s="6" t="e">
        <f>VLOOKUP('Customer Info'!A2342,'Customer Info'!A2342:I2842,3,FALSE)</f>
        <v>#N/A</v>
      </c>
      <c r="I2350" s="6" t="e">
        <f>VLOOKUP('Customer Info'!A2342,'Customer Info'!A2342:I2841,5,FALSE)</f>
        <v>#N/A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70</v>
      </c>
      <c r="R2350" s="2" t="s">
        <v>50</v>
      </c>
      <c r="S2350" s="9">
        <f t="shared" si="184"/>
        <v>0.02</v>
      </c>
    </row>
    <row r="2351" spans="1:19" x14ac:dyDescent="0.25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e">
        <f>VLOOKUP('Customer Info'!A2343,'Customer Info'!A2343:I2842,2,FALSE)</f>
        <v>#N/A</v>
      </c>
      <c r="H2351" s="6" t="e">
        <f>VLOOKUP('Customer Info'!A2343,'Customer Info'!A2343:I2843,3,FALSE)</f>
        <v>#N/A</v>
      </c>
      <c r="I2351" s="6" t="e">
        <f>VLOOKUP('Customer Info'!A2343,'Customer Info'!A2343:I2842,5,FALSE)</f>
        <v>#N/A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278</v>
      </c>
      <c r="R2351" s="2" t="s">
        <v>26</v>
      </c>
      <c r="S2351" s="9">
        <f t="shared" si="184"/>
        <v>0.02</v>
      </c>
    </row>
    <row r="2352" spans="1:19" x14ac:dyDescent="0.25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e">
        <f>VLOOKUP('Customer Info'!A2344,'Customer Info'!A2344:I2843,2,FALSE)</f>
        <v>#N/A</v>
      </c>
      <c r="H2352" s="6" t="e">
        <f>VLOOKUP('Customer Info'!A2344,'Customer Info'!A2344:I2844,3,FALSE)</f>
        <v>#N/A</v>
      </c>
      <c r="I2352" s="6" t="e">
        <f>VLOOKUP('Customer Info'!A2344,'Customer Info'!A2344:I2843,5,FALSE)</f>
        <v>#N/A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130</v>
      </c>
      <c r="R2352" s="2" t="s">
        <v>28</v>
      </c>
      <c r="S2352" s="9">
        <f t="shared" si="184"/>
        <v>0.02</v>
      </c>
    </row>
    <row r="2353" spans="1:19" x14ac:dyDescent="0.25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e">
        <f>VLOOKUP('Customer Info'!A2345,'Customer Info'!A2345:I2844,2,FALSE)</f>
        <v>#N/A</v>
      </c>
      <c r="H2353" s="6" t="e">
        <f>VLOOKUP('Customer Info'!A2345,'Customer Info'!A2345:I2845,3,FALSE)</f>
        <v>#N/A</v>
      </c>
      <c r="I2353" s="6" t="e">
        <f>VLOOKUP('Customer Info'!A2345,'Customer Info'!A2345:I2844,5,FALSE)</f>
        <v>#N/A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439</v>
      </c>
      <c r="R2353" s="2" t="s">
        <v>28</v>
      </c>
      <c r="S2353" s="9">
        <f t="shared" si="184"/>
        <v>0.05</v>
      </c>
    </row>
    <row r="2354" spans="1:19" x14ac:dyDescent="0.25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e">
        <f>VLOOKUP('Customer Info'!A2346,'Customer Info'!A2346:I2845,2,FALSE)</f>
        <v>#N/A</v>
      </c>
      <c r="H2354" s="6" t="e">
        <f>VLOOKUP('Customer Info'!A2346,'Customer Info'!A2346:I2846,3,FALSE)</f>
        <v>#N/A</v>
      </c>
      <c r="I2354" s="6" t="e">
        <f>VLOOKUP('Customer Info'!A2346,'Customer Info'!A2346:I2845,5,FALSE)</f>
        <v>#N/A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701</v>
      </c>
      <c r="R2354" s="2" t="s">
        <v>28</v>
      </c>
      <c r="S2354" s="9">
        <f t="shared" si="184"/>
        <v>0.05</v>
      </c>
    </row>
    <row r="2355" spans="1:19" x14ac:dyDescent="0.25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e">
        <f>VLOOKUP('Customer Info'!A2347,'Customer Info'!A2347:I2846,2,FALSE)</f>
        <v>#N/A</v>
      </c>
      <c r="H2355" s="6" t="e">
        <f>VLOOKUP('Customer Info'!A2347,'Customer Info'!A2347:I2847,3,FALSE)</f>
        <v>#N/A</v>
      </c>
      <c r="I2355" s="6" t="e">
        <f>VLOOKUP('Customer Info'!A2347,'Customer Info'!A2347:I2846,5,FALSE)</f>
        <v>#N/A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849</v>
      </c>
      <c r="R2355" s="2" t="s">
        <v>28</v>
      </c>
      <c r="S2355" s="9">
        <f t="shared" si="184"/>
        <v>0.05</v>
      </c>
    </row>
    <row r="2356" spans="1:19" x14ac:dyDescent="0.25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e">
        <f>VLOOKUP('Customer Info'!A2348,'Customer Info'!A2348:I2847,2,FALSE)</f>
        <v>#N/A</v>
      </c>
      <c r="H2356" s="6" t="e">
        <f>VLOOKUP('Customer Info'!A2348,'Customer Info'!A2348:I2848,3,FALSE)</f>
        <v>#N/A</v>
      </c>
      <c r="I2356" s="6" t="e">
        <f>VLOOKUP('Customer Info'!A2348,'Customer Info'!A2348:I2847,5,FALSE)</f>
        <v>#N/A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90</v>
      </c>
      <c r="R2356" s="2" t="s">
        <v>28</v>
      </c>
      <c r="S2356" s="9">
        <f t="shared" si="184"/>
        <v>0.02</v>
      </c>
    </row>
    <row r="2357" spans="1:19" x14ac:dyDescent="0.25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e">
        <f>VLOOKUP('Customer Info'!A2349,'Customer Info'!A2349:I2848,2,FALSE)</f>
        <v>#N/A</v>
      </c>
      <c r="H2357" s="6" t="e">
        <f>VLOOKUP('Customer Info'!A2349,'Customer Info'!A2349:I2849,3,FALSE)</f>
        <v>#N/A</v>
      </c>
      <c r="I2357" s="6" t="e">
        <f>VLOOKUP('Customer Info'!A2349,'Customer Info'!A2349:I2848,5,FALSE)</f>
        <v>#N/A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615</v>
      </c>
      <c r="R2357" s="2" t="s">
        <v>28</v>
      </c>
      <c r="S2357" s="9">
        <f t="shared" si="184"/>
        <v>0.05</v>
      </c>
    </row>
    <row r="2358" spans="1:19" x14ac:dyDescent="0.25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e">
        <f>VLOOKUP('Customer Info'!A2350,'Customer Info'!A2350:I2849,2,FALSE)</f>
        <v>#N/A</v>
      </c>
      <c r="H2358" s="6" t="e">
        <f>VLOOKUP('Customer Info'!A2350,'Customer Info'!A2350:I2850,3,FALSE)</f>
        <v>#N/A</v>
      </c>
      <c r="I2358" s="6" t="e">
        <f>VLOOKUP('Customer Info'!A2350,'Customer Info'!A2350:I2849,5,FALSE)</f>
        <v>#N/A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384</v>
      </c>
      <c r="R2358" s="2" t="s">
        <v>28</v>
      </c>
      <c r="S2358" s="9">
        <f t="shared" si="184"/>
        <v>0.02</v>
      </c>
    </row>
    <row r="2359" spans="1:19" x14ac:dyDescent="0.25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e">
        <f>VLOOKUP('Customer Info'!A2351,'Customer Info'!A2351:I2850,2,FALSE)</f>
        <v>#N/A</v>
      </c>
      <c r="H2359" s="6" t="e">
        <f>VLOOKUP('Customer Info'!A2351,'Customer Info'!A2351:I2851,3,FALSE)</f>
        <v>#N/A</v>
      </c>
      <c r="I2359" s="6" t="e">
        <f>VLOOKUP('Customer Info'!A2351,'Customer Info'!A2351:I2850,5,FALSE)</f>
        <v>#N/A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45</v>
      </c>
      <c r="R2359" s="2" t="s">
        <v>28</v>
      </c>
      <c r="S2359" s="9">
        <f t="shared" si="184"/>
        <v>0.02</v>
      </c>
    </row>
    <row r="2360" spans="1:19" x14ac:dyDescent="0.25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e">
        <f>VLOOKUP('Customer Info'!A2352,'Customer Info'!A2352:I2851,2,FALSE)</f>
        <v>#N/A</v>
      </c>
      <c r="H2360" s="6" t="e">
        <f>VLOOKUP('Customer Info'!A2352,'Customer Info'!A2352:I2852,3,FALSE)</f>
        <v>#N/A</v>
      </c>
      <c r="I2360" s="6" t="e">
        <f>VLOOKUP('Customer Info'!A2352,'Customer Info'!A2352:I2851,5,FALSE)</f>
        <v>#N/A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168</v>
      </c>
      <c r="R2360" s="2" t="s">
        <v>28</v>
      </c>
      <c r="S2360" s="9">
        <f t="shared" si="184"/>
        <v>0.02</v>
      </c>
    </row>
    <row r="2361" spans="1:19" x14ac:dyDescent="0.25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e">
        <f>VLOOKUP('Customer Info'!A2353,'Customer Info'!A2353:I2852,2,FALSE)</f>
        <v>#N/A</v>
      </c>
      <c r="H2361" s="6" t="e">
        <f>VLOOKUP('Customer Info'!A2353,'Customer Info'!A2353:I2853,3,FALSE)</f>
        <v>#N/A</v>
      </c>
      <c r="I2361" s="6" t="e">
        <f>VLOOKUP('Customer Info'!A2353,'Customer Info'!A2353:I2852,5,FALSE)</f>
        <v>#N/A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478</v>
      </c>
      <c r="R2361" s="2" t="s">
        <v>50</v>
      </c>
      <c r="S2361" s="9">
        <f t="shared" si="184"/>
        <v>0.05</v>
      </c>
    </row>
    <row r="2362" spans="1:19" x14ac:dyDescent="0.25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e">
        <f>VLOOKUP('Customer Info'!A2354,'Customer Info'!A2354:I2853,2,FALSE)</f>
        <v>#N/A</v>
      </c>
      <c r="H2362" s="6" t="e">
        <f>VLOOKUP('Customer Info'!A2354,'Customer Info'!A2354:I2854,3,FALSE)</f>
        <v>#N/A</v>
      </c>
      <c r="I2362" s="6" t="e">
        <f>VLOOKUP('Customer Info'!A2354,'Customer Info'!A2354:I2853,5,FALSE)</f>
        <v>#N/A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1144</v>
      </c>
      <c r="R2362" s="2" t="s">
        <v>50</v>
      </c>
      <c r="S2362" s="9">
        <f t="shared" si="184"/>
        <v>0.05</v>
      </c>
    </row>
    <row r="2363" spans="1:19" x14ac:dyDescent="0.25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e">
        <f>VLOOKUP('Customer Info'!A2355,'Customer Info'!A2355:I2854,2,FALSE)</f>
        <v>#N/A</v>
      </c>
      <c r="H2363" s="6" t="e">
        <f>VLOOKUP('Customer Info'!A2355,'Customer Info'!A2355:I2855,3,FALSE)</f>
        <v>#N/A</v>
      </c>
      <c r="I2363" s="6" t="e">
        <f>VLOOKUP('Customer Info'!A2355,'Customer Info'!A2355:I2854,5,FALSE)</f>
        <v>#N/A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178</v>
      </c>
      <c r="R2363" s="2" t="s">
        <v>50</v>
      </c>
      <c r="S2363" s="9">
        <f t="shared" si="184"/>
        <v>0.02</v>
      </c>
    </row>
    <row r="2364" spans="1:19" x14ac:dyDescent="0.25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e">
        <f>VLOOKUP('Customer Info'!A2356,'Customer Info'!A2356:I2855,2,FALSE)</f>
        <v>#N/A</v>
      </c>
      <c r="H2364" s="6" t="e">
        <f>VLOOKUP('Customer Info'!A2356,'Customer Info'!A2356:I2856,3,FALSE)</f>
        <v>#N/A</v>
      </c>
      <c r="I2364" s="6" t="e">
        <f>VLOOKUP('Customer Info'!A2356,'Customer Info'!A2356:I2855,5,FALSE)</f>
        <v>#N/A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388</v>
      </c>
      <c r="R2364" s="2" t="s">
        <v>50</v>
      </c>
      <c r="S2364" s="9">
        <f t="shared" si="184"/>
        <v>0.02</v>
      </c>
    </row>
    <row r="2365" spans="1:19" x14ac:dyDescent="0.25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e">
        <f>VLOOKUP('Customer Info'!A2357,'Customer Info'!A2357:I2856,2,FALSE)</f>
        <v>#N/A</v>
      </c>
      <c r="H2365" s="6" t="e">
        <f>VLOOKUP('Customer Info'!A2357,'Customer Info'!A2357:I2857,3,FALSE)</f>
        <v>#N/A</v>
      </c>
      <c r="I2365" s="6" t="e">
        <f>VLOOKUP('Customer Info'!A2357,'Customer Info'!A2357:I2856,5,FALSE)</f>
        <v>#N/A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99</v>
      </c>
      <c r="R2365" s="2" t="s">
        <v>28</v>
      </c>
      <c r="S2365" s="9">
        <f t="shared" si="184"/>
        <v>0.02</v>
      </c>
    </row>
    <row r="2366" spans="1:19" x14ac:dyDescent="0.25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e">
        <f>VLOOKUP('Customer Info'!A2358,'Customer Info'!A2358:I2857,2,FALSE)</f>
        <v>#N/A</v>
      </c>
      <c r="H2366" s="6" t="e">
        <f>VLOOKUP('Customer Info'!A2358,'Customer Info'!A2358:I2858,3,FALSE)</f>
        <v>#N/A</v>
      </c>
      <c r="I2366" s="6" t="e">
        <f>VLOOKUP('Customer Info'!A2358,'Customer Info'!A2358:I2857,5,FALSE)</f>
        <v>#N/A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31</v>
      </c>
      <c r="R2366" s="2" t="s">
        <v>28</v>
      </c>
      <c r="S2366" s="9">
        <f t="shared" si="184"/>
        <v>0.02</v>
      </c>
    </row>
    <row r="2367" spans="1:19" x14ac:dyDescent="0.25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e">
        <f>VLOOKUP('Customer Info'!A2359,'Customer Info'!A2359:I2858,2,FALSE)</f>
        <v>#N/A</v>
      </c>
      <c r="H2367" s="6" t="e">
        <f>VLOOKUP('Customer Info'!A2359,'Customer Info'!A2359:I2859,3,FALSE)</f>
        <v>#N/A</v>
      </c>
      <c r="I2367" s="6" t="e">
        <f>VLOOKUP('Customer Info'!A2359,'Customer Info'!A2359:I2858,5,FALSE)</f>
        <v>#N/A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120</v>
      </c>
      <c r="R2367" s="2" t="s">
        <v>50</v>
      </c>
      <c r="S2367" s="9">
        <f t="shared" si="184"/>
        <v>0.02</v>
      </c>
    </row>
    <row r="2368" spans="1:19" x14ac:dyDescent="0.25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e">
        <f>VLOOKUP('Customer Info'!A2360,'Customer Info'!A2360:I2859,2,FALSE)</f>
        <v>#N/A</v>
      </c>
      <c r="H2368" s="6" t="e">
        <f>VLOOKUP('Customer Info'!A2360,'Customer Info'!A2360:I2860,3,FALSE)</f>
        <v>#N/A</v>
      </c>
      <c r="I2368" s="6" t="e">
        <f>VLOOKUP('Customer Info'!A2360,'Customer Info'!A2360:I2859,5,FALSE)</f>
        <v>#N/A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271</v>
      </c>
      <c r="R2368" s="2" t="s">
        <v>28</v>
      </c>
      <c r="S2368" s="9">
        <f t="shared" si="184"/>
        <v>0.02</v>
      </c>
    </row>
    <row r="2369" spans="1:19" x14ac:dyDescent="0.25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e">
        <f>VLOOKUP('Customer Info'!A2361,'Customer Info'!A2361:I2860,2,FALSE)</f>
        <v>#N/A</v>
      </c>
      <c r="H2369" s="6" t="e">
        <f>VLOOKUP('Customer Info'!A2361,'Customer Info'!A2361:I2861,3,FALSE)</f>
        <v>#N/A</v>
      </c>
      <c r="I2369" s="6" t="e">
        <f>VLOOKUP('Customer Info'!A2361,'Customer Info'!A2361:I2860,5,FALSE)</f>
        <v>#N/A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158</v>
      </c>
      <c r="R2369" s="2" t="s">
        <v>28</v>
      </c>
      <c r="S2369" s="9">
        <f t="shared" si="184"/>
        <v>0.02</v>
      </c>
    </row>
    <row r="2370" spans="1:19" x14ac:dyDescent="0.25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e">
        <f>VLOOKUP('Customer Info'!A2362,'Customer Info'!A2362:I2861,2,FALSE)</f>
        <v>#N/A</v>
      </c>
      <c r="H2370" s="6" t="e">
        <f>VLOOKUP('Customer Info'!A2362,'Customer Info'!A2362:I2862,3,FALSE)</f>
        <v>#N/A</v>
      </c>
      <c r="I2370" s="6" t="e">
        <f>VLOOKUP('Customer Info'!A2362,'Customer Info'!A2362:I2861,5,FALSE)</f>
        <v>#N/A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317</v>
      </c>
      <c r="R2370" s="2" t="s">
        <v>28</v>
      </c>
      <c r="S2370" s="9">
        <f t="shared" si="184"/>
        <v>0.02</v>
      </c>
    </row>
    <row r="2371" spans="1:19" x14ac:dyDescent="0.25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e">
        <f>VLOOKUP('Customer Info'!A2363,'Customer Info'!A2363:I2862,2,FALSE)</f>
        <v>#N/A</v>
      </c>
      <c r="H2371" s="6" t="e">
        <f>VLOOKUP('Customer Info'!A2363,'Customer Info'!A2363:I2863,3,FALSE)</f>
        <v>#N/A</v>
      </c>
      <c r="I2371" s="6" t="e">
        <f>VLOOKUP('Customer Info'!A2363,'Customer Info'!A2363:I2862,5,FALSE)</f>
        <v>#N/A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321</v>
      </c>
      <c r="R2371" s="2" t="s">
        <v>28</v>
      </c>
      <c r="S2371" s="9">
        <f t="shared" si="184"/>
        <v>0.02</v>
      </c>
    </row>
    <row r="2372" spans="1:19" x14ac:dyDescent="0.25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e">
        <f>VLOOKUP('Customer Info'!A2364,'Customer Info'!A2364:I2863,2,FALSE)</f>
        <v>#N/A</v>
      </c>
      <c r="H2372" s="6" t="e">
        <f>VLOOKUP('Customer Info'!A2364,'Customer Info'!A2364:I2864,3,FALSE)</f>
        <v>#N/A</v>
      </c>
      <c r="I2372" s="6" t="e">
        <f>VLOOKUP('Customer Info'!A2364,'Customer Info'!A2364:I2863,5,FALSE)</f>
        <v>#N/A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101</v>
      </c>
      <c r="R2372" s="2" t="s">
        <v>50</v>
      </c>
      <c r="S2372" s="9">
        <f t="shared" si="184"/>
        <v>0.02</v>
      </c>
    </row>
    <row r="2373" spans="1:19" x14ac:dyDescent="0.25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e">
        <f>VLOOKUP('Customer Info'!A2365,'Customer Info'!A2365:I2864,2,FALSE)</f>
        <v>#N/A</v>
      </c>
      <c r="H2373" s="6" t="e">
        <f>VLOOKUP('Customer Info'!A2365,'Customer Info'!A2365:I2865,3,FALSE)</f>
        <v>#N/A</v>
      </c>
      <c r="I2373" s="6" t="e">
        <f>VLOOKUP('Customer Info'!A2365,'Customer Info'!A2365:I2864,5,FALSE)</f>
        <v>#N/A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190</v>
      </c>
      <c r="R2373" s="2" t="s">
        <v>50</v>
      </c>
      <c r="S2373" s="9">
        <f t="shared" si="184"/>
        <v>0.05</v>
      </c>
    </row>
    <row r="2374" spans="1:19" x14ac:dyDescent="0.25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e">
        <f>VLOOKUP('Customer Info'!A2366,'Customer Info'!A2366:I2865,2,FALSE)</f>
        <v>#N/A</v>
      </c>
      <c r="H2374" s="6" t="e">
        <f>VLOOKUP('Customer Info'!A2366,'Customer Info'!A2366:I2866,3,FALSE)</f>
        <v>#N/A</v>
      </c>
      <c r="I2374" s="6" t="e">
        <f>VLOOKUP('Customer Info'!A2366,'Customer Info'!A2366:I2865,5,FALSE)</f>
        <v>#N/A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69</v>
      </c>
      <c r="R2374" s="2" t="s">
        <v>28</v>
      </c>
      <c r="S2374" s="9">
        <f t="shared" si="184"/>
        <v>0.02</v>
      </c>
    </row>
    <row r="2375" spans="1:19" x14ac:dyDescent="0.25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e">
        <f>VLOOKUP('Customer Info'!A2367,'Customer Info'!A2367:I2866,2,FALSE)</f>
        <v>#N/A</v>
      </c>
      <c r="H2375" s="6" t="e">
        <f>VLOOKUP('Customer Info'!A2367,'Customer Info'!A2367:I2867,3,FALSE)</f>
        <v>#N/A</v>
      </c>
      <c r="I2375" s="6" t="e">
        <f>VLOOKUP('Customer Info'!A2367,'Customer Info'!A2367:I2866,5,FALSE)</f>
        <v>#N/A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637</v>
      </c>
      <c r="R2375" s="2" t="s">
        <v>28</v>
      </c>
      <c r="S2375" s="9">
        <f t="shared" si="184"/>
        <v>0.05</v>
      </c>
    </row>
    <row r="2376" spans="1:19" x14ac:dyDescent="0.25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e">
        <f>VLOOKUP('Customer Info'!A2368,'Customer Info'!A2368:I2867,2,FALSE)</f>
        <v>#N/A</v>
      </c>
      <c r="H2376" s="6" t="e">
        <f>VLOOKUP('Customer Info'!A2368,'Customer Info'!A2368:I2868,3,FALSE)</f>
        <v>#N/A</v>
      </c>
      <c r="I2376" s="6" t="e">
        <f>VLOOKUP('Customer Info'!A2368,'Customer Info'!A2368:I2867,5,FALSE)</f>
        <v>#N/A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1112</v>
      </c>
      <c r="R2376" s="2" t="s">
        <v>28</v>
      </c>
      <c r="S2376" s="9">
        <f t="shared" si="184"/>
        <v>0.09</v>
      </c>
    </row>
    <row r="2377" spans="1:19" x14ac:dyDescent="0.25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e">
        <f>VLOOKUP('Customer Info'!A2369,'Customer Info'!A2369:I2868,2,FALSE)</f>
        <v>#N/A</v>
      </c>
      <c r="H2377" s="6" t="e">
        <f>VLOOKUP('Customer Info'!A2369,'Customer Info'!A2369:I2869,3,FALSE)</f>
        <v>#N/A</v>
      </c>
      <c r="I2377" s="6" t="e">
        <f>VLOOKUP('Customer Info'!A2369,'Customer Info'!A2369:I2868,5,FALSE)</f>
        <v>#N/A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255</v>
      </c>
      <c r="R2377" s="2" t="s">
        <v>50</v>
      </c>
      <c r="S2377" s="9">
        <f t="shared" si="184"/>
        <v>0.02</v>
      </c>
    </row>
    <row r="2378" spans="1:19" x14ac:dyDescent="0.25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e">
        <f>VLOOKUP('Customer Info'!A2370,'Customer Info'!A2370:I2869,2,FALSE)</f>
        <v>#N/A</v>
      </c>
      <c r="H2378" s="6" t="e">
        <f>VLOOKUP('Customer Info'!A2370,'Customer Info'!A2370:I2870,3,FALSE)</f>
        <v>#N/A</v>
      </c>
      <c r="I2378" s="6" t="e">
        <f>VLOOKUP('Customer Info'!A2370,'Customer Info'!A2370:I2869,5,FALSE)</f>
        <v>#N/A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141</v>
      </c>
      <c r="R2378" s="2" t="s">
        <v>28</v>
      </c>
      <c r="S2378" s="9">
        <f t="shared" si="184"/>
        <v>0.02</v>
      </c>
    </row>
    <row r="2379" spans="1:19" x14ac:dyDescent="0.25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e">
        <f>VLOOKUP('Customer Info'!A2371,'Customer Info'!A2371:I2870,2,FALSE)</f>
        <v>#N/A</v>
      </c>
      <c r="H2379" s="6" t="e">
        <f>VLOOKUP('Customer Info'!A2371,'Customer Info'!A2371:I2871,3,FALSE)</f>
        <v>#N/A</v>
      </c>
      <c r="I2379" s="6" t="e">
        <f>VLOOKUP('Customer Info'!A2371,'Customer Info'!A2371:I2870,5,FALSE)</f>
        <v>#N/A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8">
        <f t="shared" ref="P2379:P2442" si="187">N2379+O2379</f>
        <v>586</v>
      </c>
      <c r="Q2379" s="8">
        <f t="shared" ref="Q2379:Q2442" si="188">P2379-M2379</f>
        <v>54</v>
      </c>
      <c r="R2379" s="2" t="s">
        <v>28</v>
      </c>
      <c r="S2379" s="9">
        <f t="shared" ref="S2379:S2442" si="189">VLOOKUP(P2379,$T$2:$U$7,2,TRUE)</f>
        <v>0.02</v>
      </c>
    </row>
    <row r="2380" spans="1:19" x14ac:dyDescent="0.25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e">
        <f>VLOOKUP('Customer Info'!A2372,'Customer Info'!A2372:I2871,2,FALSE)</f>
        <v>#N/A</v>
      </c>
      <c r="H2380" s="6" t="e">
        <f>VLOOKUP('Customer Info'!A2372,'Customer Info'!A2372:I2872,3,FALSE)</f>
        <v>#N/A</v>
      </c>
      <c r="I2380" s="6" t="e">
        <f>VLOOKUP('Customer Info'!A2372,'Customer Info'!A2372:I2871,5,FALSE)</f>
        <v>#N/A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173</v>
      </c>
      <c r="R2380" s="2" t="s">
        <v>28</v>
      </c>
      <c r="S2380" s="9">
        <f t="shared" si="189"/>
        <v>0.02</v>
      </c>
    </row>
    <row r="2381" spans="1:19" x14ac:dyDescent="0.25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e">
        <f>VLOOKUP('Customer Info'!A2373,'Customer Info'!A2373:I2872,2,FALSE)</f>
        <v>#N/A</v>
      </c>
      <c r="H2381" s="6" t="e">
        <f>VLOOKUP('Customer Info'!A2373,'Customer Info'!A2373:I2873,3,FALSE)</f>
        <v>#N/A</v>
      </c>
      <c r="I2381" s="6" t="e">
        <f>VLOOKUP('Customer Info'!A2373,'Customer Info'!A2373:I2872,5,FALSE)</f>
        <v>#N/A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446</v>
      </c>
      <c r="R2381" s="2" t="s">
        <v>28</v>
      </c>
      <c r="S2381" s="9">
        <f t="shared" si="189"/>
        <v>0.02</v>
      </c>
    </row>
    <row r="2382" spans="1:19" x14ac:dyDescent="0.25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e">
        <f>VLOOKUP('Customer Info'!A2374,'Customer Info'!A2374:I2873,2,FALSE)</f>
        <v>#N/A</v>
      </c>
      <c r="H2382" s="6" t="e">
        <f>VLOOKUP('Customer Info'!A2374,'Customer Info'!A2374:I2874,3,FALSE)</f>
        <v>#N/A</v>
      </c>
      <c r="I2382" s="6" t="e">
        <f>VLOOKUP('Customer Info'!A2374,'Customer Info'!A2374:I2873,5,FALSE)</f>
        <v>#N/A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105</v>
      </c>
      <c r="R2382" s="2" t="s">
        <v>28</v>
      </c>
      <c r="S2382" s="9">
        <f t="shared" si="189"/>
        <v>0.02</v>
      </c>
    </row>
    <row r="2383" spans="1:19" x14ac:dyDescent="0.25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e">
        <f>VLOOKUP('Customer Info'!A2375,'Customer Info'!A2375:I2874,2,FALSE)</f>
        <v>#N/A</v>
      </c>
      <c r="H2383" s="6" t="e">
        <f>VLOOKUP('Customer Info'!A2375,'Customer Info'!A2375:I2875,3,FALSE)</f>
        <v>#N/A</v>
      </c>
      <c r="I2383" s="6" t="e">
        <f>VLOOKUP('Customer Info'!A2375,'Customer Info'!A2375:I2874,5,FALSE)</f>
        <v>#N/A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15</v>
      </c>
      <c r="R2383" s="2" t="s">
        <v>26</v>
      </c>
      <c r="S2383" s="9">
        <f t="shared" si="189"/>
        <v>0.02</v>
      </c>
    </row>
    <row r="2384" spans="1:19" x14ac:dyDescent="0.25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e">
        <f>VLOOKUP('Customer Info'!A2376,'Customer Info'!A2376:I2875,2,FALSE)</f>
        <v>#N/A</v>
      </c>
      <c r="H2384" s="6" t="e">
        <f>VLOOKUP('Customer Info'!A2376,'Customer Info'!A2376:I2876,3,FALSE)</f>
        <v>#N/A</v>
      </c>
      <c r="I2384" s="6" t="e">
        <f>VLOOKUP('Customer Info'!A2376,'Customer Info'!A2376:I2875,5,FALSE)</f>
        <v>#N/A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864</v>
      </c>
      <c r="R2384" s="2" t="s">
        <v>28</v>
      </c>
      <c r="S2384" s="9">
        <f t="shared" si="189"/>
        <v>0.05</v>
      </c>
    </row>
    <row r="2385" spans="1:19" x14ac:dyDescent="0.25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e">
        <f>VLOOKUP('Customer Info'!A2377,'Customer Info'!A2377:I2876,2,FALSE)</f>
        <v>#N/A</v>
      </c>
      <c r="H2385" s="6" t="e">
        <f>VLOOKUP('Customer Info'!A2377,'Customer Info'!A2377:I2877,3,FALSE)</f>
        <v>#N/A</v>
      </c>
      <c r="I2385" s="6" t="e">
        <f>VLOOKUP('Customer Info'!A2377,'Customer Info'!A2377:I2876,5,FALSE)</f>
        <v>#N/A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644</v>
      </c>
      <c r="R2385" s="2" t="s">
        <v>28</v>
      </c>
      <c r="S2385" s="9">
        <f t="shared" si="189"/>
        <v>0.05</v>
      </c>
    </row>
    <row r="2386" spans="1:19" x14ac:dyDescent="0.25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e">
        <f>VLOOKUP('Customer Info'!A2378,'Customer Info'!A2378:I2877,2,FALSE)</f>
        <v>#N/A</v>
      </c>
      <c r="H2386" s="6" t="e">
        <f>VLOOKUP('Customer Info'!A2378,'Customer Info'!A2378:I2878,3,FALSE)</f>
        <v>#N/A</v>
      </c>
      <c r="I2386" s="6" t="e">
        <f>VLOOKUP('Customer Info'!A2378,'Customer Info'!A2378:I2877,5,FALSE)</f>
        <v>#N/A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50</v>
      </c>
      <c r="R2386" s="2" t="s">
        <v>28</v>
      </c>
      <c r="S2386" s="9">
        <f t="shared" si="189"/>
        <v>0.02</v>
      </c>
    </row>
    <row r="2387" spans="1:19" x14ac:dyDescent="0.25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e">
        <f>VLOOKUP('Customer Info'!A2379,'Customer Info'!A2379:I2878,2,FALSE)</f>
        <v>#N/A</v>
      </c>
      <c r="H2387" s="6" t="e">
        <f>VLOOKUP('Customer Info'!A2379,'Customer Info'!A2379:I2879,3,FALSE)</f>
        <v>#N/A</v>
      </c>
      <c r="I2387" s="6" t="e">
        <f>VLOOKUP('Customer Info'!A2379,'Customer Info'!A2379:I2878,5,FALSE)</f>
        <v>#N/A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66</v>
      </c>
      <c r="R2387" s="2" t="s">
        <v>50</v>
      </c>
      <c r="S2387" s="9">
        <f t="shared" si="189"/>
        <v>0.02</v>
      </c>
    </row>
    <row r="2388" spans="1:19" x14ac:dyDescent="0.25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e">
        <f>VLOOKUP('Customer Info'!A2380,'Customer Info'!A2380:I2879,2,FALSE)</f>
        <v>#N/A</v>
      </c>
      <c r="H2388" s="6" t="e">
        <f>VLOOKUP('Customer Info'!A2380,'Customer Info'!A2380:I2880,3,FALSE)</f>
        <v>#N/A</v>
      </c>
      <c r="I2388" s="6" t="e">
        <f>VLOOKUP('Customer Info'!A2380,'Customer Info'!A2380:I2879,5,FALSE)</f>
        <v>#N/A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70</v>
      </c>
      <c r="R2388" s="2" t="s">
        <v>50</v>
      </c>
      <c r="S2388" s="9">
        <f t="shared" si="189"/>
        <v>0.02</v>
      </c>
    </row>
    <row r="2389" spans="1:19" x14ac:dyDescent="0.25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e">
        <f>VLOOKUP('Customer Info'!A2381,'Customer Info'!A2381:I2880,2,FALSE)</f>
        <v>#N/A</v>
      </c>
      <c r="H2389" s="6" t="e">
        <f>VLOOKUP('Customer Info'!A2381,'Customer Info'!A2381:I2881,3,FALSE)</f>
        <v>#N/A</v>
      </c>
      <c r="I2389" s="6" t="e">
        <f>VLOOKUP('Customer Info'!A2381,'Customer Info'!A2381:I2880,5,FALSE)</f>
        <v>#N/A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159</v>
      </c>
      <c r="R2389" s="2" t="s">
        <v>50</v>
      </c>
      <c r="S2389" s="9">
        <f t="shared" si="189"/>
        <v>0.02</v>
      </c>
    </row>
    <row r="2390" spans="1:19" x14ac:dyDescent="0.25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e">
        <f>VLOOKUP('Customer Info'!A2382,'Customer Info'!A2382:I2881,2,FALSE)</f>
        <v>#N/A</v>
      </c>
      <c r="H2390" s="6" t="e">
        <f>VLOOKUP('Customer Info'!A2382,'Customer Info'!A2382:I2882,3,FALSE)</f>
        <v>#N/A</v>
      </c>
      <c r="I2390" s="6" t="e">
        <f>VLOOKUP('Customer Info'!A2382,'Customer Info'!A2382:I2881,5,FALSE)</f>
        <v>#N/A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306</v>
      </c>
      <c r="R2390" s="2" t="s">
        <v>26</v>
      </c>
      <c r="S2390" s="9">
        <f t="shared" si="189"/>
        <v>0.02</v>
      </c>
    </row>
    <row r="2391" spans="1:19" x14ac:dyDescent="0.25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e">
        <f>VLOOKUP('Customer Info'!A2383,'Customer Info'!A2383:I2882,2,FALSE)</f>
        <v>#N/A</v>
      </c>
      <c r="H2391" s="6" t="e">
        <f>VLOOKUP('Customer Info'!A2383,'Customer Info'!A2383:I2883,3,FALSE)</f>
        <v>#N/A</v>
      </c>
      <c r="I2391" s="6" t="e">
        <f>VLOOKUP('Customer Info'!A2383,'Customer Info'!A2383:I2882,5,FALSE)</f>
        <v>#N/A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101</v>
      </c>
      <c r="R2391" s="2" t="s">
        <v>26</v>
      </c>
      <c r="S2391" s="9">
        <f t="shared" si="189"/>
        <v>0.02</v>
      </c>
    </row>
    <row r="2392" spans="1:19" x14ac:dyDescent="0.25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e">
        <f>VLOOKUP('Customer Info'!A2384,'Customer Info'!A2384:I2883,2,FALSE)</f>
        <v>#N/A</v>
      </c>
      <c r="H2392" s="6" t="e">
        <f>VLOOKUP('Customer Info'!A2384,'Customer Info'!A2384:I2884,3,FALSE)</f>
        <v>#N/A</v>
      </c>
      <c r="I2392" s="6" t="e">
        <f>VLOOKUP('Customer Info'!A2384,'Customer Info'!A2384:I2883,5,FALSE)</f>
        <v>#N/A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75</v>
      </c>
      <c r="R2392" s="2" t="s">
        <v>28</v>
      </c>
      <c r="S2392" s="9">
        <f t="shared" si="189"/>
        <v>0.02</v>
      </c>
    </row>
    <row r="2393" spans="1:19" x14ac:dyDescent="0.25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e">
        <f>VLOOKUP('Customer Info'!A2385,'Customer Info'!A2385:I2884,2,FALSE)</f>
        <v>#N/A</v>
      </c>
      <c r="H2393" s="6" t="e">
        <f>VLOOKUP('Customer Info'!A2385,'Customer Info'!A2385:I2885,3,FALSE)</f>
        <v>#N/A</v>
      </c>
      <c r="I2393" s="6" t="e">
        <f>VLOOKUP('Customer Info'!A2385,'Customer Info'!A2385:I2884,5,FALSE)</f>
        <v>#N/A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6377</v>
      </c>
      <c r="R2393" s="2" t="s">
        <v>26</v>
      </c>
      <c r="S2393" s="9">
        <f t="shared" si="189"/>
        <v>0.09</v>
      </c>
    </row>
    <row r="2394" spans="1:19" x14ac:dyDescent="0.25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e">
        <f>VLOOKUP('Customer Info'!A2386,'Customer Info'!A2386:I2885,2,FALSE)</f>
        <v>#N/A</v>
      </c>
      <c r="H2394" s="6" t="e">
        <f>VLOOKUP('Customer Info'!A2386,'Customer Info'!A2386:I2886,3,FALSE)</f>
        <v>#N/A</v>
      </c>
      <c r="I2394" s="6" t="e">
        <f>VLOOKUP('Customer Info'!A2386,'Customer Info'!A2386:I2885,5,FALSE)</f>
        <v>#N/A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315</v>
      </c>
      <c r="R2394" s="2" t="s">
        <v>50</v>
      </c>
      <c r="S2394" s="9">
        <f t="shared" si="189"/>
        <v>0.02</v>
      </c>
    </row>
    <row r="2395" spans="1:19" x14ac:dyDescent="0.25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e">
        <f>VLOOKUP('Customer Info'!A2387,'Customer Info'!A2387:I2886,2,FALSE)</f>
        <v>#N/A</v>
      </c>
      <c r="H2395" s="6" t="e">
        <f>VLOOKUP('Customer Info'!A2387,'Customer Info'!A2387:I2887,3,FALSE)</f>
        <v>#N/A</v>
      </c>
      <c r="I2395" s="6" t="e">
        <f>VLOOKUP('Customer Info'!A2387,'Customer Info'!A2387:I2886,5,FALSE)</f>
        <v>#N/A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403</v>
      </c>
      <c r="R2395" s="2" t="s">
        <v>56</v>
      </c>
      <c r="S2395" s="9">
        <f t="shared" si="189"/>
        <v>0.02</v>
      </c>
    </row>
    <row r="2396" spans="1:19" x14ac:dyDescent="0.25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e">
        <f>VLOOKUP('Customer Info'!A2388,'Customer Info'!A2388:I2887,2,FALSE)</f>
        <v>#N/A</v>
      </c>
      <c r="H2396" s="6" t="e">
        <f>VLOOKUP('Customer Info'!A2388,'Customer Info'!A2388:I2888,3,FALSE)</f>
        <v>#N/A</v>
      </c>
      <c r="I2396" s="6" t="e">
        <f>VLOOKUP('Customer Info'!A2388,'Customer Info'!A2388:I2887,5,FALSE)</f>
        <v>#N/A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1727</v>
      </c>
      <c r="R2396" s="2" t="s">
        <v>26</v>
      </c>
      <c r="S2396" s="9">
        <f t="shared" si="189"/>
        <v>0.05</v>
      </c>
    </row>
    <row r="2397" spans="1:19" x14ac:dyDescent="0.25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e">
        <f>VLOOKUP('Customer Info'!A2389,'Customer Info'!A2389:I2888,2,FALSE)</f>
        <v>#N/A</v>
      </c>
      <c r="H2397" s="6" t="e">
        <f>VLOOKUP('Customer Info'!A2389,'Customer Info'!A2389:I2889,3,FALSE)</f>
        <v>#N/A</v>
      </c>
      <c r="I2397" s="6" t="e">
        <f>VLOOKUP('Customer Info'!A2389,'Customer Info'!A2389:I2888,5,FALSE)</f>
        <v>#N/A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302</v>
      </c>
      <c r="R2397" s="2" t="s">
        <v>28</v>
      </c>
      <c r="S2397" s="9">
        <f t="shared" si="189"/>
        <v>0.05</v>
      </c>
    </row>
    <row r="2398" spans="1:19" x14ac:dyDescent="0.25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e">
        <f>VLOOKUP('Customer Info'!A2390,'Customer Info'!A2390:I2889,2,FALSE)</f>
        <v>#N/A</v>
      </c>
      <c r="H2398" s="6" t="e">
        <f>VLOOKUP('Customer Info'!A2390,'Customer Info'!A2390:I2890,3,FALSE)</f>
        <v>#N/A</v>
      </c>
      <c r="I2398" s="6" t="e">
        <f>VLOOKUP('Customer Info'!A2390,'Customer Info'!A2390:I2889,5,FALSE)</f>
        <v>#N/A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1051</v>
      </c>
      <c r="R2398" s="2" t="s">
        <v>28</v>
      </c>
      <c r="S2398" s="9">
        <f t="shared" si="189"/>
        <v>0.05</v>
      </c>
    </row>
    <row r="2399" spans="1:19" x14ac:dyDescent="0.25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e">
        <f>VLOOKUP('Customer Info'!A2391,'Customer Info'!A2391:I2890,2,FALSE)</f>
        <v>#N/A</v>
      </c>
      <c r="H2399" s="6" t="e">
        <f>VLOOKUP('Customer Info'!A2391,'Customer Info'!A2391:I2891,3,FALSE)</f>
        <v>#N/A</v>
      </c>
      <c r="I2399" s="6" t="e">
        <f>VLOOKUP('Customer Info'!A2391,'Customer Info'!A2391:I2890,5,FALSE)</f>
        <v>#N/A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243</v>
      </c>
      <c r="R2399" s="2" t="s">
        <v>26</v>
      </c>
      <c r="S2399" s="9">
        <f t="shared" si="189"/>
        <v>0.05</v>
      </c>
    </row>
    <row r="2400" spans="1:19" x14ac:dyDescent="0.25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e">
        <f>VLOOKUP('Customer Info'!A2392,'Customer Info'!A2392:I2891,2,FALSE)</f>
        <v>#N/A</v>
      </c>
      <c r="H2400" s="6" t="e">
        <f>VLOOKUP('Customer Info'!A2392,'Customer Info'!A2392:I2892,3,FALSE)</f>
        <v>#N/A</v>
      </c>
      <c r="I2400" s="6" t="e">
        <f>VLOOKUP('Customer Info'!A2392,'Customer Info'!A2392:I2891,5,FALSE)</f>
        <v>#N/A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701</v>
      </c>
      <c r="R2400" s="2" t="s">
        <v>28</v>
      </c>
      <c r="S2400" s="9">
        <f t="shared" si="189"/>
        <v>0.05</v>
      </c>
    </row>
    <row r="2401" spans="1:19" x14ac:dyDescent="0.25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e">
        <f>VLOOKUP('Customer Info'!A2393,'Customer Info'!A2393:I2892,2,FALSE)</f>
        <v>#N/A</v>
      </c>
      <c r="H2401" s="6" t="e">
        <f>VLOOKUP('Customer Info'!A2393,'Customer Info'!A2393:I2893,3,FALSE)</f>
        <v>#N/A</v>
      </c>
      <c r="I2401" s="6" t="e">
        <f>VLOOKUP('Customer Info'!A2393,'Customer Info'!A2393:I2892,5,FALSE)</f>
        <v>#N/A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193</v>
      </c>
      <c r="R2401" s="2" t="s">
        <v>28</v>
      </c>
      <c r="S2401" s="9">
        <f t="shared" si="189"/>
        <v>0.02</v>
      </c>
    </row>
    <row r="2402" spans="1:19" x14ac:dyDescent="0.25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e">
        <f>VLOOKUP('Customer Info'!A2394,'Customer Info'!A2394:I2893,2,FALSE)</f>
        <v>#N/A</v>
      </c>
      <c r="H2402" s="6" t="e">
        <f>VLOOKUP('Customer Info'!A2394,'Customer Info'!A2394:I2894,3,FALSE)</f>
        <v>#N/A</v>
      </c>
      <c r="I2402" s="6" t="e">
        <f>VLOOKUP('Customer Info'!A2394,'Customer Info'!A2394:I2893,5,FALSE)</f>
        <v>#N/A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461</v>
      </c>
      <c r="R2402" s="2" t="s">
        <v>28</v>
      </c>
      <c r="S2402" s="9">
        <f t="shared" si="189"/>
        <v>0.05</v>
      </c>
    </row>
    <row r="2403" spans="1:19" x14ac:dyDescent="0.25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e">
        <f>VLOOKUP('Customer Info'!A2395,'Customer Info'!A2395:I2894,2,FALSE)</f>
        <v>#N/A</v>
      </c>
      <c r="H2403" s="6" t="e">
        <f>VLOOKUP('Customer Info'!A2395,'Customer Info'!A2395:I2895,3,FALSE)</f>
        <v>#N/A</v>
      </c>
      <c r="I2403" s="6" t="e">
        <f>VLOOKUP('Customer Info'!A2395,'Customer Info'!A2395:I2894,5,FALSE)</f>
        <v>#N/A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211</v>
      </c>
      <c r="R2403" s="2" t="s">
        <v>26</v>
      </c>
      <c r="S2403" s="9">
        <f t="shared" si="189"/>
        <v>0.02</v>
      </c>
    </row>
    <row r="2404" spans="1:19" x14ac:dyDescent="0.25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e">
        <f>VLOOKUP('Customer Info'!A2396,'Customer Info'!A2396:I2895,2,FALSE)</f>
        <v>#N/A</v>
      </c>
      <c r="H2404" s="6" t="e">
        <f>VLOOKUP('Customer Info'!A2396,'Customer Info'!A2396:I2896,3,FALSE)</f>
        <v>#N/A</v>
      </c>
      <c r="I2404" s="6" t="e">
        <f>VLOOKUP('Customer Info'!A2396,'Customer Info'!A2396:I2895,5,FALSE)</f>
        <v>#N/A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179</v>
      </c>
      <c r="R2404" s="2" t="s">
        <v>28</v>
      </c>
      <c r="S2404" s="9">
        <f t="shared" si="189"/>
        <v>0.02</v>
      </c>
    </row>
    <row r="2405" spans="1:19" x14ac:dyDescent="0.25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e">
        <f>VLOOKUP('Customer Info'!A2397,'Customer Info'!A2397:I2896,2,FALSE)</f>
        <v>#N/A</v>
      </c>
      <c r="H2405" s="6" t="e">
        <f>VLOOKUP('Customer Info'!A2397,'Customer Info'!A2397:I2897,3,FALSE)</f>
        <v>#N/A</v>
      </c>
      <c r="I2405" s="6" t="e">
        <f>VLOOKUP('Customer Info'!A2397,'Customer Info'!A2397:I2896,5,FALSE)</f>
        <v>#N/A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35</v>
      </c>
      <c r="R2405" s="2" t="s">
        <v>28</v>
      </c>
      <c r="S2405" s="9">
        <f t="shared" si="189"/>
        <v>0.02</v>
      </c>
    </row>
    <row r="2406" spans="1:19" x14ac:dyDescent="0.25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e">
        <f>VLOOKUP('Customer Info'!A2398,'Customer Info'!A2398:I2897,2,FALSE)</f>
        <v>#N/A</v>
      </c>
      <c r="H2406" s="6" t="e">
        <f>VLOOKUP('Customer Info'!A2398,'Customer Info'!A2398:I2898,3,FALSE)</f>
        <v>#N/A</v>
      </c>
      <c r="I2406" s="6" t="e">
        <f>VLOOKUP('Customer Info'!A2398,'Customer Info'!A2398:I2897,5,FALSE)</f>
        <v>#N/A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240</v>
      </c>
      <c r="R2406" s="2" t="s">
        <v>28</v>
      </c>
      <c r="S2406" s="9">
        <f t="shared" si="189"/>
        <v>0.05</v>
      </c>
    </row>
    <row r="2407" spans="1:19" x14ac:dyDescent="0.25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e">
        <f>VLOOKUP('Customer Info'!A2399,'Customer Info'!A2399:I2898,2,FALSE)</f>
        <v>#N/A</v>
      </c>
      <c r="H2407" s="6" t="e">
        <f>VLOOKUP('Customer Info'!A2399,'Customer Info'!A2399:I2899,3,FALSE)</f>
        <v>#N/A</v>
      </c>
      <c r="I2407" s="6" t="e">
        <f>VLOOKUP('Customer Info'!A2399,'Customer Info'!A2399:I2898,5,FALSE)</f>
        <v>#N/A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2516</v>
      </c>
      <c r="R2407" s="2" t="s">
        <v>28</v>
      </c>
      <c r="S2407" s="9">
        <f t="shared" si="189"/>
        <v>7.0000000000000007E-2</v>
      </c>
    </row>
    <row r="2408" spans="1:19" x14ac:dyDescent="0.25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e">
        <f>VLOOKUP('Customer Info'!A2400,'Customer Info'!A2400:I2899,2,FALSE)</f>
        <v>#N/A</v>
      </c>
      <c r="H2408" s="6" t="e">
        <f>VLOOKUP('Customer Info'!A2400,'Customer Info'!A2400:I2900,3,FALSE)</f>
        <v>#N/A</v>
      </c>
      <c r="I2408" s="6" t="e">
        <f>VLOOKUP('Customer Info'!A2400,'Customer Info'!A2400:I2899,5,FALSE)</f>
        <v>#N/A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20</v>
      </c>
      <c r="R2408" s="2" t="s">
        <v>28</v>
      </c>
      <c r="S2408" s="9">
        <f t="shared" si="189"/>
        <v>0.02</v>
      </c>
    </row>
    <row r="2409" spans="1:19" x14ac:dyDescent="0.25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e">
        <f>VLOOKUP('Customer Info'!A2401,'Customer Info'!A2401:I2900,2,FALSE)</f>
        <v>#N/A</v>
      </c>
      <c r="H2409" s="6" t="e">
        <f>VLOOKUP('Customer Info'!A2401,'Customer Info'!A2401:I2901,3,FALSE)</f>
        <v>#N/A</v>
      </c>
      <c r="I2409" s="6" t="e">
        <f>VLOOKUP('Customer Info'!A2401,'Customer Info'!A2401:I2900,5,FALSE)</f>
        <v>#N/A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36</v>
      </c>
      <c r="R2409" s="2" t="s">
        <v>28</v>
      </c>
      <c r="S2409" s="9">
        <f t="shared" si="189"/>
        <v>0.02</v>
      </c>
    </row>
    <row r="2410" spans="1:19" x14ac:dyDescent="0.25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e">
        <f>VLOOKUP('Customer Info'!A2402,'Customer Info'!A2402:I2901,2,FALSE)</f>
        <v>#N/A</v>
      </c>
      <c r="H2410" s="6" t="e">
        <f>VLOOKUP('Customer Info'!A2402,'Customer Info'!A2402:I2902,3,FALSE)</f>
        <v>#N/A</v>
      </c>
      <c r="I2410" s="6" t="e">
        <f>VLOOKUP('Customer Info'!A2402,'Customer Info'!A2402:I2901,5,FALSE)</f>
        <v>#N/A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404</v>
      </c>
      <c r="R2410" s="2" t="s">
        <v>50</v>
      </c>
      <c r="S2410" s="9">
        <f t="shared" si="189"/>
        <v>0.05</v>
      </c>
    </row>
    <row r="2411" spans="1:19" x14ac:dyDescent="0.25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e">
        <f>VLOOKUP('Customer Info'!A2403,'Customer Info'!A2403:I2902,2,FALSE)</f>
        <v>#N/A</v>
      </c>
      <c r="H2411" s="6" t="e">
        <f>VLOOKUP('Customer Info'!A2403,'Customer Info'!A2403:I2903,3,FALSE)</f>
        <v>#N/A</v>
      </c>
      <c r="I2411" s="6" t="e">
        <f>VLOOKUP('Customer Info'!A2403,'Customer Info'!A2403:I2902,5,FALSE)</f>
        <v>#N/A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857</v>
      </c>
      <c r="R2411" s="2" t="s">
        <v>28</v>
      </c>
      <c r="S2411" s="9">
        <f t="shared" si="189"/>
        <v>0.05</v>
      </c>
    </row>
    <row r="2412" spans="1:19" x14ac:dyDescent="0.25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e">
        <f>VLOOKUP('Customer Info'!A2404,'Customer Info'!A2404:I2903,2,FALSE)</f>
        <v>#N/A</v>
      </c>
      <c r="H2412" s="6" t="e">
        <f>VLOOKUP('Customer Info'!A2404,'Customer Info'!A2404:I2904,3,FALSE)</f>
        <v>#N/A</v>
      </c>
      <c r="I2412" s="6" t="e">
        <f>VLOOKUP('Customer Info'!A2404,'Customer Info'!A2404:I2903,5,FALSE)</f>
        <v>#N/A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265</v>
      </c>
      <c r="R2412" s="2" t="s">
        <v>26</v>
      </c>
      <c r="S2412" s="9">
        <f t="shared" si="189"/>
        <v>0.02</v>
      </c>
    </row>
    <row r="2413" spans="1:19" x14ac:dyDescent="0.25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e">
        <f>VLOOKUP('Customer Info'!A2405,'Customer Info'!A2405:I2904,2,FALSE)</f>
        <v>#N/A</v>
      </c>
      <c r="H2413" s="6" t="e">
        <f>VLOOKUP('Customer Info'!A2405,'Customer Info'!A2405:I2905,3,FALSE)</f>
        <v>#N/A</v>
      </c>
      <c r="I2413" s="6" t="e">
        <f>VLOOKUP('Customer Info'!A2405,'Customer Info'!A2405:I2904,5,FALSE)</f>
        <v>#N/A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202</v>
      </c>
      <c r="R2413" s="2" t="s">
        <v>28</v>
      </c>
      <c r="S2413" s="9">
        <f t="shared" si="189"/>
        <v>0.02</v>
      </c>
    </row>
    <row r="2414" spans="1:19" x14ac:dyDescent="0.25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e">
        <f>VLOOKUP('Customer Info'!A2406,'Customer Info'!A2406:I2905,2,FALSE)</f>
        <v>#N/A</v>
      </c>
      <c r="H2414" s="6" t="e">
        <f>VLOOKUP('Customer Info'!A2406,'Customer Info'!A2406:I2906,3,FALSE)</f>
        <v>#N/A</v>
      </c>
      <c r="I2414" s="6" t="e">
        <f>VLOOKUP('Customer Info'!A2406,'Customer Info'!A2406:I2905,5,FALSE)</f>
        <v>#N/A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1059</v>
      </c>
      <c r="R2414" s="2" t="s">
        <v>28</v>
      </c>
      <c r="S2414" s="9">
        <f t="shared" si="189"/>
        <v>0.05</v>
      </c>
    </row>
    <row r="2415" spans="1:19" x14ac:dyDescent="0.25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e">
        <f>VLOOKUP('Customer Info'!A2407,'Customer Info'!A2407:I2906,2,FALSE)</f>
        <v>#N/A</v>
      </c>
      <c r="H2415" s="6" t="e">
        <f>VLOOKUP('Customer Info'!A2407,'Customer Info'!A2407:I2907,3,FALSE)</f>
        <v>#N/A</v>
      </c>
      <c r="I2415" s="6" t="e">
        <f>VLOOKUP('Customer Info'!A2407,'Customer Info'!A2407:I2906,5,FALSE)</f>
        <v>#N/A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1200</v>
      </c>
      <c r="R2415" s="2" t="s">
        <v>28</v>
      </c>
      <c r="S2415" s="9">
        <f t="shared" si="189"/>
        <v>0.05</v>
      </c>
    </row>
    <row r="2416" spans="1:19" x14ac:dyDescent="0.25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e">
        <f>VLOOKUP('Customer Info'!A2408,'Customer Info'!A2408:I2907,2,FALSE)</f>
        <v>#N/A</v>
      </c>
      <c r="H2416" s="6" t="e">
        <f>VLOOKUP('Customer Info'!A2408,'Customer Info'!A2408:I2908,3,FALSE)</f>
        <v>#N/A</v>
      </c>
      <c r="I2416" s="6" t="e">
        <f>VLOOKUP('Customer Info'!A2408,'Customer Info'!A2408:I2907,5,FALSE)</f>
        <v>#N/A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844</v>
      </c>
      <c r="R2416" s="2" t="s">
        <v>28</v>
      </c>
      <c r="S2416" s="9">
        <f t="shared" si="189"/>
        <v>0.05</v>
      </c>
    </row>
    <row r="2417" spans="1:19" x14ac:dyDescent="0.25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e">
        <f>VLOOKUP('Customer Info'!A2409,'Customer Info'!A2409:I2908,2,FALSE)</f>
        <v>#N/A</v>
      </c>
      <c r="H2417" s="6" t="e">
        <f>VLOOKUP('Customer Info'!A2409,'Customer Info'!A2409:I2909,3,FALSE)</f>
        <v>#N/A</v>
      </c>
      <c r="I2417" s="6" t="e">
        <f>VLOOKUP('Customer Info'!A2409,'Customer Info'!A2409:I2908,5,FALSE)</f>
        <v>#N/A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987</v>
      </c>
      <c r="R2417" s="2" t="s">
        <v>56</v>
      </c>
      <c r="S2417" s="9">
        <f t="shared" si="189"/>
        <v>0.05</v>
      </c>
    </row>
    <row r="2418" spans="1:19" x14ac:dyDescent="0.25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e">
        <f>VLOOKUP('Customer Info'!A2410,'Customer Info'!A2410:I2909,2,FALSE)</f>
        <v>#N/A</v>
      </c>
      <c r="H2418" s="6" t="e">
        <f>VLOOKUP('Customer Info'!A2410,'Customer Info'!A2410:I2910,3,FALSE)</f>
        <v>#N/A</v>
      </c>
      <c r="I2418" s="6" t="e">
        <f>VLOOKUP('Customer Info'!A2410,'Customer Info'!A2410:I2909,5,FALSE)</f>
        <v>#N/A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1392</v>
      </c>
      <c r="R2418" s="2" t="s">
        <v>50</v>
      </c>
      <c r="S2418" s="9">
        <f t="shared" si="189"/>
        <v>7.0000000000000007E-2</v>
      </c>
    </row>
    <row r="2419" spans="1:19" x14ac:dyDescent="0.25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e">
        <f>VLOOKUP('Customer Info'!A2411,'Customer Info'!A2411:I2910,2,FALSE)</f>
        <v>#N/A</v>
      </c>
      <c r="H2419" s="6" t="e">
        <f>VLOOKUP('Customer Info'!A2411,'Customer Info'!A2411:I2911,3,FALSE)</f>
        <v>#N/A</v>
      </c>
      <c r="I2419" s="6" t="e">
        <f>VLOOKUP('Customer Info'!A2411,'Customer Info'!A2411:I2910,5,FALSE)</f>
        <v>#N/A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254</v>
      </c>
      <c r="R2419" s="2" t="s">
        <v>28</v>
      </c>
      <c r="S2419" s="9">
        <f t="shared" si="189"/>
        <v>0.02</v>
      </c>
    </row>
    <row r="2420" spans="1:19" x14ac:dyDescent="0.25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e">
        <f>VLOOKUP('Customer Info'!A2412,'Customer Info'!A2412:I2911,2,FALSE)</f>
        <v>#N/A</v>
      </c>
      <c r="H2420" s="6" t="e">
        <f>VLOOKUP('Customer Info'!A2412,'Customer Info'!A2412:I2912,3,FALSE)</f>
        <v>#N/A</v>
      </c>
      <c r="I2420" s="6" t="e">
        <f>VLOOKUP('Customer Info'!A2412,'Customer Info'!A2412:I2911,5,FALSE)</f>
        <v>#N/A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142</v>
      </c>
      <c r="R2420" s="2" t="s">
        <v>28</v>
      </c>
      <c r="S2420" s="9">
        <f t="shared" si="189"/>
        <v>0.02</v>
      </c>
    </row>
    <row r="2421" spans="1:19" x14ac:dyDescent="0.25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e">
        <f>VLOOKUP('Customer Info'!A2413,'Customer Info'!A2413:I2912,2,FALSE)</f>
        <v>#N/A</v>
      </c>
      <c r="H2421" s="6" t="e">
        <f>VLOOKUP('Customer Info'!A2413,'Customer Info'!A2413:I2913,3,FALSE)</f>
        <v>#N/A</v>
      </c>
      <c r="I2421" s="6" t="e">
        <f>VLOOKUP('Customer Info'!A2413,'Customer Info'!A2413:I2912,5,FALSE)</f>
        <v>#N/A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173</v>
      </c>
      <c r="R2421" s="2" t="s">
        <v>50</v>
      </c>
      <c r="S2421" s="9">
        <f t="shared" si="189"/>
        <v>0.02</v>
      </c>
    </row>
    <row r="2422" spans="1:19" x14ac:dyDescent="0.25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e">
        <f>VLOOKUP('Customer Info'!A2414,'Customer Info'!A2414:I2913,2,FALSE)</f>
        <v>#N/A</v>
      </c>
      <c r="H2422" s="6" t="e">
        <f>VLOOKUP('Customer Info'!A2414,'Customer Info'!A2414:I2914,3,FALSE)</f>
        <v>#N/A</v>
      </c>
      <c r="I2422" s="6" t="e">
        <f>VLOOKUP('Customer Info'!A2414,'Customer Info'!A2414:I2913,5,FALSE)</f>
        <v>#N/A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3012</v>
      </c>
      <c r="R2422" s="2" t="s">
        <v>50</v>
      </c>
      <c r="S2422" s="9">
        <f t="shared" si="189"/>
        <v>7.0000000000000007E-2</v>
      </c>
    </row>
    <row r="2423" spans="1:19" x14ac:dyDescent="0.25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e">
        <f>VLOOKUP('Customer Info'!A2415,'Customer Info'!A2415:I2914,2,FALSE)</f>
        <v>#N/A</v>
      </c>
      <c r="H2423" s="6" t="e">
        <f>VLOOKUP('Customer Info'!A2415,'Customer Info'!A2415:I2915,3,FALSE)</f>
        <v>#N/A</v>
      </c>
      <c r="I2423" s="6" t="e">
        <f>VLOOKUP('Customer Info'!A2415,'Customer Info'!A2415:I2914,5,FALSE)</f>
        <v>#N/A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51</v>
      </c>
      <c r="R2423" s="2" t="s">
        <v>50</v>
      </c>
      <c r="S2423" s="9">
        <f t="shared" si="189"/>
        <v>0.02</v>
      </c>
    </row>
    <row r="2424" spans="1:19" x14ac:dyDescent="0.25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e">
        <f>VLOOKUP('Customer Info'!A2416,'Customer Info'!A2416:I2915,2,FALSE)</f>
        <v>#N/A</v>
      </c>
      <c r="H2424" s="6" t="e">
        <f>VLOOKUP('Customer Info'!A2416,'Customer Info'!A2416:I2916,3,FALSE)</f>
        <v>#N/A</v>
      </c>
      <c r="I2424" s="6" t="e">
        <f>VLOOKUP('Customer Info'!A2416,'Customer Info'!A2416:I2915,5,FALSE)</f>
        <v>#N/A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348</v>
      </c>
      <c r="R2424" s="2" t="s">
        <v>56</v>
      </c>
      <c r="S2424" s="9">
        <f t="shared" si="189"/>
        <v>0.02</v>
      </c>
    </row>
    <row r="2425" spans="1:19" x14ac:dyDescent="0.25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e">
        <f>VLOOKUP('Customer Info'!A2417,'Customer Info'!A2417:I2916,2,FALSE)</f>
        <v>#N/A</v>
      </c>
      <c r="H2425" s="6" t="e">
        <f>VLOOKUP('Customer Info'!A2417,'Customer Info'!A2417:I2917,3,FALSE)</f>
        <v>#N/A</v>
      </c>
      <c r="I2425" s="6" t="e">
        <f>VLOOKUP('Customer Info'!A2417,'Customer Info'!A2417:I2916,5,FALSE)</f>
        <v>#N/A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609</v>
      </c>
      <c r="R2425" s="2" t="s">
        <v>50</v>
      </c>
      <c r="S2425" s="9">
        <f t="shared" si="189"/>
        <v>0.05</v>
      </c>
    </row>
    <row r="2426" spans="1:19" x14ac:dyDescent="0.25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e">
        <f>VLOOKUP('Customer Info'!A2418,'Customer Info'!A2418:I2917,2,FALSE)</f>
        <v>#N/A</v>
      </c>
      <c r="H2426" s="6" t="e">
        <f>VLOOKUP('Customer Info'!A2418,'Customer Info'!A2418:I2918,3,FALSE)</f>
        <v>#N/A</v>
      </c>
      <c r="I2426" s="6" t="e">
        <f>VLOOKUP('Customer Info'!A2418,'Customer Info'!A2418:I2917,5,FALSE)</f>
        <v>#N/A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75</v>
      </c>
      <c r="R2426" s="2" t="s">
        <v>50</v>
      </c>
      <c r="S2426" s="9">
        <f t="shared" si="189"/>
        <v>0.02</v>
      </c>
    </row>
    <row r="2427" spans="1:19" x14ac:dyDescent="0.25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e">
        <f>VLOOKUP('Customer Info'!A2419,'Customer Info'!A2419:I2918,2,FALSE)</f>
        <v>#N/A</v>
      </c>
      <c r="H2427" s="6" t="e">
        <f>VLOOKUP('Customer Info'!A2419,'Customer Info'!A2419:I2919,3,FALSE)</f>
        <v>#N/A</v>
      </c>
      <c r="I2427" s="6" t="e">
        <f>VLOOKUP('Customer Info'!A2419,'Customer Info'!A2419:I2918,5,FALSE)</f>
        <v>#N/A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347</v>
      </c>
      <c r="R2427" s="2" t="s">
        <v>28</v>
      </c>
      <c r="S2427" s="9">
        <f t="shared" si="189"/>
        <v>0.02</v>
      </c>
    </row>
    <row r="2428" spans="1:19" x14ac:dyDescent="0.25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e">
        <f>VLOOKUP('Customer Info'!A2420,'Customer Info'!A2420:I2919,2,FALSE)</f>
        <v>#N/A</v>
      </c>
      <c r="H2428" s="6" t="e">
        <f>VLOOKUP('Customer Info'!A2420,'Customer Info'!A2420:I2920,3,FALSE)</f>
        <v>#N/A</v>
      </c>
      <c r="I2428" s="6" t="e">
        <f>VLOOKUP('Customer Info'!A2420,'Customer Info'!A2420:I2919,5,FALSE)</f>
        <v>#N/A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62</v>
      </c>
      <c r="R2428" s="2" t="s">
        <v>26</v>
      </c>
      <c r="S2428" s="9">
        <f t="shared" si="189"/>
        <v>0.02</v>
      </c>
    </row>
    <row r="2429" spans="1:19" x14ac:dyDescent="0.25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e">
        <f>VLOOKUP('Customer Info'!A2421,'Customer Info'!A2421:I2920,2,FALSE)</f>
        <v>#N/A</v>
      </c>
      <c r="H2429" s="6" t="e">
        <f>VLOOKUP('Customer Info'!A2421,'Customer Info'!A2421:I2921,3,FALSE)</f>
        <v>#N/A</v>
      </c>
      <c r="I2429" s="6" t="e">
        <f>VLOOKUP('Customer Info'!A2421,'Customer Info'!A2421:I2920,5,FALSE)</f>
        <v>#N/A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899</v>
      </c>
      <c r="R2429" s="2" t="s">
        <v>50</v>
      </c>
      <c r="S2429" s="9">
        <f t="shared" si="189"/>
        <v>0.05</v>
      </c>
    </row>
    <row r="2430" spans="1:19" x14ac:dyDescent="0.25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e">
        <f>VLOOKUP('Customer Info'!A2422,'Customer Info'!A2422:I2921,2,FALSE)</f>
        <v>#N/A</v>
      </c>
      <c r="H2430" s="6" t="e">
        <f>VLOOKUP('Customer Info'!A2422,'Customer Info'!A2422:I2922,3,FALSE)</f>
        <v>#N/A</v>
      </c>
      <c r="I2430" s="6" t="e">
        <f>VLOOKUP('Customer Info'!A2422,'Customer Info'!A2422:I2921,5,FALSE)</f>
        <v>#N/A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144</v>
      </c>
      <c r="R2430" s="2" t="s">
        <v>28</v>
      </c>
      <c r="S2430" s="9">
        <f t="shared" si="189"/>
        <v>0.02</v>
      </c>
    </row>
    <row r="2431" spans="1:19" x14ac:dyDescent="0.25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e">
        <f>VLOOKUP('Customer Info'!A2423,'Customer Info'!A2423:I2922,2,FALSE)</f>
        <v>#N/A</v>
      </c>
      <c r="H2431" s="6" t="e">
        <f>VLOOKUP('Customer Info'!A2423,'Customer Info'!A2423:I2923,3,FALSE)</f>
        <v>#N/A</v>
      </c>
      <c r="I2431" s="6" t="e">
        <f>VLOOKUP('Customer Info'!A2423,'Customer Info'!A2423:I2922,5,FALSE)</f>
        <v>#N/A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874</v>
      </c>
      <c r="R2431" s="2" t="s">
        <v>28</v>
      </c>
      <c r="S2431" s="9">
        <f t="shared" si="189"/>
        <v>0.05</v>
      </c>
    </row>
    <row r="2432" spans="1:19" x14ac:dyDescent="0.25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e">
        <f>VLOOKUP('Customer Info'!A2424,'Customer Info'!A2424:I2923,2,FALSE)</f>
        <v>#N/A</v>
      </c>
      <c r="H2432" s="6" t="e">
        <f>VLOOKUP('Customer Info'!A2424,'Customer Info'!A2424:I2924,3,FALSE)</f>
        <v>#N/A</v>
      </c>
      <c r="I2432" s="6" t="e">
        <f>VLOOKUP('Customer Info'!A2424,'Customer Info'!A2424:I2923,5,FALSE)</f>
        <v>#N/A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254</v>
      </c>
      <c r="R2432" s="2" t="s">
        <v>50</v>
      </c>
      <c r="S2432" s="9">
        <f t="shared" si="189"/>
        <v>0.02</v>
      </c>
    </row>
    <row r="2433" spans="1:19" x14ac:dyDescent="0.25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e">
        <f>VLOOKUP('Customer Info'!A2425,'Customer Info'!A2425:I2924,2,FALSE)</f>
        <v>#N/A</v>
      </c>
      <c r="H2433" s="6" t="e">
        <f>VLOOKUP('Customer Info'!A2425,'Customer Info'!A2425:I2925,3,FALSE)</f>
        <v>#N/A</v>
      </c>
      <c r="I2433" s="6" t="e">
        <f>VLOOKUP('Customer Info'!A2425,'Customer Info'!A2425:I2924,5,FALSE)</f>
        <v>#N/A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347</v>
      </c>
      <c r="R2433" s="2" t="s">
        <v>28</v>
      </c>
      <c r="S2433" s="9">
        <f t="shared" si="189"/>
        <v>0.05</v>
      </c>
    </row>
    <row r="2434" spans="1:19" x14ac:dyDescent="0.25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e">
        <f>VLOOKUP('Customer Info'!A2426,'Customer Info'!A2426:I2925,2,FALSE)</f>
        <v>#N/A</v>
      </c>
      <c r="H2434" s="6" t="e">
        <f>VLOOKUP('Customer Info'!A2426,'Customer Info'!A2426:I2926,3,FALSE)</f>
        <v>#N/A</v>
      </c>
      <c r="I2434" s="6" t="e">
        <f>VLOOKUP('Customer Info'!A2426,'Customer Info'!A2426:I2925,5,FALSE)</f>
        <v>#N/A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175</v>
      </c>
      <c r="R2434" s="2" t="s">
        <v>26</v>
      </c>
      <c r="S2434" s="9">
        <f t="shared" si="189"/>
        <v>0.02</v>
      </c>
    </row>
    <row r="2435" spans="1:19" x14ac:dyDescent="0.25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e">
        <f>VLOOKUP('Customer Info'!A2427,'Customer Info'!A2427:I2926,2,FALSE)</f>
        <v>#N/A</v>
      </c>
      <c r="H2435" s="6" t="e">
        <f>VLOOKUP('Customer Info'!A2427,'Customer Info'!A2427:I2927,3,FALSE)</f>
        <v>#N/A</v>
      </c>
      <c r="I2435" s="6" t="e">
        <f>VLOOKUP('Customer Info'!A2427,'Customer Info'!A2427:I2926,5,FALSE)</f>
        <v>#N/A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549</v>
      </c>
      <c r="R2435" s="2" t="s">
        <v>28</v>
      </c>
      <c r="S2435" s="9">
        <f t="shared" si="189"/>
        <v>0.05</v>
      </c>
    </row>
    <row r="2436" spans="1:19" x14ac:dyDescent="0.25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e">
        <f>VLOOKUP('Customer Info'!A2428,'Customer Info'!A2428:I2927,2,FALSE)</f>
        <v>#N/A</v>
      </c>
      <c r="H2436" s="6" t="e">
        <f>VLOOKUP('Customer Info'!A2428,'Customer Info'!A2428:I2928,3,FALSE)</f>
        <v>#N/A</v>
      </c>
      <c r="I2436" s="6" t="e">
        <f>VLOOKUP('Customer Info'!A2428,'Customer Info'!A2428:I2927,5,FALSE)</f>
        <v>#N/A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1196</v>
      </c>
      <c r="R2436" s="2" t="s">
        <v>28</v>
      </c>
      <c r="S2436" s="9">
        <f t="shared" si="189"/>
        <v>0.05</v>
      </c>
    </row>
    <row r="2437" spans="1:19" x14ac:dyDescent="0.25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e">
        <f>VLOOKUP('Customer Info'!A2429,'Customer Info'!A2429:I2928,2,FALSE)</f>
        <v>#N/A</v>
      </c>
      <c r="H2437" s="6" t="e">
        <f>VLOOKUP('Customer Info'!A2429,'Customer Info'!A2429:I2929,3,FALSE)</f>
        <v>#N/A</v>
      </c>
      <c r="I2437" s="6" t="e">
        <f>VLOOKUP('Customer Info'!A2429,'Customer Info'!A2429:I2928,5,FALSE)</f>
        <v>#N/A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20</v>
      </c>
      <c r="R2437" s="2" t="s">
        <v>26</v>
      </c>
      <c r="S2437" s="9">
        <f t="shared" si="189"/>
        <v>0.02</v>
      </c>
    </row>
    <row r="2438" spans="1:19" x14ac:dyDescent="0.25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e">
        <f>VLOOKUP('Customer Info'!A2430,'Customer Info'!A2430:I2929,2,FALSE)</f>
        <v>#N/A</v>
      </c>
      <c r="H2438" s="6" t="e">
        <f>VLOOKUP('Customer Info'!A2430,'Customer Info'!A2430:I2930,3,FALSE)</f>
        <v>#N/A</v>
      </c>
      <c r="I2438" s="6" t="e">
        <f>VLOOKUP('Customer Info'!A2430,'Customer Info'!A2430:I2929,5,FALSE)</f>
        <v>#N/A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90</v>
      </c>
      <c r="R2438" s="2" t="s">
        <v>50</v>
      </c>
      <c r="S2438" s="9">
        <f t="shared" si="189"/>
        <v>0.02</v>
      </c>
    </row>
    <row r="2439" spans="1:19" x14ac:dyDescent="0.25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e">
        <f>VLOOKUP('Customer Info'!A2431,'Customer Info'!A2431:I2930,2,FALSE)</f>
        <v>#N/A</v>
      </c>
      <c r="H2439" s="6" t="e">
        <f>VLOOKUP('Customer Info'!A2431,'Customer Info'!A2431:I2931,3,FALSE)</f>
        <v>#N/A</v>
      </c>
      <c r="I2439" s="6" t="e">
        <f>VLOOKUP('Customer Info'!A2431,'Customer Info'!A2431:I2930,5,FALSE)</f>
        <v>#N/A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253</v>
      </c>
      <c r="R2439" s="2" t="s">
        <v>28</v>
      </c>
      <c r="S2439" s="9">
        <f t="shared" si="189"/>
        <v>0.02</v>
      </c>
    </row>
    <row r="2440" spans="1:19" x14ac:dyDescent="0.25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e">
        <f>VLOOKUP('Customer Info'!A2432,'Customer Info'!A2432:I2931,2,FALSE)</f>
        <v>#N/A</v>
      </c>
      <c r="H2440" s="6" t="e">
        <f>VLOOKUP('Customer Info'!A2432,'Customer Info'!A2432:I2932,3,FALSE)</f>
        <v>#N/A</v>
      </c>
      <c r="I2440" s="6" t="e">
        <f>VLOOKUP('Customer Info'!A2432,'Customer Info'!A2432:I2931,5,FALSE)</f>
        <v>#N/A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40</v>
      </c>
      <c r="R2440" s="2" t="s">
        <v>50</v>
      </c>
      <c r="S2440" s="9">
        <f t="shared" si="189"/>
        <v>0.02</v>
      </c>
    </row>
    <row r="2441" spans="1:19" x14ac:dyDescent="0.25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e">
        <f>VLOOKUP('Customer Info'!A2433,'Customer Info'!A2433:I2932,2,FALSE)</f>
        <v>#N/A</v>
      </c>
      <c r="H2441" s="6" t="e">
        <f>VLOOKUP('Customer Info'!A2433,'Customer Info'!A2433:I2933,3,FALSE)</f>
        <v>#N/A</v>
      </c>
      <c r="I2441" s="6" t="e">
        <f>VLOOKUP('Customer Info'!A2433,'Customer Info'!A2433:I2932,5,FALSE)</f>
        <v>#N/A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420</v>
      </c>
      <c r="R2441" s="2" t="s">
        <v>28</v>
      </c>
      <c r="S2441" s="9">
        <f t="shared" si="189"/>
        <v>0.05</v>
      </c>
    </row>
    <row r="2442" spans="1:19" x14ac:dyDescent="0.25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e">
        <f>VLOOKUP('Customer Info'!A2434,'Customer Info'!A2434:I2933,2,FALSE)</f>
        <v>#N/A</v>
      </c>
      <c r="H2442" s="6" t="e">
        <f>VLOOKUP('Customer Info'!A2434,'Customer Info'!A2434:I2934,3,FALSE)</f>
        <v>#N/A</v>
      </c>
      <c r="I2442" s="6" t="e">
        <f>VLOOKUP('Customer Info'!A2434,'Customer Info'!A2434:I2933,5,FALSE)</f>
        <v>#N/A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20</v>
      </c>
      <c r="R2442" s="2" t="s">
        <v>50</v>
      </c>
      <c r="S2442" s="9">
        <f t="shared" si="189"/>
        <v>0.02</v>
      </c>
    </row>
    <row r="2443" spans="1:19" x14ac:dyDescent="0.25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e">
        <f>VLOOKUP('Customer Info'!A2435,'Customer Info'!A2435:I2934,2,FALSE)</f>
        <v>#N/A</v>
      </c>
      <c r="H2443" s="6" t="e">
        <f>VLOOKUP('Customer Info'!A2435,'Customer Info'!A2435:I2935,3,FALSE)</f>
        <v>#N/A</v>
      </c>
      <c r="I2443" s="6" t="e">
        <f>VLOOKUP('Customer Info'!A2435,'Customer Info'!A2435:I2934,5,FALSE)</f>
        <v>#N/A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8">
        <f t="shared" ref="P2443:P2506" si="192">N2443+O2443</f>
        <v>2183</v>
      </c>
      <c r="Q2443" s="8">
        <f t="shared" ref="Q2443:Q2506" si="193">P2443-M2443</f>
        <v>163</v>
      </c>
      <c r="R2443" s="2" t="s">
        <v>28</v>
      </c>
      <c r="S2443" s="9">
        <f t="shared" ref="S2443:S2506" si="194">VLOOKUP(P2443,$T$2:$U$7,2,TRUE)</f>
        <v>0.02</v>
      </c>
    </row>
    <row r="2444" spans="1:19" x14ac:dyDescent="0.25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e">
        <f>VLOOKUP('Customer Info'!A2436,'Customer Info'!A2436:I2935,2,FALSE)</f>
        <v>#N/A</v>
      </c>
      <c r="H2444" s="6" t="e">
        <f>VLOOKUP('Customer Info'!A2436,'Customer Info'!A2436:I2936,3,FALSE)</f>
        <v>#N/A</v>
      </c>
      <c r="I2444" s="6" t="e">
        <f>VLOOKUP('Customer Info'!A2436,'Customer Info'!A2436:I2935,5,FALSE)</f>
        <v>#N/A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3955</v>
      </c>
      <c r="R2444" s="2" t="s">
        <v>26</v>
      </c>
      <c r="S2444" s="9">
        <f t="shared" si="194"/>
        <v>7.0000000000000007E-2</v>
      </c>
    </row>
    <row r="2445" spans="1:19" x14ac:dyDescent="0.25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e">
        <f>VLOOKUP('Customer Info'!A2437,'Customer Info'!A2437:I2936,2,FALSE)</f>
        <v>#N/A</v>
      </c>
      <c r="H2445" s="6" t="e">
        <f>VLOOKUP('Customer Info'!A2437,'Customer Info'!A2437:I2937,3,FALSE)</f>
        <v>#N/A</v>
      </c>
      <c r="I2445" s="6" t="e">
        <f>VLOOKUP('Customer Info'!A2437,'Customer Info'!A2437:I2936,5,FALSE)</f>
        <v>#N/A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26</v>
      </c>
      <c r="R2445" s="2" t="s">
        <v>50</v>
      </c>
      <c r="S2445" s="9">
        <f t="shared" si="194"/>
        <v>0.02</v>
      </c>
    </row>
    <row r="2446" spans="1:19" x14ac:dyDescent="0.25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e">
        <f>VLOOKUP('Customer Info'!A2438,'Customer Info'!A2438:I2937,2,FALSE)</f>
        <v>#N/A</v>
      </c>
      <c r="H2446" s="6" t="e">
        <f>VLOOKUP('Customer Info'!A2438,'Customer Info'!A2438:I2938,3,FALSE)</f>
        <v>#N/A</v>
      </c>
      <c r="I2446" s="6" t="e">
        <f>VLOOKUP('Customer Info'!A2438,'Customer Info'!A2438:I2937,5,FALSE)</f>
        <v>#N/A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20</v>
      </c>
      <c r="R2446" s="2" t="s">
        <v>50</v>
      </c>
      <c r="S2446" s="9">
        <f t="shared" si="194"/>
        <v>0.02</v>
      </c>
    </row>
    <row r="2447" spans="1:19" x14ac:dyDescent="0.25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e">
        <f>VLOOKUP('Customer Info'!A2439,'Customer Info'!A2439:I2938,2,FALSE)</f>
        <v>#N/A</v>
      </c>
      <c r="H2447" s="6" t="e">
        <f>VLOOKUP('Customer Info'!A2439,'Customer Info'!A2439:I2939,3,FALSE)</f>
        <v>#N/A</v>
      </c>
      <c r="I2447" s="6" t="e">
        <f>VLOOKUP('Customer Info'!A2439,'Customer Info'!A2439:I2938,5,FALSE)</f>
        <v>#N/A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658</v>
      </c>
      <c r="R2447" s="2" t="s">
        <v>28</v>
      </c>
      <c r="S2447" s="9">
        <f t="shared" si="194"/>
        <v>0.05</v>
      </c>
    </row>
    <row r="2448" spans="1:19" x14ac:dyDescent="0.25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e">
        <f>VLOOKUP('Customer Info'!A2440,'Customer Info'!A2440:I2939,2,FALSE)</f>
        <v>#N/A</v>
      </c>
      <c r="H2448" s="6" t="e">
        <f>VLOOKUP('Customer Info'!A2440,'Customer Info'!A2440:I2940,3,FALSE)</f>
        <v>#N/A</v>
      </c>
      <c r="I2448" s="6" t="e">
        <f>VLOOKUP('Customer Info'!A2440,'Customer Info'!A2440:I2939,5,FALSE)</f>
        <v>#N/A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156</v>
      </c>
      <c r="R2448" s="2" t="s">
        <v>28</v>
      </c>
      <c r="S2448" s="9">
        <f t="shared" si="194"/>
        <v>0.02</v>
      </c>
    </row>
    <row r="2449" spans="1:19" x14ac:dyDescent="0.25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e">
        <f>VLOOKUP('Customer Info'!A2441,'Customer Info'!A2441:I2940,2,FALSE)</f>
        <v>#N/A</v>
      </c>
      <c r="H2449" s="6" t="e">
        <f>VLOOKUP('Customer Info'!A2441,'Customer Info'!A2441:I2941,3,FALSE)</f>
        <v>#N/A</v>
      </c>
      <c r="I2449" s="6" t="e">
        <f>VLOOKUP('Customer Info'!A2441,'Customer Info'!A2441:I2940,5,FALSE)</f>
        <v>#N/A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377</v>
      </c>
      <c r="R2449" s="2" t="s">
        <v>28</v>
      </c>
      <c r="S2449" s="9">
        <f t="shared" si="194"/>
        <v>0.02</v>
      </c>
    </row>
    <row r="2450" spans="1:19" x14ac:dyDescent="0.25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e">
        <f>VLOOKUP('Customer Info'!A2442,'Customer Info'!A2442:I2941,2,FALSE)</f>
        <v>#N/A</v>
      </c>
      <c r="H2450" s="6" t="e">
        <f>VLOOKUP('Customer Info'!A2442,'Customer Info'!A2442:I2942,3,FALSE)</f>
        <v>#N/A</v>
      </c>
      <c r="I2450" s="6" t="e">
        <f>VLOOKUP('Customer Info'!A2442,'Customer Info'!A2442:I2941,5,FALSE)</f>
        <v>#N/A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73</v>
      </c>
      <c r="R2450" s="2" t="s">
        <v>50</v>
      </c>
      <c r="S2450" s="9">
        <f t="shared" si="194"/>
        <v>0.02</v>
      </c>
    </row>
    <row r="2451" spans="1:19" x14ac:dyDescent="0.25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e">
        <f>VLOOKUP('Customer Info'!A2443,'Customer Info'!A2443:I2942,2,FALSE)</f>
        <v>#N/A</v>
      </c>
      <c r="H2451" s="6" t="e">
        <f>VLOOKUP('Customer Info'!A2443,'Customer Info'!A2443:I2943,3,FALSE)</f>
        <v>#N/A</v>
      </c>
      <c r="I2451" s="6" t="e">
        <f>VLOOKUP('Customer Info'!A2443,'Customer Info'!A2443:I2942,5,FALSE)</f>
        <v>#N/A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95</v>
      </c>
      <c r="R2451" s="2" t="s">
        <v>56</v>
      </c>
      <c r="S2451" s="9">
        <f t="shared" si="194"/>
        <v>0.02</v>
      </c>
    </row>
    <row r="2452" spans="1:19" x14ac:dyDescent="0.25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e">
        <f>VLOOKUP('Customer Info'!A2444,'Customer Info'!A2444:I2943,2,FALSE)</f>
        <v>#N/A</v>
      </c>
      <c r="H2452" s="6" t="e">
        <f>VLOOKUP('Customer Info'!A2444,'Customer Info'!A2444:I2944,3,FALSE)</f>
        <v>#N/A</v>
      </c>
      <c r="I2452" s="6" t="e">
        <f>VLOOKUP('Customer Info'!A2444,'Customer Info'!A2444:I2943,5,FALSE)</f>
        <v>#N/A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350</v>
      </c>
      <c r="R2452" s="2" t="s">
        <v>28</v>
      </c>
      <c r="S2452" s="9">
        <f t="shared" si="194"/>
        <v>0.02</v>
      </c>
    </row>
    <row r="2453" spans="1:19" x14ac:dyDescent="0.25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e">
        <f>VLOOKUP('Customer Info'!A2445,'Customer Info'!A2445:I2944,2,FALSE)</f>
        <v>#N/A</v>
      </c>
      <c r="H2453" s="6" t="e">
        <f>VLOOKUP('Customer Info'!A2445,'Customer Info'!A2445:I2945,3,FALSE)</f>
        <v>#N/A</v>
      </c>
      <c r="I2453" s="6" t="e">
        <f>VLOOKUP('Customer Info'!A2445,'Customer Info'!A2445:I2944,5,FALSE)</f>
        <v>#N/A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1118</v>
      </c>
      <c r="R2453" s="2" t="s">
        <v>28</v>
      </c>
      <c r="S2453" s="9">
        <f t="shared" si="194"/>
        <v>0.05</v>
      </c>
    </row>
    <row r="2454" spans="1:19" x14ac:dyDescent="0.25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e">
        <f>VLOOKUP('Customer Info'!A2446,'Customer Info'!A2446:I2945,2,FALSE)</f>
        <v>#N/A</v>
      </c>
      <c r="H2454" s="6" t="e">
        <f>VLOOKUP('Customer Info'!A2446,'Customer Info'!A2446:I2946,3,FALSE)</f>
        <v>#N/A</v>
      </c>
      <c r="I2454" s="6" t="e">
        <f>VLOOKUP('Customer Info'!A2446,'Customer Info'!A2446:I2945,5,FALSE)</f>
        <v>#N/A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274</v>
      </c>
      <c r="R2454" s="2" t="s">
        <v>26</v>
      </c>
      <c r="S2454" s="9">
        <f t="shared" si="194"/>
        <v>0.02</v>
      </c>
    </row>
    <row r="2455" spans="1:19" x14ac:dyDescent="0.25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e">
        <f>VLOOKUP('Customer Info'!A2447,'Customer Info'!A2447:I2946,2,FALSE)</f>
        <v>#N/A</v>
      </c>
      <c r="H2455" s="6" t="e">
        <f>VLOOKUP('Customer Info'!A2447,'Customer Info'!A2447:I2947,3,FALSE)</f>
        <v>#N/A</v>
      </c>
      <c r="I2455" s="6" t="e">
        <f>VLOOKUP('Customer Info'!A2447,'Customer Info'!A2447:I2946,5,FALSE)</f>
        <v>#N/A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2039</v>
      </c>
      <c r="R2455" s="2" t="s">
        <v>28</v>
      </c>
      <c r="S2455" s="9">
        <f t="shared" si="194"/>
        <v>0.05</v>
      </c>
    </row>
    <row r="2456" spans="1:19" x14ac:dyDescent="0.25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e">
        <f>VLOOKUP('Customer Info'!A2448,'Customer Info'!A2448:I2947,2,FALSE)</f>
        <v>#N/A</v>
      </c>
      <c r="H2456" s="6" t="e">
        <f>VLOOKUP('Customer Info'!A2448,'Customer Info'!A2448:I2948,3,FALSE)</f>
        <v>#N/A</v>
      </c>
      <c r="I2456" s="6" t="e">
        <f>VLOOKUP('Customer Info'!A2448,'Customer Info'!A2448:I2947,5,FALSE)</f>
        <v>#N/A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38</v>
      </c>
      <c r="R2456" s="2" t="s">
        <v>28</v>
      </c>
      <c r="S2456" s="9">
        <f t="shared" si="194"/>
        <v>0.02</v>
      </c>
    </row>
    <row r="2457" spans="1:19" x14ac:dyDescent="0.25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e">
        <f>VLOOKUP('Customer Info'!A2449,'Customer Info'!A2449:I2948,2,FALSE)</f>
        <v>#N/A</v>
      </c>
      <c r="H2457" s="6" t="e">
        <f>VLOOKUP('Customer Info'!A2449,'Customer Info'!A2449:I2949,3,FALSE)</f>
        <v>#N/A</v>
      </c>
      <c r="I2457" s="6" t="e">
        <f>VLOOKUP('Customer Info'!A2449,'Customer Info'!A2449:I2948,5,FALSE)</f>
        <v>#N/A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625</v>
      </c>
      <c r="R2457" s="2" t="s">
        <v>28</v>
      </c>
      <c r="S2457" s="9">
        <f t="shared" si="194"/>
        <v>0.05</v>
      </c>
    </row>
    <row r="2458" spans="1:19" x14ac:dyDescent="0.25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e">
        <f>VLOOKUP('Customer Info'!A2450,'Customer Info'!A2450:I2949,2,FALSE)</f>
        <v>#N/A</v>
      </c>
      <c r="H2458" s="6" t="e">
        <f>VLOOKUP('Customer Info'!A2450,'Customer Info'!A2450:I2950,3,FALSE)</f>
        <v>#N/A</v>
      </c>
      <c r="I2458" s="6" t="e">
        <f>VLOOKUP('Customer Info'!A2450,'Customer Info'!A2450:I2949,5,FALSE)</f>
        <v>#N/A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460</v>
      </c>
      <c r="R2458" s="2" t="s">
        <v>28</v>
      </c>
      <c r="S2458" s="9">
        <f t="shared" si="194"/>
        <v>0.05</v>
      </c>
    </row>
    <row r="2459" spans="1:19" x14ac:dyDescent="0.25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e">
        <f>VLOOKUP('Customer Info'!A2451,'Customer Info'!A2451:I2950,2,FALSE)</f>
        <v>#N/A</v>
      </c>
      <c r="H2459" s="6" t="e">
        <f>VLOOKUP('Customer Info'!A2451,'Customer Info'!A2451:I2951,3,FALSE)</f>
        <v>#N/A</v>
      </c>
      <c r="I2459" s="6" t="e">
        <f>VLOOKUP('Customer Info'!A2451,'Customer Info'!A2451:I2950,5,FALSE)</f>
        <v>#N/A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180</v>
      </c>
      <c r="R2459" s="2" t="s">
        <v>50</v>
      </c>
      <c r="S2459" s="9">
        <f t="shared" si="194"/>
        <v>0.02</v>
      </c>
    </row>
    <row r="2460" spans="1:19" x14ac:dyDescent="0.25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e">
        <f>VLOOKUP('Customer Info'!A2452,'Customer Info'!A2452:I2951,2,FALSE)</f>
        <v>#N/A</v>
      </c>
      <c r="H2460" s="6" t="e">
        <f>VLOOKUP('Customer Info'!A2452,'Customer Info'!A2452:I2952,3,FALSE)</f>
        <v>#N/A</v>
      </c>
      <c r="I2460" s="6" t="e">
        <f>VLOOKUP('Customer Info'!A2452,'Customer Info'!A2452:I2951,5,FALSE)</f>
        <v>#N/A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100</v>
      </c>
      <c r="R2460" s="2" t="s">
        <v>28</v>
      </c>
      <c r="S2460" s="9">
        <f t="shared" si="194"/>
        <v>0.02</v>
      </c>
    </row>
    <row r="2461" spans="1:19" x14ac:dyDescent="0.25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e">
        <f>VLOOKUP('Customer Info'!A2453,'Customer Info'!A2453:I2952,2,FALSE)</f>
        <v>#N/A</v>
      </c>
      <c r="H2461" s="6" t="e">
        <f>VLOOKUP('Customer Info'!A2453,'Customer Info'!A2453:I2953,3,FALSE)</f>
        <v>#N/A</v>
      </c>
      <c r="I2461" s="6" t="e">
        <f>VLOOKUP('Customer Info'!A2453,'Customer Info'!A2453:I2952,5,FALSE)</f>
        <v>#N/A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2152</v>
      </c>
      <c r="R2461" s="2" t="s">
        <v>28</v>
      </c>
      <c r="S2461" s="9">
        <f t="shared" si="194"/>
        <v>7.0000000000000007E-2</v>
      </c>
    </row>
    <row r="2462" spans="1:19" x14ac:dyDescent="0.25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e">
        <f>VLOOKUP('Customer Info'!A2454,'Customer Info'!A2454:I2953,2,FALSE)</f>
        <v>#N/A</v>
      </c>
      <c r="H2462" s="6" t="e">
        <f>VLOOKUP('Customer Info'!A2454,'Customer Info'!A2454:I2954,3,FALSE)</f>
        <v>#N/A</v>
      </c>
      <c r="I2462" s="6" t="e">
        <f>VLOOKUP('Customer Info'!A2454,'Customer Info'!A2454:I2953,5,FALSE)</f>
        <v>#N/A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243</v>
      </c>
      <c r="R2462" s="2" t="s">
        <v>28</v>
      </c>
      <c r="S2462" s="9">
        <f t="shared" si="194"/>
        <v>0.02</v>
      </c>
    </row>
    <row r="2463" spans="1:19" x14ac:dyDescent="0.25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e">
        <f>VLOOKUP('Customer Info'!A2455,'Customer Info'!A2455:I2954,2,FALSE)</f>
        <v>#N/A</v>
      </c>
      <c r="H2463" s="6" t="e">
        <f>VLOOKUP('Customer Info'!A2455,'Customer Info'!A2455:I2955,3,FALSE)</f>
        <v>#N/A</v>
      </c>
      <c r="I2463" s="6" t="e">
        <f>VLOOKUP('Customer Info'!A2455,'Customer Info'!A2455:I2954,5,FALSE)</f>
        <v>#N/A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972</v>
      </c>
      <c r="R2463" s="2" t="s">
        <v>50</v>
      </c>
      <c r="S2463" s="9">
        <f t="shared" si="194"/>
        <v>0.05</v>
      </c>
    </row>
    <row r="2464" spans="1:19" x14ac:dyDescent="0.25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e">
        <f>VLOOKUP('Customer Info'!A2456,'Customer Info'!A2456:I2955,2,FALSE)</f>
        <v>#N/A</v>
      </c>
      <c r="H2464" s="6" t="e">
        <f>VLOOKUP('Customer Info'!A2456,'Customer Info'!A2456:I2956,3,FALSE)</f>
        <v>#N/A</v>
      </c>
      <c r="I2464" s="6" t="e">
        <f>VLOOKUP('Customer Info'!A2456,'Customer Info'!A2456:I2955,5,FALSE)</f>
        <v>#N/A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477</v>
      </c>
      <c r="R2464" s="2" t="s">
        <v>56</v>
      </c>
      <c r="S2464" s="9">
        <f t="shared" si="194"/>
        <v>0.05</v>
      </c>
    </row>
    <row r="2465" spans="1:19" x14ac:dyDescent="0.25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e">
        <f>VLOOKUP('Customer Info'!A2457,'Customer Info'!A2457:I2956,2,FALSE)</f>
        <v>#N/A</v>
      </c>
      <c r="H2465" s="6" t="e">
        <f>VLOOKUP('Customer Info'!A2457,'Customer Info'!A2457:I2957,3,FALSE)</f>
        <v>#N/A</v>
      </c>
      <c r="I2465" s="6" t="e">
        <f>VLOOKUP('Customer Info'!A2457,'Customer Info'!A2457:I2956,5,FALSE)</f>
        <v>#N/A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37</v>
      </c>
      <c r="R2465" s="2" t="s">
        <v>26</v>
      </c>
      <c r="S2465" s="9">
        <f t="shared" si="194"/>
        <v>0.02</v>
      </c>
    </row>
    <row r="2466" spans="1:19" x14ac:dyDescent="0.25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e">
        <f>VLOOKUP('Customer Info'!A2458,'Customer Info'!A2458:I2957,2,FALSE)</f>
        <v>#N/A</v>
      </c>
      <c r="H2466" s="6" t="e">
        <f>VLOOKUP('Customer Info'!A2458,'Customer Info'!A2458:I2958,3,FALSE)</f>
        <v>#N/A</v>
      </c>
      <c r="I2466" s="6" t="e">
        <f>VLOOKUP('Customer Info'!A2458,'Customer Info'!A2458:I2957,5,FALSE)</f>
        <v>#N/A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55</v>
      </c>
      <c r="R2466" s="2" t="s">
        <v>28</v>
      </c>
      <c r="S2466" s="9">
        <f t="shared" si="194"/>
        <v>0.02</v>
      </c>
    </row>
    <row r="2467" spans="1:19" x14ac:dyDescent="0.25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e">
        <f>VLOOKUP('Customer Info'!A2459,'Customer Info'!A2459:I2958,2,FALSE)</f>
        <v>#N/A</v>
      </c>
      <c r="H2467" s="6" t="e">
        <f>VLOOKUP('Customer Info'!A2459,'Customer Info'!A2459:I2959,3,FALSE)</f>
        <v>#N/A</v>
      </c>
      <c r="I2467" s="6" t="e">
        <f>VLOOKUP('Customer Info'!A2459,'Customer Info'!A2459:I2958,5,FALSE)</f>
        <v>#N/A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915</v>
      </c>
      <c r="R2467" s="2" t="s">
        <v>28</v>
      </c>
      <c r="S2467" s="9">
        <f t="shared" si="194"/>
        <v>0.05</v>
      </c>
    </row>
    <row r="2468" spans="1:19" x14ac:dyDescent="0.25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e">
        <f>VLOOKUP('Customer Info'!A2460,'Customer Info'!A2460:I2959,2,FALSE)</f>
        <v>#N/A</v>
      </c>
      <c r="H2468" s="6" t="e">
        <f>VLOOKUP('Customer Info'!A2460,'Customer Info'!A2460:I2960,3,FALSE)</f>
        <v>#N/A</v>
      </c>
      <c r="I2468" s="6" t="e">
        <f>VLOOKUP('Customer Info'!A2460,'Customer Info'!A2460:I2959,5,FALSE)</f>
        <v>#N/A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1613</v>
      </c>
      <c r="R2468" s="2" t="s">
        <v>28</v>
      </c>
      <c r="S2468" s="9">
        <f t="shared" si="194"/>
        <v>0.09</v>
      </c>
    </row>
    <row r="2469" spans="1:19" x14ac:dyDescent="0.25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e">
        <f>VLOOKUP('Customer Info'!A2461,'Customer Info'!A2461:I2960,2,FALSE)</f>
        <v>#N/A</v>
      </c>
      <c r="H2469" s="6" t="e">
        <f>VLOOKUP('Customer Info'!A2461,'Customer Info'!A2461:I2961,3,FALSE)</f>
        <v>#N/A</v>
      </c>
      <c r="I2469" s="6" t="e">
        <f>VLOOKUP('Customer Info'!A2461,'Customer Info'!A2461:I2960,5,FALSE)</f>
        <v>#N/A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352</v>
      </c>
      <c r="R2469" s="2" t="s">
        <v>50</v>
      </c>
      <c r="S2469" s="9">
        <f t="shared" si="194"/>
        <v>0.02</v>
      </c>
    </row>
    <row r="2470" spans="1:19" x14ac:dyDescent="0.25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e">
        <f>VLOOKUP('Customer Info'!A2462,'Customer Info'!A2462:I2961,2,FALSE)</f>
        <v>#N/A</v>
      </c>
      <c r="H2470" s="6" t="e">
        <f>VLOOKUP('Customer Info'!A2462,'Customer Info'!A2462:I2962,3,FALSE)</f>
        <v>#N/A</v>
      </c>
      <c r="I2470" s="6" t="e">
        <f>VLOOKUP('Customer Info'!A2462,'Customer Info'!A2462:I2961,5,FALSE)</f>
        <v>#N/A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468</v>
      </c>
      <c r="R2470" s="2" t="s">
        <v>26</v>
      </c>
      <c r="S2470" s="9">
        <f t="shared" si="194"/>
        <v>0.02</v>
      </c>
    </row>
    <row r="2471" spans="1:19" x14ac:dyDescent="0.25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e">
        <f>VLOOKUP('Customer Info'!A2463,'Customer Info'!A2463:I2962,2,FALSE)</f>
        <v>#N/A</v>
      </c>
      <c r="H2471" s="6" t="e">
        <f>VLOOKUP('Customer Info'!A2463,'Customer Info'!A2463:I2963,3,FALSE)</f>
        <v>#N/A</v>
      </c>
      <c r="I2471" s="6" t="e">
        <f>VLOOKUP('Customer Info'!A2463,'Customer Info'!A2463:I2962,5,FALSE)</f>
        <v>#N/A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1787</v>
      </c>
      <c r="R2471" s="2" t="s">
        <v>50</v>
      </c>
      <c r="S2471" s="9">
        <f t="shared" si="194"/>
        <v>0.05</v>
      </c>
    </row>
    <row r="2472" spans="1:19" x14ac:dyDescent="0.25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e">
        <f>VLOOKUP('Customer Info'!A2464,'Customer Info'!A2464:I2963,2,FALSE)</f>
        <v>#N/A</v>
      </c>
      <c r="H2472" s="6" t="e">
        <f>VLOOKUP('Customer Info'!A2464,'Customer Info'!A2464:I2964,3,FALSE)</f>
        <v>#N/A</v>
      </c>
      <c r="I2472" s="6" t="e">
        <f>VLOOKUP('Customer Info'!A2464,'Customer Info'!A2464:I2963,5,FALSE)</f>
        <v>#N/A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116</v>
      </c>
      <c r="R2472" s="2" t="s">
        <v>50</v>
      </c>
      <c r="S2472" s="9">
        <f t="shared" si="194"/>
        <v>0.02</v>
      </c>
    </row>
    <row r="2473" spans="1:19" x14ac:dyDescent="0.25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e">
        <f>VLOOKUP('Customer Info'!A2465,'Customer Info'!A2465:I2964,2,FALSE)</f>
        <v>#N/A</v>
      </c>
      <c r="H2473" s="6" t="e">
        <f>VLOOKUP('Customer Info'!A2465,'Customer Info'!A2465:I2965,3,FALSE)</f>
        <v>#N/A</v>
      </c>
      <c r="I2473" s="6" t="e">
        <f>VLOOKUP('Customer Info'!A2465,'Customer Info'!A2465:I2964,5,FALSE)</f>
        <v>#N/A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388</v>
      </c>
      <c r="R2473" s="2" t="s">
        <v>28</v>
      </c>
      <c r="S2473" s="9">
        <f t="shared" si="194"/>
        <v>0.02</v>
      </c>
    </row>
    <row r="2474" spans="1:19" x14ac:dyDescent="0.25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e">
        <f>VLOOKUP('Customer Info'!A2466,'Customer Info'!A2466:I2965,2,FALSE)</f>
        <v>#N/A</v>
      </c>
      <c r="H2474" s="6" t="e">
        <f>VLOOKUP('Customer Info'!A2466,'Customer Info'!A2466:I2966,3,FALSE)</f>
        <v>#N/A</v>
      </c>
      <c r="I2474" s="6" t="e">
        <f>VLOOKUP('Customer Info'!A2466,'Customer Info'!A2466:I2965,5,FALSE)</f>
        <v>#N/A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357</v>
      </c>
      <c r="R2474" s="2" t="s">
        <v>28</v>
      </c>
      <c r="S2474" s="9">
        <f t="shared" si="194"/>
        <v>0.05</v>
      </c>
    </row>
    <row r="2475" spans="1:19" x14ac:dyDescent="0.25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e">
        <f>VLOOKUP('Customer Info'!A2467,'Customer Info'!A2467:I2966,2,FALSE)</f>
        <v>#N/A</v>
      </c>
      <c r="H2475" s="6" t="e">
        <f>VLOOKUP('Customer Info'!A2467,'Customer Info'!A2467:I2967,3,FALSE)</f>
        <v>#N/A</v>
      </c>
      <c r="I2475" s="6" t="e">
        <f>VLOOKUP('Customer Info'!A2467,'Customer Info'!A2467:I2966,5,FALSE)</f>
        <v>#N/A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483</v>
      </c>
      <c r="R2475" s="2" t="s">
        <v>28</v>
      </c>
      <c r="S2475" s="9">
        <f t="shared" si="194"/>
        <v>0.05</v>
      </c>
    </row>
    <row r="2476" spans="1:19" x14ac:dyDescent="0.25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e">
        <f>VLOOKUP('Customer Info'!A2468,'Customer Info'!A2468:I2967,2,FALSE)</f>
        <v>#N/A</v>
      </c>
      <c r="H2476" s="6" t="e">
        <f>VLOOKUP('Customer Info'!A2468,'Customer Info'!A2468:I2968,3,FALSE)</f>
        <v>#N/A</v>
      </c>
      <c r="I2476" s="6" t="e">
        <f>VLOOKUP('Customer Info'!A2468,'Customer Info'!A2468:I2967,5,FALSE)</f>
        <v>#N/A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120</v>
      </c>
      <c r="R2476" s="2" t="s">
        <v>28</v>
      </c>
      <c r="S2476" s="9">
        <f t="shared" si="194"/>
        <v>0.02</v>
      </c>
    </row>
    <row r="2477" spans="1:19" x14ac:dyDescent="0.25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e">
        <f>VLOOKUP('Customer Info'!A2469,'Customer Info'!A2469:I2968,2,FALSE)</f>
        <v>#N/A</v>
      </c>
      <c r="H2477" s="6" t="e">
        <f>VLOOKUP('Customer Info'!A2469,'Customer Info'!A2469:I2969,3,FALSE)</f>
        <v>#N/A</v>
      </c>
      <c r="I2477" s="6" t="e">
        <f>VLOOKUP('Customer Info'!A2469,'Customer Info'!A2469:I2968,5,FALSE)</f>
        <v>#N/A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408</v>
      </c>
      <c r="R2477" s="2" t="s">
        <v>26</v>
      </c>
      <c r="S2477" s="9">
        <f t="shared" si="194"/>
        <v>0.02</v>
      </c>
    </row>
    <row r="2478" spans="1:19" x14ac:dyDescent="0.25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e">
        <f>VLOOKUP('Customer Info'!A2470,'Customer Info'!A2470:I2969,2,FALSE)</f>
        <v>#N/A</v>
      </c>
      <c r="H2478" s="6" t="e">
        <f>VLOOKUP('Customer Info'!A2470,'Customer Info'!A2470:I2970,3,FALSE)</f>
        <v>#N/A</v>
      </c>
      <c r="I2478" s="6" t="e">
        <f>VLOOKUP('Customer Info'!A2470,'Customer Info'!A2470:I2969,5,FALSE)</f>
        <v>#N/A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407</v>
      </c>
      <c r="R2478" s="2" t="s">
        <v>50</v>
      </c>
      <c r="S2478" s="9">
        <f t="shared" si="194"/>
        <v>0.02</v>
      </c>
    </row>
    <row r="2479" spans="1:19" x14ac:dyDescent="0.25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e">
        <f>VLOOKUP('Customer Info'!A2471,'Customer Info'!A2471:I2970,2,FALSE)</f>
        <v>#N/A</v>
      </c>
      <c r="H2479" s="6" t="e">
        <f>VLOOKUP('Customer Info'!A2471,'Customer Info'!A2471:I2971,3,FALSE)</f>
        <v>#N/A</v>
      </c>
      <c r="I2479" s="6" t="e">
        <f>VLOOKUP('Customer Info'!A2471,'Customer Info'!A2471:I2970,5,FALSE)</f>
        <v>#N/A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382</v>
      </c>
      <c r="R2479" s="2" t="s">
        <v>28</v>
      </c>
      <c r="S2479" s="9">
        <f t="shared" si="194"/>
        <v>0.05</v>
      </c>
    </row>
    <row r="2480" spans="1:19" x14ac:dyDescent="0.25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e">
        <f>VLOOKUP('Customer Info'!A2472,'Customer Info'!A2472:I2971,2,FALSE)</f>
        <v>#N/A</v>
      </c>
      <c r="H2480" s="6" t="e">
        <f>VLOOKUP('Customer Info'!A2472,'Customer Info'!A2472:I2972,3,FALSE)</f>
        <v>#N/A</v>
      </c>
      <c r="I2480" s="6" t="e">
        <f>VLOOKUP('Customer Info'!A2472,'Customer Info'!A2472:I2971,5,FALSE)</f>
        <v>#N/A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728</v>
      </c>
      <c r="R2480" s="2" t="s">
        <v>28</v>
      </c>
      <c r="S2480" s="9">
        <f t="shared" si="194"/>
        <v>0.05</v>
      </c>
    </row>
    <row r="2481" spans="1:19" x14ac:dyDescent="0.25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e">
        <f>VLOOKUP('Customer Info'!A2473,'Customer Info'!A2473:I2972,2,FALSE)</f>
        <v>#N/A</v>
      </c>
      <c r="H2481" s="6" t="e">
        <f>VLOOKUP('Customer Info'!A2473,'Customer Info'!A2473:I2973,3,FALSE)</f>
        <v>#N/A</v>
      </c>
      <c r="I2481" s="6" t="e">
        <f>VLOOKUP('Customer Info'!A2473,'Customer Info'!A2473:I2972,5,FALSE)</f>
        <v>#N/A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18</v>
      </c>
      <c r="R2481" s="2" t="s">
        <v>50</v>
      </c>
      <c r="S2481" s="9">
        <f t="shared" si="194"/>
        <v>0.02</v>
      </c>
    </row>
    <row r="2482" spans="1:19" x14ac:dyDescent="0.25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e">
        <f>VLOOKUP('Customer Info'!A2474,'Customer Info'!A2474:I2973,2,FALSE)</f>
        <v>#N/A</v>
      </c>
      <c r="H2482" s="6" t="e">
        <f>VLOOKUP('Customer Info'!A2474,'Customer Info'!A2474:I2974,3,FALSE)</f>
        <v>#N/A</v>
      </c>
      <c r="I2482" s="6" t="e">
        <f>VLOOKUP('Customer Info'!A2474,'Customer Info'!A2474:I2973,5,FALSE)</f>
        <v>#N/A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138</v>
      </c>
      <c r="R2482" s="2" t="s">
        <v>28</v>
      </c>
      <c r="S2482" s="9">
        <f t="shared" si="194"/>
        <v>0.02</v>
      </c>
    </row>
    <row r="2483" spans="1:19" x14ac:dyDescent="0.25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e">
        <f>VLOOKUP('Customer Info'!A2475,'Customer Info'!A2475:I2974,2,FALSE)</f>
        <v>#N/A</v>
      </c>
      <c r="H2483" s="6" t="e">
        <f>VLOOKUP('Customer Info'!A2475,'Customer Info'!A2475:I2975,3,FALSE)</f>
        <v>#N/A</v>
      </c>
      <c r="I2483" s="6" t="e">
        <f>VLOOKUP('Customer Info'!A2475,'Customer Info'!A2475:I2974,5,FALSE)</f>
        <v>#N/A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45</v>
      </c>
      <c r="R2483" s="2" t="s">
        <v>28</v>
      </c>
      <c r="S2483" s="9">
        <f t="shared" si="194"/>
        <v>0.02</v>
      </c>
    </row>
    <row r="2484" spans="1:19" x14ac:dyDescent="0.25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e">
        <f>VLOOKUP('Customer Info'!A2476,'Customer Info'!A2476:I2975,2,FALSE)</f>
        <v>#N/A</v>
      </c>
      <c r="H2484" s="6" t="e">
        <f>VLOOKUP('Customer Info'!A2476,'Customer Info'!A2476:I2976,3,FALSE)</f>
        <v>#N/A</v>
      </c>
      <c r="I2484" s="6" t="e">
        <f>VLOOKUP('Customer Info'!A2476,'Customer Info'!A2476:I2975,5,FALSE)</f>
        <v>#N/A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856</v>
      </c>
      <c r="R2484" s="2" t="s">
        <v>28</v>
      </c>
      <c r="S2484" s="9">
        <f t="shared" si="194"/>
        <v>0.05</v>
      </c>
    </row>
    <row r="2485" spans="1:19" x14ac:dyDescent="0.25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e">
        <f>VLOOKUP('Customer Info'!A2477,'Customer Info'!A2477:I2976,2,FALSE)</f>
        <v>#N/A</v>
      </c>
      <c r="H2485" s="6" t="e">
        <f>VLOOKUP('Customer Info'!A2477,'Customer Info'!A2477:I2977,3,FALSE)</f>
        <v>#N/A</v>
      </c>
      <c r="I2485" s="6" t="e">
        <f>VLOOKUP('Customer Info'!A2477,'Customer Info'!A2477:I2976,5,FALSE)</f>
        <v>#N/A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1337</v>
      </c>
      <c r="R2485" s="2" t="s">
        <v>50</v>
      </c>
      <c r="S2485" s="9">
        <f t="shared" si="194"/>
        <v>0.05</v>
      </c>
    </row>
    <row r="2486" spans="1:19" x14ac:dyDescent="0.25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e">
        <f>VLOOKUP('Customer Info'!A2478,'Customer Info'!A2478:I2977,2,FALSE)</f>
        <v>#N/A</v>
      </c>
      <c r="H2486" s="6" t="e">
        <f>VLOOKUP('Customer Info'!A2478,'Customer Info'!A2478:I2978,3,FALSE)</f>
        <v>#N/A</v>
      </c>
      <c r="I2486" s="6" t="e">
        <f>VLOOKUP('Customer Info'!A2478,'Customer Info'!A2478:I2977,5,FALSE)</f>
        <v>#N/A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495</v>
      </c>
      <c r="R2486" s="2" t="s">
        <v>28</v>
      </c>
      <c r="S2486" s="9">
        <f t="shared" si="194"/>
        <v>0.05</v>
      </c>
    </row>
    <row r="2487" spans="1:19" x14ac:dyDescent="0.25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e">
        <f>VLOOKUP('Customer Info'!A2479,'Customer Info'!A2479:I2978,2,FALSE)</f>
        <v>#N/A</v>
      </c>
      <c r="H2487" s="6" t="e">
        <f>VLOOKUP('Customer Info'!A2479,'Customer Info'!A2479:I2979,3,FALSE)</f>
        <v>#N/A</v>
      </c>
      <c r="I2487" s="6" t="e">
        <f>VLOOKUP('Customer Info'!A2479,'Customer Info'!A2479:I2978,5,FALSE)</f>
        <v>#N/A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151</v>
      </c>
      <c r="R2487" s="2" t="s">
        <v>28</v>
      </c>
      <c r="S2487" s="9">
        <f t="shared" si="194"/>
        <v>0.02</v>
      </c>
    </row>
    <row r="2488" spans="1:19" x14ac:dyDescent="0.25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e">
        <f>VLOOKUP('Customer Info'!A2480,'Customer Info'!A2480:I2979,2,FALSE)</f>
        <v>#N/A</v>
      </c>
      <c r="H2488" s="6" t="e">
        <f>VLOOKUP('Customer Info'!A2480,'Customer Info'!A2480:I2980,3,FALSE)</f>
        <v>#N/A</v>
      </c>
      <c r="I2488" s="6" t="e">
        <f>VLOOKUP('Customer Info'!A2480,'Customer Info'!A2480:I2979,5,FALSE)</f>
        <v>#N/A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695</v>
      </c>
      <c r="R2488" s="2" t="s">
        <v>56</v>
      </c>
      <c r="S2488" s="9">
        <f t="shared" si="194"/>
        <v>0.05</v>
      </c>
    </row>
    <row r="2489" spans="1:19" x14ac:dyDescent="0.25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e">
        <f>VLOOKUP('Customer Info'!A2481,'Customer Info'!A2481:I2980,2,FALSE)</f>
        <v>#N/A</v>
      </c>
      <c r="H2489" s="6" t="e">
        <f>VLOOKUP('Customer Info'!A2481,'Customer Info'!A2481:I2981,3,FALSE)</f>
        <v>#N/A</v>
      </c>
      <c r="I2489" s="6" t="e">
        <f>VLOOKUP('Customer Info'!A2481,'Customer Info'!A2481:I2980,5,FALSE)</f>
        <v>#N/A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3894</v>
      </c>
      <c r="R2489" s="2" t="s">
        <v>28</v>
      </c>
      <c r="S2489" s="9">
        <f t="shared" si="194"/>
        <v>7.0000000000000007E-2</v>
      </c>
    </row>
    <row r="2490" spans="1:19" x14ac:dyDescent="0.25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e">
        <f>VLOOKUP('Customer Info'!A2482,'Customer Info'!A2482:I2981,2,FALSE)</f>
        <v>#N/A</v>
      </c>
      <c r="H2490" s="6" t="e">
        <f>VLOOKUP('Customer Info'!A2482,'Customer Info'!A2482:I2982,3,FALSE)</f>
        <v>#N/A</v>
      </c>
      <c r="I2490" s="6" t="e">
        <f>VLOOKUP('Customer Info'!A2482,'Customer Info'!A2482:I2981,5,FALSE)</f>
        <v>#N/A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536</v>
      </c>
      <c r="R2490" s="2" t="s">
        <v>28</v>
      </c>
      <c r="S2490" s="9">
        <f t="shared" si="194"/>
        <v>0.05</v>
      </c>
    </row>
    <row r="2491" spans="1:19" x14ac:dyDescent="0.25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e">
        <f>VLOOKUP('Customer Info'!A2483,'Customer Info'!A2483:I2982,2,FALSE)</f>
        <v>#N/A</v>
      </c>
      <c r="H2491" s="6" t="e">
        <f>VLOOKUP('Customer Info'!A2483,'Customer Info'!A2483:I2983,3,FALSE)</f>
        <v>#N/A</v>
      </c>
      <c r="I2491" s="6" t="e">
        <f>VLOOKUP('Customer Info'!A2483,'Customer Info'!A2483:I2982,5,FALSE)</f>
        <v>#N/A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50</v>
      </c>
      <c r="R2491" s="2" t="s">
        <v>28</v>
      </c>
      <c r="S2491" s="9">
        <f t="shared" si="194"/>
        <v>0.02</v>
      </c>
    </row>
    <row r="2492" spans="1:19" x14ac:dyDescent="0.25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e">
        <f>VLOOKUP('Customer Info'!A2484,'Customer Info'!A2484:I2983,2,FALSE)</f>
        <v>#N/A</v>
      </c>
      <c r="H2492" s="6" t="e">
        <f>VLOOKUP('Customer Info'!A2484,'Customer Info'!A2484:I2984,3,FALSE)</f>
        <v>#N/A</v>
      </c>
      <c r="I2492" s="6" t="e">
        <f>VLOOKUP('Customer Info'!A2484,'Customer Info'!A2484:I2983,5,FALSE)</f>
        <v>#N/A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1065</v>
      </c>
      <c r="R2492" s="2" t="s">
        <v>50</v>
      </c>
      <c r="S2492" s="9">
        <f t="shared" si="194"/>
        <v>0.05</v>
      </c>
    </row>
    <row r="2493" spans="1:19" x14ac:dyDescent="0.25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e">
        <f>VLOOKUP('Customer Info'!A2485,'Customer Info'!A2485:I2984,2,FALSE)</f>
        <v>#N/A</v>
      </c>
      <c r="H2493" s="6" t="e">
        <f>VLOOKUP('Customer Info'!A2485,'Customer Info'!A2485:I2985,3,FALSE)</f>
        <v>#N/A</v>
      </c>
      <c r="I2493" s="6" t="e">
        <f>VLOOKUP('Customer Info'!A2485,'Customer Info'!A2485:I2984,5,FALSE)</f>
        <v>#N/A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395</v>
      </c>
      <c r="R2493" s="2" t="s">
        <v>50</v>
      </c>
      <c r="S2493" s="9">
        <f t="shared" si="194"/>
        <v>0.02</v>
      </c>
    </row>
    <row r="2494" spans="1:19" x14ac:dyDescent="0.25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e">
        <f>VLOOKUP('Customer Info'!A2486,'Customer Info'!A2486:I2985,2,FALSE)</f>
        <v>#N/A</v>
      </c>
      <c r="H2494" s="6" t="e">
        <f>VLOOKUP('Customer Info'!A2486,'Customer Info'!A2486:I2986,3,FALSE)</f>
        <v>#N/A</v>
      </c>
      <c r="I2494" s="6" t="e">
        <f>VLOOKUP('Customer Info'!A2486,'Customer Info'!A2486:I2985,5,FALSE)</f>
        <v>#N/A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264</v>
      </c>
      <c r="R2494" s="2" t="s">
        <v>50</v>
      </c>
      <c r="S2494" s="9">
        <f t="shared" si="194"/>
        <v>0.02</v>
      </c>
    </row>
    <row r="2495" spans="1:19" x14ac:dyDescent="0.25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e">
        <f>VLOOKUP('Customer Info'!A2487,'Customer Info'!A2487:I2986,2,FALSE)</f>
        <v>#N/A</v>
      </c>
      <c r="H2495" s="6" t="e">
        <f>VLOOKUP('Customer Info'!A2487,'Customer Info'!A2487:I2987,3,FALSE)</f>
        <v>#N/A</v>
      </c>
      <c r="I2495" s="6" t="e">
        <f>VLOOKUP('Customer Info'!A2487,'Customer Info'!A2487:I2986,5,FALSE)</f>
        <v>#N/A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15</v>
      </c>
      <c r="R2495" s="2" t="s">
        <v>28</v>
      </c>
      <c r="S2495" s="9">
        <f t="shared" si="194"/>
        <v>0.02</v>
      </c>
    </row>
    <row r="2496" spans="1:19" x14ac:dyDescent="0.25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e">
        <f>VLOOKUP('Customer Info'!A2488,'Customer Info'!A2488:I2987,2,FALSE)</f>
        <v>#N/A</v>
      </c>
      <c r="H2496" s="6" t="e">
        <f>VLOOKUP('Customer Info'!A2488,'Customer Info'!A2488:I2988,3,FALSE)</f>
        <v>#N/A</v>
      </c>
      <c r="I2496" s="6" t="e">
        <f>VLOOKUP('Customer Info'!A2488,'Customer Info'!A2488:I2987,5,FALSE)</f>
        <v>#N/A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217</v>
      </c>
      <c r="R2496" s="2" t="s">
        <v>28</v>
      </c>
      <c r="S2496" s="9">
        <f t="shared" si="194"/>
        <v>0.02</v>
      </c>
    </row>
    <row r="2497" spans="1:19" x14ac:dyDescent="0.25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e">
        <f>VLOOKUP('Customer Info'!A2489,'Customer Info'!A2489:I2988,2,FALSE)</f>
        <v>#N/A</v>
      </c>
      <c r="H2497" s="6" t="e">
        <f>VLOOKUP('Customer Info'!A2489,'Customer Info'!A2489:I2989,3,FALSE)</f>
        <v>#N/A</v>
      </c>
      <c r="I2497" s="6" t="e">
        <f>VLOOKUP('Customer Info'!A2489,'Customer Info'!A2489:I2988,5,FALSE)</f>
        <v>#N/A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626</v>
      </c>
      <c r="R2497" s="2" t="s">
        <v>28</v>
      </c>
      <c r="S2497" s="9">
        <f t="shared" si="194"/>
        <v>0.05</v>
      </c>
    </row>
    <row r="2498" spans="1:19" x14ac:dyDescent="0.25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e">
        <f>VLOOKUP('Customer Info'!A2490,'Customer Info'!A2490:I2989,2,FALSE)</f>
        <v>#N/A</v>
      </c>
      <c r="H2498" s="6" t="e">
        <f>VLOOKUP('Customer Info'!A2490,'Customer Info'!A2490:I2990,3,FALSE)</f>
        <v>#N/A</v>
      </c>
      <c r="I2498" s="6" t="e">
        <f>VLOOKUP('Customer Info'!A2490,'Customer Info'!A2490:I2989,5,FALSE)</f>
        <v>#N/A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480</v>
      </c>
      <c r="R2498" s="2" t="s">
        <v>28</v>
      </c>
      <c r="S2498" s="9">
        <f t="shared" si="194"/>
        <v>0.05</v>
      </c>
    </row>
    <row r="2499" spans="1:19" x14ac:dyDescent="0.25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e">
        <f>VLOOKUP('Customer Info'!A2491,'Customer Info'!A2491:I2990,2,FALSE)</f>
        <v>#N/A</v>
      </c>
      <c r="H2499" s="6" t="e">
        <f>VLOOKUP('Customer Info'!A2491,'Customer Info'!A2491:I2991,3,FALSE)</f>
        <v>#N/A</v>
      </c>
      <c r="I2499" s="6" t="e">
        <f>VLOOKUP('Customer Info'!A2491,'Customer Info'!A2491:I2990,5,FALSE)</f>
        <v>#N/A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600</v>
      </c>
      <c r="R2499" s="2" t="s">
        <v>28</v>
      </c>
      <c r="S2499" s="9">
        <f t="shared" si="194"/>
        <v>0.05</v>
      </c>
    </row>
    <row r="2500" spans="1:19" x14ac:dyDescent="0.25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e">
        <f>VLOOKUP('Customer Info'!A2492,'Customer Info'!A2492:I2991,2,FALSE)</f>
        <v>#N/A</v>
      </c>
      <c r="H2500" s="6" t="e">
        <f>VLOOKUP('Customer Info'!A2492,'Customer Info'!A2492:I2992,3,FALSE)</f>
        <v>#N/A</v>
      </c>
      <c r="I2500" s="6" t="e">
        <f>VLOOKUP('Customer Info'!A2492,'Customer Info'!A2492:I2991,5,FALSE)</f>
        <v>#N/A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327</v>
      </c>
      <c r="R2500" s="2" t="s">
        <v>50</v>
      </c>
      <c r="S2500" s="9">
        <f t="shared" si="194"/>
        <v>0.02</v>
      </c>
    </row>
    <row r="2501" spans="1:19" x14ac:dyDescent="0.25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e">
        <f>VLOOKUP('Customer Info'!A2493,'Customer Info'!A2493:I2992,2,FALSE)</f>
        <v>#N/A</v>
      </c>
      <c r="H2501" s="6" t="e">
        <f>VLOOKUP('Customer Info'!A2493,'Customer Info'!A2493:I2993,3,FALSE)</f>
        <v>#N/A</v>
      </c>
      <c r="I2501" s="6" t="e">
        <f>VLOOKUP('Customer Info'!A2493,'Customer Info'!A2493:I2992,5,FALSE)</f>
        <v>#N/A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272</v>
      </c>
      <c r="R2501" s="2" t="s">
        <v>50</v>
      </c>
      <c r="S2501" s="9">
        <f t="shared" si="194"/>
        <v>0.02</v>
      </c>
    </row>
    <row r="2502" spans="1:19" x14ac:dyDescent="0.25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e">
        <f>VLOOKUP('Customer Info'!A2494,'Customer Info'!A2494:I2993,2,FALSE)</f>
        <v>#N/A</v>
      </c>
      <c r="H2502" s="6" t="e">
        <f>VLOOKUP('Customer Info'!A2494,'Customer Info'!A2494:I2994,3,FALSE)</f>
        <v>#N/A</v>
      </c>
      <c r="I2502" s="6" t="e">
        <f>VLOOKUP('Customer Info'!A2494,'Customer Info'!A2494:I2993,5,FALSE)</f>
        <v>#N/A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145</v>
      </c>
      <c r="R2502" s="2" t="s">
        <v>50</v>
      </c>
      <c r="S2502" s="9">
        <f t="shared" si="194"/>
        <v>0.02</v>
      </c>
    </row>
    <row r="2503" spans="1:19" x14ac:dyDescent="0.25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e">
        <f>VLOOKUP('Customer Info'!A2495,'Customer Info'!A2495:I2994,2,FALSE)</f>
        <v>#N/A</v>
      </c>
      <c r="H2503" s="6" t="e">
        <f>VLOOKUP('Customer Info'!A2495,'Customer Info'!A2495:I2995,3,FALSE)</f>
        <v>#N/A</v>
      </c>
      <c r="I2503" s="6" t="e">
        <f>VLOOKUP('Customer Info'!A2495,'Customer Info'!A2495:I2994,5,FALSE)</f>
        <v>#N/A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48</v>
      </c>
      <c r="R2503" s="2" t="s">
        <v>28</v>
      </c>
      <c r="S2503" s="9">
        <f t="shared" si="194"/>
        <v>0.02</v>
      </c>
    </row>
    <row r="2504" spans="1:19" x14ac:dyDescent="0.25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e">
        <f>VLOOKUP('Customer Info'!A2496,'Customer Info'!A2496:I2995,2,FALSE)</f>
        <v>#N/A</v>
      </c>
      <c r="H2504" s="6" t="e">
        <f>VLOOKUP('Customer Info'!A2496,'Customer Info'!A2496:I2996,3,FALSE)</f>
        <v>#N/A</v>
      </c>
      <c r="I2504" s="6" t="e">
        <f>VLOOKUP('Customer Info'!A2496,'Customer Info'!A2496:I2995,5,FALSE)</f>
        <v>#N/A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357</v>
      </c>
      <c r="R2504" s="2" t="s">
        <v>50</v>
      </c>
      <c r="S2504" s="9">
        <f t="shared" si="194"/>
        <v>0.02</v>
      </c>
    </row>
    <row r="2505" spans="1:19" x14ac:dyDescent="0.25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e">
        <f>VLOOKUP('Customer Info'!A2497,'Customer Info'!A2497:I2996,2,FALSE)</f>
        <v>#N/A</v>
      </c>
      <c r="H2505" s="6" t="e">
        <f>VLOOKUP('Customer Info'!A2497,'Customer Info'!A2497:I2997,3,FALSE)</f>
        <v>#N/A</v>
      </c>
      <c r="I2505" s="6" t="e">
        <f>VLOOKUP('Customer Info'!A2497,'Customer Info'!A2497:I2996,5,FALSE)</f>
        <v>#N/A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1077</v>
      </c>
      <c r="R2505" s="2" t="s">
        <v>28</v>
      </c>
      <c r="S2505" s="9">
        <f t="shared" si="194"/>
        <v>0.05</v>
      </c>
    </row>
    <row r="2506" spans="1:19" x14ac:dyDescent="0.25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e">
        <f>VLOOKUP('Customer Info'!A2498,'Customer Info'!A2498:I2997,2,FALSE)</f>
        <v>#N/A</v>
      </c>
      <c r="H2506" s="6" t="e">
        <f>VLOOKUP('Customer Info'!A2498,'Customer Info'!A2498:I2998,3,FALSE)</f>
        <v>#N/A</v>
      </c>
      <c r="I2506" s="6" t="e">
        <f>VLOOKUP('Customer Info'!A2498,'Customer Info'!A2498:I2997,5,FALSE)</f>
        <v>#N/A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223</v>
      </c>
      <c r="R2506" s="2" t="s">
        <v>28</v>
      </c>
      <c r="S2506" s="9">
        <f t="shared" si="194"/>
        <v>0.02</v>
      </c>
    </row>
    <row r="2507" spans="1:19" x14ac:dyDescent="0.25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e">
        <f>VLOOKUP('Customer Info'!A2499,'Customer Info'!A2499:I2998,2,FALSE)</f>
        <v>#N/A</v>
      </c>
      <c r="H2507" s="6" t="e">
        <f>VLOOKUP('Customer Info'!A2499,'Customer Info'!A2499:I2999,3,FALSE)</f>
        <v>#N/A</v>
      </c>
      <c r="I2507" s="6" t="e">
        <f>VLOOKUP('Customer Info'!A2499,'Customer Info'!A2499:I2998,5,FALSE)</f>
        <v>#N/A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8">
        <f t="shared" ref="P2507:P2570" si="197">N2507+O2507</f>
        <v>4618</v>
      </c>
      <c r="Q2507" s="8">
        <f t="shared" ref="Q2507:Q2570" si="198">P2507-M2507</f>
        <v>127</v>
      </c>
      <c r="R2507" s="2" t="s">
        <v>28</v>
      </c>
      <c r="S2507" s="9">
        <f t="shared" ref="S2507:S2570" si="199">VLOOKUP(P2507,$T$2:$U$7,2,TRUE)</f>
        <v>0.02</v>
      </c>
    </row>
    <row r="2508" spans="1:19" x14ac:dyDescent="0.25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e">
        <f>VLOOKUP('Customer Info'!A2500,'Customer Info'!A2500:I2999,2,FALSE)</f>
        <v>#N/A</v>
      </c>
      <c r="H2508" s="6" t="e">
        <f>VLOOKUP('Customer Info'!A2500,'Customer Info'!A2500:I3000,3,FALSE)</f>
        <v>#N/A</v>
      </c>
      <c r="I2508" s="6" t="e">
        <f>VLOOKUP('Customer Info'!A2500,'Customer Info'!A2500:I2999,5,FALSE)</f>
        <v>#N/A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2850</v>
      </c>
      <c r="R2508" s="2" t="s">
        <v>28</v>
      </c>
      <c r="S2508" s="9">
        <f t="shared" si="199"/>
        <v>7.0000000000000007E-2</v>
      </c>
    </row>
    <row r="2509" spans="1:19" x14ac:dyDescent="0.25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e">
        <f>VLOOKUP('Customer Info'!A2501,'Customer Info'!A2501:I3000,2,FALSE)</f>
        <v>#N/A</v>
      </c>
      <c r="H2509" s="6" t="e">
        <f>VLOOKUP('Customer Info'!A2501,'Customer Info'!A2501:I3001,3,FALSE)</f>
        <v>#N/A</v>
      </c>
      <c r="I2509" s="6" t="e">
        <f>VLOOKUP('Customer Info'!A2501,'Customer Info'!A2501:I3000,5,FALSE)</f>
        <v>#N/A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903</v>
      </c>
      <c r="R2509" s="2" t="s">
        <v>28</v>
      </c>
      <c r="S2509" s="9">
        <f t="shared" si="199"/>
        <v>0.05</v>
      </c>
    </row>
    <row r="2510" spans="1:19" x14ac:dyDescent="0.25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e">
        <f>VLOOKUP('Customer Info'!A2502,'Customer Info'!A2502:I3001,2,FALSE)</f>
        <v>#N/A</v>
      </c>
      <c r="H2510" s="6" t="e">
        <f>VLOOKUP('Customer Info'!A2502,'Customer Info'!A2502:I3002,3,FALSE)</f>
        <v>#N/A</v>
      </c>
      <c r="I2510" s="6" t="e">
        <f>VLOOKUP('Customer Info'!A2502,'Customer Info'!A2502:I3001,5,FALSE)</f>
        <v>#N/A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439</v>
      </c>
      <c r="R2510" s="2" t="s">
        <v>26</v>
      </c>
      <c r="S2510" s="9">
        <f t="shared" si="199"/>
        <v>0.05</v>
      </c>
    </row>
    <row r="2511" spans="1:19" x14ac:dyDescent="0.25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e">
        <f>VLOOKUP('Customer Info'!A2503,'Customer Info'!A2503:I3002,2,FALSE)</f>
        <v>#N/A</v>
      </c>
      <c r="H2511" s="6" t="e">
        <f>VLOOKUP('Customer Info'!A2503,'Customer Info'!A2503:I3003,3,FALSE)</f>
        <v>#N/A</v>
      </c>
      <c r="I2511" s="6" t="e">
        <f>VLOOKUP('Customer Info'!A2503,'Customer Info'!A2503:I3002,5,FALSE)</f>
        <v>#N/A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255</v>
      </c>
      <c r="R2511" s="2" t="s">
        <v>50</v>
      </c>
      <c r="S2511" s="9">
        <f t="shared" si="199"/>
        <v>0.02</v>
      </c>
    </row>
    <row r="2512" spans="1:19" x14ac:dyDescent="0.25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e">
        <f>VLOOKUP('Customer Info'!A2504,'Customer Info'!A2504:I3003,2,FALSE)</f>
        <v>#N/A</v>
      </c>
      <c r="H2512" s="6" t="e">
        <f>VLOOKUP('Customer Info'!A2504,'Customer Info'!A2504:I3004,3,FALSE)</f>
        <v>#N/A</v>
      </c>
      <c r="I2512" s="6" t="e">
        <f>VLOOKUP('Customer Info'!A2504,'Customer Info'!A2504:I3003,5,FALSE)</f>
        <v>#N/A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1895</v>
      </c>
      <c r="R2512" s="2" t="s">
        <v>28</v>
      </c>
      <c r="S2512" s="9">
        <f t="shared" si="199"/>
        <v>0.05</v>
      </c>
    </row>
    <row r="2513" spans="1:19" x14ac:dyDescent="0.25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e">
        <f>VLOOKUP('Customer Info'!A2505,'Customer Info'!A2505:I3004,2,FALSE)</f>
        <v>#N/A</v>
      </c>
      <c r="H2513" s="6" t="e">
        <f>VLOOKUP('Customer Info'!A2505,'Customer Info'!A2505:I3005,3,FALSE)</f>
        <v>#N/A</v>
      </c>
      <c r="I2513" s="6" t="e">
        <f>VLOOKUP('Customer Info'!A2505,'Customer Info'!A2505:I3004,5,FALSE)</f>
        <v>#N/A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252</v>
      </c>
      <c r="R2513" s="2" t="s">
        <v>28</v>
      </c>
      <c r="S2513" s="9">
        <f t="shared" si="199"/>
        <v>0.02</v>
      </c>
    </row>
    <row r="2514" spans="1:19" x14ac:dyDescent="0.25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e">
        <f>VLOOKUP('Customer Info'!A2506,'Customer Info'!A2506:I3005,2,FALSE)</f>
        <v>#N/A</v>
      </c>
      <c r="H2514" s="6" t="e">
        <f>VLOOKUP('Customer Info'!A2506,'Customer Info'!A2506:I3006,3,FALSE)</f>
        <v>#N/A</v>
      </c>
      <c r="I2514" s="6" t="e">
        <f>VLOOKUP('Customer Info'!A2506,'Customer Info'!A2506:I3005,5,FALSE)</f>
        <v>#N/A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752</v>
      </c>
      <c r="R2514" s="2" t="s">
        <v>28</v>
      </c>
      <c r="S2514" s="9">
        <f t="shared" si="199"/>
        <v>0.05</v>
      </c>
    </row>
    <row r="2515" spans="1:19" x14ac:dyDescent="0.25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e">
        <f>VLOOKUP('Customer Info'!A2507,'Customer Info'!A2507:I3006,2,FALSE)</f>
        <v>#N/A</v>
      </c>
      <c r="H2515" s="6" t="e">
        <f>VLOOKUP('Customer Info'!A2507,'Customer Info'!A2507:I3007,3,FALSE)</f>
        <v>#N/A</v>
      </c>
      <c r="I2515" s="6" t="e">
        <f>VLOOKUP('Customer Info'!A2507,'Customer Info'!A2507:I3006,5,FALSE)</f>
        <v>#N/A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1701</v>
      </c>
      <c r="R2515" s="2" t="s">
        <v>28</v>
      </c>
      <c r="S2515" s="9">
        <f t="shared" si="199"/>
        <v>7.0000000000000007E-2</v>
      </c>
    </row>
    <row r="2516" spans="1:19" x14ac:dyDescent="0.25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e">
        <f>VLOOKUP('Customer Info'!A2508,'Customer Info'!A2508:I3007,2,FALSE)</f>
        <v>#N/A</v>
      </c>
      <c r="H2516" s="6" t="e">
        <f>VLOOKUP('Customer Info'!A2508,'Customer Info'!A2508:I3008,3,FALSE)</f>
        <v>#N/A</v>
      </c>
      <c r="I2516" s="6" t="e">
        <f>VLOOKUP('Customer Info'!A2508,'Customer Info'!A2508:I3007,5,FALSE)</f>
        <v>#N/A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355</v>
      </c>
      <c r="R2516" s="2" t="s">
        <v>50</v>
      </c>
      <c r="S2516" s="9">
        <f t="shared" si="199"/>
        <v>0.05</v>
      </c>
    </row>
    <row r="2517" spans="1:19" x14ac:dyDescent="0.25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e">
        <f>VLOOKUP('Customer Info'!A2509,'Customer Info'!A2509:I3008,2,FALSE)</f>
        <v>#N/A</v>
      </c>
      <c r="H2517" s="6" t="e">
        <f>VLOOKUP('Customer Info'!A2509,'Customer Info'!A2509:I3009,3,FALSE)</f>
        <v>#N/A</v>
      </c>
      <c r="I2517" s="6" t="e">
        <f>VLOOKUP('Customer Info'!A2509,'Customer Info'!A2509:I3008,5,FALSE)</f>
        <v>#N/A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118</v>
      </c>
      <c r="R2517" s="2" t="s">
        <v>28</v>
      </c>
      <c r="S2517" s="9">
        <f t="shared" si="199"/>
        <v>0.02</v>
      </c>
    </row>
    <row r="2518" spans="1:19" x14ac:dyDescent="0.25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e">
        <f>VLOOKUP('Customer Info'!A2510,'Customer Info'!A2510:I3009,2,FALSE)</f>
        <v>#N/A</v>
      </c>
      <c r="H2518" s="6" t="e">
        <f>VLOOKUP('Customer Info'!A2510,'Customer Info'!A2510:I3010,3,FALSE)</f>
        <v>#N/A</v>
      </c>
      <c r="I2518" s="6" t="e">
        <f>VLOOKUP('Customer Info'!A2510,'Customer Info'!A2510:I3009,5,FALSE)</f>
        <v>#N/A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48</v>
      </c>
      <c r="R2518" s="2" t="s">
        <v>28</v>
      </c>
      <c r="S2518" s="9">
        <f t="shared" si="199"/>
        <v>0.02</v>
      </c>
    </row>
    <row r="2519" spans="1:19" x14ac:dyDescent="0.25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e">
        <f>VLOOKUP('Customer Info'!A2511,'Customer Info'!A2511:I3010,2,FALSE)</f>
        <v>#N/A</v>
      </c>
      <c r="H2519" s="6" t="e">
        <f>VLOOKUP('Customer Info'!A2511,'Customer Info'!A2511:I3011,3,FALSE)</f>
        <v>#N/A</v>
      </c>
      <c r="I2519" s="6" t="e">
        <f>VLOOKUP('Customer Info'!A2511,'Customer Info'!A2511:I3010,5,FALSE)</f>
        <v>#N/A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107</v>
      </c>
      <c r="R2519" s="2" t="s">
        <v>26</v>
      </c>
      <c r="S2519" s="9">
        <f t="shared" si="199"/>
        <v>0.02</v>
      </c>
    </row>
    <row r="2520" spans="1:19" x14ac:dyDescent="0.25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e">
        <f>VLOOKUP('Customer Info'!A2512,'Customer Info'!A2512:I3011,2,FALSE)</f>
        <v>#N/A</v>
      </c>
      <c r="H2520" s="6" t="e">
        <f>VLOOKUP('Customer Info'!A2512,'Customer Info'!A2512:I3012,3,FALSE)</f>
        <v>#N/A</v>
      </c>
      <c r="I2520" s="6" t="e">
        <f>VLOOKUP('Customer Info'!A2512,'Customer Info'!A2512:I3011,5,FALSE)</f>
        <v>#N/A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294</v>
      </c>
      <c r="R2520" s="2" t="s">
        <v>28</v>
      </c>
      <c r="S2520" s="9">
        <f t="shared" si="199"/>
        <v>0.02</v>
      </c>
    </row>
    <row r="2521" spans="1:19" x14ac:dyDescent="0.25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e">
        <f>VLOOKUP('Customer Info'!A2513,'Customer Info'!A2513:I3012,2,FALSE)</f>
        <v>#N/A</v>
      </c>
      <c r="H2521" s="6" t="e">
        <f>VLOOKUP('Customer Info'!A2513,'Customer Info'!A2513:I3013,3,FALSE)</f>
        <v>#N/A</v>
      </c>
      <c r="I2521" s="6" t="e">
        <f>VLOOKUP('Customer Info'!A2513,'Customer Info'!A2513:I3012,5,FALSE)</f>
        <v>#N/A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52</v>
      </c>
      <c r="R2521" s="2" t="s">
        <v>28</v>
      </c>
      <c r="S2521" s="9">
        <f t="shared" si="199"/>
        <v>0.02</v>
      </c>
    </row>
    <row r="2522" spans="1:19" x14ac:dyDescent="0.25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e">
        <f>VLOOKUP('Customer Info'!A2514,'Customer Info'!A2514:I3013,2,FALSE)</f>
        <v>#N/A</v>
      </c>
      <c r="H2522" s="6" t="e">
        <f>VLOOKUP('Customer Info'!A2514,'Customer Info'!A2514:I3014,3,FALSE)</f>
        <v>#N/A</v>
      </c>
      <c r="I2522" s="6" t="e">
        <f>VLOOKUP('Customer Info'!A2514,'Customer Info'!A2514:I3013,5,FALSE)</f>
        <v>#N/A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144</v>
      </c>
      <c r="R2522" s="2" t="s">
        <v>28</v>
      </c>
      <c r="S2522" s="9">
        <f t="shared" si="199"/>
        <v>0.02</v>
      </c>
    </row>
    <row r="2523" spans="1:19" x14ac:dyDescent="0.25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e">
        <f>VLOOKUP('Customer Info'!A2515,'Customer Info'!A2515:I3014,2,FALSE)</f>
        <v>#N/A</v>
      </c>
      <c r="H2523" s="6" t="e">
        <f>VLOOKUP('Customer Info'!A2515,'Customer Info'!A2515:I3015,3,FALSE)</f>
        <v>#N/A</v>
      </c>
      <c r="I2523" s="6" t="e">
        <f>VLOOKUP('Customer Info'!A2515,'Customer Info'!A2515:I3014,5,FALSE)</f>
        <v>#N/A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139</v>
      </c>
      <c r="R2523" s="2" t="s">
        <v>28</v>
      </c>
      <c r="S2523" s="9">
        <f t="shared" si="199"/>
        <v>0.02</v>
      </c>
    </row>
    <row r="2524" spans="1:19" x14ac:dyDescent="0.25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e">
        <f>VLOOKUP('Customer Info'!A2516,'Customer Info'!A2516:I3015,2,FALSE)</f>
        <v>#N/A</v>
      </c>
      <c r="H2524" s="6" t="e">
        <f>VLOOKUP('Customer Info'!A2516,'Customer Info'!A2516:I3016,3,FALSE)</f>
        <v>#N/A</v>
      </c>
      <c r="I2524" s="6" t="e">
        <f>VLOOKUP('Customer Info'!A2516,'Customer Info'!A2516:I3015,5,FALSE)</f>
        <v>#N/A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42</v>
      </c>
      <c r="R2524" s="2" t="s">
        <v>28</v>
      </c>
      <c r="S2524" s="9">
        <f t="shared" si="199"/>
        <v>0.02</v>
      </c>
    </row>
    <row r="2525" spans="1:19" x14ac:dyDescent="0.25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e">
        <f>VLOOKUP('Customer Info'!A2517,'Customer Info'!A2517:I3016,2,FALSE)</f>
        <v>#N/A</v>
      </c>
      <c r="H2525" s="6" t="e">
        <f>VLOOKUP('Customer Info'!A2517,'Customer Info'!A2517:I3017,3,FALSE)</f>
        <v>#N/A</v>
      </c>
      <c r="I2525" s="6" t="e">
        <f>VLOOKUP('Customer Info'!A2517,'Customer Info'!A2517:I3016,5,FALSE)</f>
        <v>#N/A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378</v>
      </c>
      <c r="R2525" s="2" t="s">
        <v>28</v>
      </c>
      <c r="S2525" s="9">
        <f t="shared" si="199"/>
        <v>0.05</v>
      </c>
    </row>
    <row r="2526" spans="1:19" x14ac:dyDescent="0.25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e">
        <f>VLOOKUP('Customer Info'!A2518,'Customer Info'!A2518:I3017,2,FALSE)</f>
        <v>#N/A</v>
      </c>
      <c r="H2526" s="6" t="e">
        <f>VLOOKUP('Customer Info'!A2518,'Customer Info'!A2518:I3018,3,FALSE)</f>
        <v>#N/A</v>
      </c>
      <c r="I2526" s="6" t="e">
        <f>VLOOKUP('Customer Info'!A2518,'Customer Info'!A2518:I3017,5,FALSE)</f>
        <v>#N/A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40</v>
      </c>
      <c r="R2526" s="2" t="s">
        <v>28</v>
      </c>
      <c r="S2526" s="9">
        <f t="shared" si="199"/>
        <v>0.02</v>
      </c>
    </row>
    <row r="2527" spans="1:19" x14ac:dyDescent="0.25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e">
        <f>VLOOKUP('Customer Info'!A2519,'Customer Info'!A2519:I3018,2,FALSE)</f>
        <v>#N/A</v>
      </c>
      <c r="H2527" s="6" t="e">
        <f>VLOOKUP('Customer Info'!A2519,'Customer Info'!A2519:I3019,3,FALSE)</f>
        <v>#N/A</v>
      </c>
      <c r="I2527" s="6" t="e">
        <f>VLOOKUP('Customer Info'!A2519,'Customer Info'!A2519:I3018,5,FALSE)</f>
        <v>#N/A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3665</v>
      </c>
      <c r="R2527" s="2" t="s">
        <v>28</v>
      </c>
      <c r="S2527" s="9">
        <f t="shared" si="199"/>
        <v>7.0000000000000007E-2</v>
      </c>
    </row>
    <row r="2528" spans="1:19" x14ac:dyDescent="0.25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e">
        <f>VLOOKUP('Customer Info'!A2520,'Customer Info'!A2520:I3019,2,FALSE)</f>
        <v>#N/A</v>
      </c>
      <c r="H2528" s="6" t="e">
        <f>VLOOKUP('Customer Info'!A2520,'Customer Info'!A2520:I3020,3,FALSE)</f>
        <v>#N/A</v>
      </c>
      <c r="I2528" s="6" t="e">
        <f>VLOOKUP('Customer Info'!A2520,'Customer Info'!A2520:I3019,5,FALSE)</f>
        <v>#N/A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2119</v>
      </c>
      <c r="R2528" s="2" t="s">
        <v>28</v>
      </c>
      <c r="S2528" s="9">
        <f t="shared" si="199"/>
        <v>7.0000000000000007E-2</v>
      </c>
    </row>
    <row r="2529" spans="1:19" x14ac:dyDescent="0.25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e">
        <f>VLOOKUP('Customer Info'!A2521,'Customer Info'!A2521:I3020,2,FALSE)</f>
        <v>#N/A</v>
      </c>
      <c r="H2529" s="6" t="e">
        <f>VLOOKUP('Customer Info'!A2521,'Customer Info'!A2521:I3021,3,FALSE)</f>
        <v>#N/A</v>
      </c>
      <c r="I2529" s="6" t="e">
        <f>VLOOKUP('Customer Info'!A2521,'Customer Info'!A2521:I3020,5,FALSE)</f>
        <v>#N/A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2967</v>
      </c>
      <c r="R2529" s="2" t="s">
        <v>50</v>
      </c>
      <c r="S2529" s="9">
        <f t="shared" si="199"/>
        <v>7.0000000000000007E-2</v>
      </c>
    </row>
    <row r="2530" spans="1:19" x14ac:dyDescent="0.25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e">
        <f>VLOOKUP('Customer Info'!A2522,'Customer Info'!A2522:I3021,2,FALSE)</f>
        <v>#N/A</v>
      </c>
      <c r="H2530" s="6" t="e">
        <f>VLOOKUP('Customer Info'!A2522,'Customer Info'!A2522:I3022,3,FALSE)</f>
        <v>#N/A</v>
      </c>
      <c r="I2530" s="6" t="e">
        <f>VLOOKUP('Customer Info'!A2522,'Customer Info'!A2522:I3021,5,FALSE)</f>
        <v>#N/A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25</v>
      </c>
      <c r="R2530" s="2" t="s">
        <v>28</v>
      </c>
      <c r="S2530" s="9">
        <f t="shared" si="199"/>
        <v>0.02</v>
      </c>
    </row>
    <row r="2531" spans="1:19" x14ac:dyDescent="0.25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e">
        <f>VLOOKUP('Customer Info'!A2523,'Customer Info'!A2523:I3022,2,FALSE)</f>
        <v>#N/A</v>
      </c>
      <c r="H2531" s="6" t="e">
        <f>VLOOKUP('Customer Info'!A2523,'Customer Info'!A2523:I3023,3,FALSE)</f>
        <v>#N/A</v>
      </c>
      <c r="I2531" s="6" t="e">
        <f>VLOOKUP('Customer Info'!A2523,'Customer Info'!A2523:I3022,5,FALSE)</f>
        <v>#N/A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424</v>
      </c>
      <c r="R2531" s="2" t="s">
        <v>56</v>
      </c>
      <c r="S2531" s="9">
        <f t="shared" si="199"/>
        <v>0.02</v>
      </c>
    </row>
    <row r="2532" spans="1:19" x14ac:dyDescent="0.25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e">
        <f>VLOOKUP('Customer Info'!A2524,'Customer Info'!A2524:I3023,2,FALSE)</f>
        <v>#N/A</v>
      </c>
      <c r="H2532" s="6" t="e">
        <f>VLOOKUP('Customer Info'!A2524,'Customer Info'!A2524:I3024,3,FALSE)</f>
        <v>#N/A</v>
      </c>
      <c r="I2532" s="6" t="e">
        <f>VLOOKUP('Customer Info'!A2524,'Customer Info'!A2524:I3023,5,FALSE)</f>
        <v>#N/A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3834</v>
      </c>
      <c r="R2532" s="2" t="s">
        <v>28</v>
      </c>
      <c r="S2532" s="9">
        <f t="shared" si="199"/>
        <v>0.09</v>
      </c>
    </row>
    <row r="2533" spans="1:19" x14ac:dyDescent="0.25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e">
        <f>VLOOKUP('Customer Info'!A2525,'Customer Info'!A2525:I3024,2,FALSE)</f>
        <v>#N/A</v>
      </c>
      <c r="H2533" s="6" t="e">
        <f>VLOOKUP('Customer Info'!A2525,'Customer Info'!A2525:I3025,3,FALSE)</f>
        <v>#N/A</v>
      </c>
      <c r="I2533" s="6" t="e">
        <f>VLOOKUP('Customer Info'!A2525,'Customer Info'!A2525:I3024,5,FALSE)</f>
        <v>#N/A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299</v>
      </c>
      <c r="R2533" s="2" t="s">
        <v>28</v>
      </c>
      <c r="S2533" s="9">
        <f t="shared" si="199"/>
        <v>0.02</v>
      </c>
    </row>
    <row r="2534" spans="1:19" x14ac:dyDescent="0.25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e">
        <f>VLOOKUP('Customer Info'!A2526,'Customer Info'!A2526:I3025,2,FALSE)</f>
        <v>#N/A</v>
      </c>
      <c r="H2534" s="6" t="e">
        <f>VLOOKUP('Customer Info'!A2526,'Customer Info'!A2526:I3026,3,FALSE)</f>
        <v>#N/A</v>
      </c>
      <c r="I2534" s="6" t="e">
        <f>VLOOKUP('Customer Info'!A2526,'Customer Info'!A2526:I3025,5,FALSE)</f>
        <v>#N/A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168</v>
      </c>
      <c r="R2534" s="2" t="s">
        <v>50</v>
      </c>
      <c r="S2534" s="9">
        <f t="shared" si="199"/>
        <v>0.02</v>
      </c>
    </row>
    <row r="2535" spans="1:19" x14ac:dyDescent="0.25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e">
        <f>VLOOKUP('Customer Info'!A2527,'Customer Info'!A2527:I3026,2,FALSE)</f>
        <v>#N/A</v>
      </c>
      <c r="H2535" s="6" t="e">
        <f>VLOOKUP('Customer Info'!A2527,'Customer Info'!A2527:I3027,3,FALSE)</f>
        <v>#N/A</v>
      </c>
      <c r="I2535" s="6" t="e">
        <f>VLOOKUP('Customer Info'!A2527,'Customer Info'!A2527:I3026,5,FALSE)</f>
        <v>#N/A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226</v>
      </c>
      <c r="R2535" s="2" t="s">
        <v>28</v>
      </c>
      <c r="S2535" s="9">
        <f t="shared" si="199"/>
        <v>0.02</v>
      </c>
    </row>
    <row r="2536" spans="1:19" x14ac:dyDescent="0.25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e">
        <f>VLOOKUP('Customer Info'!A2528,'Customer Info'!A2528:I3027,2,FALSE)</f>
        <v>#N/A</v>
      </c>
      <c r="H2536" s="6" t="e">
        <f>VLOOKUP('Customer Info'!A2528,'Customer Info'!A2528:I3028,3,FALSE)</f>
        <v>#N/A</v>
      </c>
      <c r="I2536" s="6" t="e">
        <f>VLOOKUP('Customer Info'!A2528,'Customer Info'!A2528:I3027,5,FALSE)</f>
        <v>#N/A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75</v>
      </c>
      <c r="R2536" s="2" t="s">
        <v>28</v>
      </c>
      <c r="S2536" s="9">
        <f t="shared" si="199"/>
        <v>0.02</v>
      </c>
    </row>
    <row r="2537" spans="1:19" x14ac:dyDescent="0.25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e">
        <f>VLOOKUP('Customer Info'!A2529,'Customer Info'!A2529:I3028,2,FALSE)</f>
        <v>#N/A</v>
      </c>
      <c r="H2537" s="6" t="e">
        <f>VLOOKUP('Customer Info'!A2529,'Customer Info'!A2529:I3029,3,FALSE)</f>
        <v>#N/A</v>
      </c>
      <c r="I2537" s="6" t="e">
        <f>VLOOKUP('Customer Info'!A2529,'Customer Info'!A2529:I3028,5,FALSE)</f>
        <v>#N/A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108</v>
      </c>
      <c r="R2537" s="2" t="s">
        <v>28</v>
      </c>
      <c r="S2537" s="9">
        <f t="shared" si="199"/>
        <v>0.02</v>
      </c>
    </row>
    <row r="2538" spans="1:19" x14ac:dyDescent="0.25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e">
        <f>VLOOKUP('Customer Info'!A2530,'Customer Info'!A2530:I3029,2,FALSE)</f>
        <v>#N/A</v>
      </c>
      <c r="H2538" s="6" t="e">
        <f>VLOOKUP('Customer Info'!A2530,'Customer Info'!A2530:I3030,3,FALSE)</f>
        <v>#N/A</v>
      </c>
      <c r="I2538" s="6" t="e">
        <f>VLOOKUP('Customer Info'!A2530,'Customer Info'!A2530:I3029,5,FALSE)</f>
        <v>#N/A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277</v>
      </c>
      <c r="R2538" s="2" t="s">
        <v>28</v>
      </c>
      <c r="S2538" s="9">
        <f t="shared" si="199"/>
        <v>0.02</v>
      </c>
    </row>
    <row r="2539" spans="1:19" x14ac:dyDescent="0.25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e">
        <f>VLOOKUP('Customer Info'!A2531,'Customer Info'!A2531:I3030,2,FALSE)</f>
        <v>#N/A</v>
      </c>
      <c r="H2539" s="6" t="e">
        <f>VLOOKUP('Customer Info'!A2531,'Customer Info'!A2531:I3031,3,FALSE)</f>
        <v>#N/A</v>
      </c>
      <c r="I2539" s="6" t="e">
        <f>VLOOKUP('Customer Info'!A2531,'Customer Info'!A2531:I3030,5,FALSE)</f>
        <v>#N/A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439</v>
      </c>
      <c r="R2539" s="2" t="s">
        <v>50</v>
      </c>
      <c r="S2539" s="9">
        <f t="shared" si="199"/>
        <v>0.02</v>
      </c>
    </row>
    <row r="2540" spans="1:19" x14ac:dyDescent="0.25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e">
        <f>VLOOKUP('Customer Info'!A2532,'Customer Info'!A2532:I3031,2,FALSE)</f>
        <v>#N/A</v>
      </c>
      <c r="H2540" s="6" t="e">
        <f>VLOOKUP('Customer Info'!A2532,'Customer Info'!A2532:I3032,3,FALSE)</f>
        <v>#N/A</v>
      </c>
      <c r="I2540" s="6" t="e">
        <f>VLOOKUP('Customer Info'!A2532,'Customer Info'!A2532:I3031,5,FALSE)</f>
        <v>#N/A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624</v>
      </c>
      <c r="R2540" s="2" t="s">
        <v>28</v>
      </c>
      <c r="S2540" s="9">
        <f t="shared" si="199"/>
        <v>0.05</v>
      </c>
    </row>
    <row r="2541" spans="1:19" x14ac:dyDescent="0.25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e">
        <f>VLOOKUP('Customer Info'!A2533,'Customer Info'!A2533:I3032,2,FALSE)</f>
        <v>#N/A</v>
      </c>
      <c r="H2541" s="6" t="e">
        <f>VLOOKUP('Customer Info'!A2533,'Customer Info'!A2533:I3033,3,FALSE)</f>
        <v>#N/A</v>
      </c>
      <c r="I2541" s="6" t="e">
        <f>VLOOKUP('Customer Info'!A2533,'Customer Info'!A2533:I3032,5,FALSE)</f>
        <v>#N/A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248</v>
      </c>
      <c r="R2541" s="2" t="s">
        <v>28</v>
      </c>
      <c r="S2541" s="9">
        <f t="shared" si="199"/>
        <v>0.05</v>
      </c>
    </row>
    <row r="2542" spans="1:19" x14ac:dyDescent="0.25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e">
        <f>VLOOKUP('Customer Info'!A2534,'Customer Info'!A2534:I3033,2,FALSE)</f>
        <v>#N/A</v>
      </c>
      <c r="H2542" s="6" t="e">
        <f>VLOOKUP('Customer Info'!A2534,'Customer Info'!A2534:I3034,3,FALSE)</f>
        <v>#N/A</v>
      </c>
      <c r="I2542" s="6" t="e">
        <f>VLOOKUP('Customer Info'!A2534,'Customer Info'!A2534:I3033,5,FALSE)</f>
        <v>#N/A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52</v>
      </c>
      <c r="R2542" s="2" t="s">
        <v>28</v>
      </c>
      <c r="S2542" s="9">
        <f t="shared" si="199"/>
        <v>0.02</v>
      </c>
    </row>
    <row r="2543" spans="1:19" x14ac:dyDescent="0.25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e">
        <f>VLOOKUP('Customer Info'!A2535,'Customer Info'!A2535:I3034,2,FALSE)</f>
        <v>#N/A</v>
      </c>
      <c r="H2543" s="6" t="e">
        <f>VLOOKUP('Customer Info'!A2535,'Customer Info'!A2535:I3035,3,FALSE)</f>
        <v>#N/A</v>
      </c>
      <c r="I2543" s="6" t="e">
        <f>VLOOKUP('Customer Info'!A2535,'Customer Info'!A2535:I3034,5,FALSE)</f>
        <v>#N/A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1635</v>
      </c>
      <c r="R2543" s="2" t="s">
        <v>28</v>
      </c>
      <c r="S2543" s="9">
        <f t="shared" si="199"/>
        <v>0.05</v>
      </c>
    </row>
    <row r="2544" spans="1:19" x14ac:dyDescent="0.25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e">
        <f>VLOOKUP('Customer Info'!A2536,'Customer Info'!A2536:I3035,2,FALSE)</f>
        <v>#N/A</v>
      </c>
      <c r="H2544" s="6" t="e">
        <f>VLOOKUP('Customer Info'!A2536,'Customer Info'!A2536:I3036,3,FALSE)</f>
        <v>#N/A</v>
      </c>
      <c r="I2544" s="6" t="e">
        <f>VLOOKUP('Customer Info'!A2536,'Customer Info'!A2536:I3035,5,FALSE)</f>
        <v>#N/A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593</v>
      </c>
      <c r="R2544" s="2" t="s">
        <v>28</v>
      </c>
      <c r="S2544" s="9">
        <f t="shared" si="199"/>
        <v>0.05</v>
      </c>
    </row>
    <row r="2545" spans="1:19" x14ac:dyDescent="0.25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e">
        <f>VLOOKUP('Customer Info'!A2537,'Customer Info'!A2537:I3036,2,FALSE)</f>
        <v>#N/A</v>
      </c>
      <c r="H2545" s="6" t="e">
        <f>VLOOKUP('Customer Info'!A2537,'Customer Info'!A2537:I3037,3,FALSE)</f>
        <v>#N/A</v>
      </c>
      <c r="I2545" s="6" t="e">
        <f>VLOOKUP('Customer Info'!A2537,'Customer Info'!A2537:I3036,5,FALSE)</f>
        <v>#N/A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1786</v>
      </c>
      <c r="R2545" s="2" t="s">
        <v>28</v>
      </c>
      <c r="S2545" s="9">
        <f t="shared" si="199"/>
        <v>7.0000000000000007E-2</v>
      </c>
    </row>
    <row r="2546" spans="1:19" x14ac:dyDescent="0.25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e">
        <f>VLOOKUP('Customer Info'!A2538,'Customer Info'!A2538:I3037,2,FALSE)</f>
        <v>#N/A</v>
      </c>
      <c r="H2546" s="6" t="e">
        <f>VLOOKUP('Customer Info'!A2538,'Customer Info'!A2538:I3038,3,FALSE)</f>
        <v>#N/A</v>
      </c>
      <c r="I2546" s="6" t="e">
        <f>VLOOKUP('Customer Info'!A2538,'Customer Info'!A2538:I3037,5,FALSE)</f>
        <v>#N/A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17</v>
      </c>
      <c r="R2546" s="2" t="s">
        <v>26</v>
      </c>
      <c r="S2546" s="9">
        <f t="shared" si="199"/>
        <v>0.02</v>
      </c>
    </row>
    <row r="2547" spans="1:19" x14ac:dyDescent="0.25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e">
        <f>VLOOKUP('Customer Info'!A2539,'Customer Info'!A2539:I3038,2,FALSE)</f>
        <v>#N/A</v>
      </c>
      <c r="H2547" s="6" t="e">
        <f>VLOOKUP('Customer Info'!A2539,'Customer Info'!A2539:I3039,3,FALSE)</f>
        <v>#N/A</v>
      </c>
      <c r="I2547" s="6" t="e">
        <f>VLOOKUP('Customer Info'!A2539,'Customer Info'!A2539:I3038,5,FALSE)</f>
        <v>#N/A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1980</v>
      </c>
      <c r="R2547" s="2" t="s">
        <v>26</v>
      </c>
      <c r="S2547" s="9">
        <f t="shared" si="199"/>
        <v>7.0000000000000007E-2</v>
      </c>
    </row>
    <row r="2548" spans="1:19" x14ac:dyDescent="0.25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e">
        <f>VLOOKUP('Customer Info'!A2540,'Customer Info'!A2540:I3039,2,FALSE)</f>
        <v>#N/A</v>
      </c>
      <c r="H2548" s="6" t="e">
        <f>VLOOKUP('Customer Info'!A2540,'Customer Info'!A2540:I3040,3,FALSE)</f>
        <v>#N/A</v>
      </c>
      <c r="I2548" s="6" t="e">
        <f>VLOOKUP('Customer Info'!A2540,'Customer Info'!A2540:I3039,5,FALSE)</f>
        <v>#N/A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120</v>
      </c>
      <c r="R2548" s="2" t="s">
        <v>28</v>
      </c>
      <c r="S2548" s="9">
        <f t="shared" si="199"/>
        <v>0.02</v>
      </c>
    </row>
    <row r="2549" spans="1:19" x14ac:dyDescent="0.25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e">
        <f>VLOOKUP('Customer Info'!A2541,'Customer Info'!A2541:I3040,2,FALSE)</f>
        <v>#N/A</v>
      </c>
      <c r="H2549" s="6" t="e">
        <f>VLOOKUP('Customer Info'!A2541,'Customer Info'!A2541:I3041,3,FALSE)</f>
        <v>#N/A</v>
      </c>
      <c r="I2549" s="6" t="e">
        <f>VLOOKUP('Customer Info'!A2541,'Customer Info'!A2541:I3040,5,FALSE)</f>
        <v>#N/A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231</v>
      </c>
      <c r="R2549" s="2" t="s">
        <v>28</v>
      </c>
      <c r="S2549" s="9">
        <f t="shared" si="199"/>
        <v>0.05</v>
      </c>
    </row>
    <row r="2550" spans="1:19" x14ac:dyDescent="0.25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e">
        <f>VLOOKUP('Customer Info'!A2542,'Customer Info'!A2542:I3041,2,FALSE)</f>
        <v>#N/A</v>
      </c>
      <c r="H2550" s="6" t="e">
        <f>VLOOKUP('Customer Info'!A2542,'Customer Info'!A2542:I3042,3,FALSE)</f>
        <v>#N/A</v>
      </c>
      <c r="I2550" s="6" t="e">
        <f>VLOOKUP('Customer Info'!A2542,'Customer Info'!A2542:I3041,5,FALSE)</f>
        <v>#N/A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748</v>
      </c>
      <c r="R2550" s="2" t="s">
        <v>28</v>
      </c>
      <c r="S2550" s="9">
        <f t="shared" si="199"/>
        <v>0.05</v>
      </c>
    </row>
    <row r="2551" spans="1:19" x14ac:dyDescent="0.25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e">
        <f>VLOOKUP('Customer Info'!A2543,'Customer Info'!A2543:I3042,2,FALSE)</f>
        <v>#N/A</v>
      </c>
      <c r="H2551" s="6" t="e">
        <f>VLOOKUP('Customer Info'!A2543,'Customer Info'!A2543:I3043,3,FALSE)</f>
        <v>#N/A</v>
      </c>
      <c r="I2551" s="6" t="e">
        <f>VLOOKUP('Customer Info'!A2543,'Customer Info'!A2543:I3042,5,FALSE)</f>
        <v>#N/A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1277</v>
      </c>
      <c r="R2551" s="2" t="s">
        <v>50</v>
      </c>
      <c r="S2551" s="9">
        <f t="shared" si="199"/>
        <v>0.05</v>
      </c>
    </row>
    <row r="2552" spans="1:19" x14ac:dyDescent="0.25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e">
        <f>VLOOKUP('Customer Info'!A2544,'Customer Info'!A2544:I3043,2,FALSE)</f>
        <v>#N/A</v>
      </c>
      <c r="H2552" s="6" t="e">
        <f>VLOOKUP('Customer Info'!A2544,'Customer Info'!A2544:I3044,3,FALSE)</f>
        <v>#N/A</v>
      </c>
      <c r="I2552" s="6" t="e">
        <f>VLOOKUP('Customer Info'!A2544,'Customer Info'!A2544:I3043,5,FALSE)</f>
        <v>#N/A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649</v>
      </c>
      <c r="R2552" s="2" t="s">
        <v>28</v>
      </c>
      <c r="S2552" s="9">
        <f t="shared" si="199"/>
        <v>0.05</v>
      </c>
    </row>
    <row r="2553" spans="1:19" x14ac:dyDescent="0.25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e">
        <f>VLOOKUP('Customer Info'!A2545,'Customer Info'!A2545:I3044,2,FALSE)</f>
        <v>#N/A</v>
      </c>
      <c r="H2553" s="6" t="e">
        <f>VLOOKUP('Customer Info'!A2545,'Customer Info'!A2545:I3045,3,FALSE)</f>
        <v>#N/A</v>
      </c>
      <c r="I2553" s="6" t="e">
        <f>VLOOKUP('Customer Info'!A2545,'Customer Info'!A2545:I3044,5,FALSE)</f>
        <v>#N/A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443</v>
      </c>
      <c r="R2553" s="2" t="s">
        <v>28</v>
      </c>
      <c r="S2553" s="9">
        <f t="shared" si="199"/>
        <v>0.05</v>
      </c>
    </row>
    <row r="2554" spans="1:19" x14ac:dyDescent="0.25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e">
        <f>VLOOKUP('Customer Info'!A2546,'Customer Info'!A2546:I3045,2,FALSE)</f>
        <v>#N/A</v>
      </c>
      <c r="H2554" s="6" t="e">
        <f>VLOOKUP('Customer Info'!A2546,'Customer Info'!A2546:I3046,3,FALSE)</f>
        <v>#N/A</v>
      </c>
      <c r="I2554" s="6" t="e">
        <f>VLOOKUP('Customer Info'!A2546,'Customer Info'!A2546:I3045,5,FALSE)</f>
        <v>#N/A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57</v>
      </c>
      <c r="R2554" s="2" t="s">
        <v>28</v>
      </c>
      <c r="S2554" s="9">
        <f t="shared" si="199"/>
        <v>0.02</v>
      </c>
    </row>
    <row r="2555" spans="1:19" x14ac:dyDescent="0.25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e">
        <f>VLOOKUP('Customer Info'!A2547,'Customer Info'!A2547:I3046,2,FALSE)</f>
        <v>#N/A</v>
      </c>
      <c r="H2555" s="6" t="e">
        <f>VLOOKUP('Customer Info'!A2547,'Customer Info'!A2547:I3047,3,FALSE)</f>
        <v>#N/A</v>
      </c>
      <c r="I2555" s="6" t="e">
        <f>VLOOKUP('Customer Info'!A2547,'Customer Info'!A2547:I3046,5,FALSE)</f>
        <v>#N/A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278</v>
      </c>
      <c r="R2555" s="2" t="s">
        <v>50</v>
      </c>
      <c r="S2555" s="9">
        <f t="shared" si="199"/>
        <v>0.02</v>
      </c>
    </row>
    <row r="2556" spans="1:19" x14ac:dyDescent="0.25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e">
        <f>VLOOKUP('Customer Info'!A2548,'Customer Info'!A2548:I3047,2,FALSE)</f>
        <v>#N/A</v>
      </c>
      <c r="H2556" s="6" t="e">
        <f>VLOOKUP('Customer Info'!A2548,'Customer Info'!A2548:I3048,3,FALSE)</f>
        <v>#N/A</v>
      </c>
      <c r="I2556" s="6" t="e">
        <f>VLOOKUP('Customer Info'!A2548,'Customer Info'!A2548:I3047,5,FALSE)</f>
        <v>#N/A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276</v>
      </c>
      <c r="R2556" s="2" t="s">
        <v>28</v>
      </c>
      <c r="S2556" s="9">
        <f t="shared" si="199"/>
        <v>0.02</v>
      </c>
    </row>
    <row r="2557" spans="1:19" x14ac:dyDescent="0.25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e">
        <f>VLOOKUP('Customer Info'!A2549,'Customer Info'!A2549:I3048,2,FALSE)</f>
        <v>#N/A</v>
      </c>
      <c r="H2557" s="6" t="e">
        <f>VLOOKUP('Customer Info'!A2549,'Customer Info'!A2549:I3049,3,FALSE)</f>
        <v>#N/A</v>
      </c>
      <c r="I2557" s="6" t="e">
        <f>VLOOKUP('Customer Info'!A2549,'Customer Info'!A2549:I3048,5,FALSE)</f>
        <v>#N/A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70</v>
      </c>
      <c r="R2557" s="2" t="s">
        <v>50</v>
      </c>
      <c r="S2557" s="9">
        <f t="shared" si="199"/>
        <v>0.02</v>
      </c>
    </row>
    <row r="2558" spans="1:19" x14ac:dyDescent="0.25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e">
        <f>VLOOKUP('Customer Info'!A2550,'Customer Info'!A2550:I3049,2,FALSE)</f>
        <v>#N/A</v>
      </c>
      <c r="H2558" s="6" t="e">
        <f>VLOOKUP('Customer Info'!A2550,'Customer Info'!A2550:I3050,3,FALSE)</f>
        <v>#N/A</v>
      </c>
      <c r="I2558" s="6" t="e">
        <f>VLOOKUP('Customer Info'!A2550,'Customer Info'!A2550:I3049,5,FALSE)</f>
        <v>#N/A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2568</v>
      </c>
      <c r="R2558" s="2" t="s">
        <v>28</v>
      </c>
      <c r="S2558" s="9">
        <f t="shared" si="199"/>
        <v>7.0000000000000007E-2</v>
      </c>
    </row>
    <row r="2559" spans="1:19" x14ac:dyDescent="0.25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e">
        <f>VLOOKUP('Customer Info'!A2551,'Customer Info'!A2551:I3050,2,FALSE)</f>
        <v>#N/A</v>
      </c>
      <c r="H2559" s="6" t="e">
        <f>VLOOKUP('Customer Info'!A2551,'Customer Info'!A2551:I3051,3,FALSE)</f>
        <v>#N/A</v>
      </c>
      <c r="I2559" s="6" t="e">
        <f>VLOOKUP('Customer Info'!A2551,'Customer Info'!A2551:I3050,5,FALSE)</f>
        <v>#N/A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64</v>
      </c>
      <c r="R2559" s="2" t="s">
        <v>26</v>
      </c>
      <c r="S2559" s="9">
        <f t="shared" si="199"/>
        <v>0.02</v>
      </c>
    </row>
    <row r="2560" spans="1:19" x14ac:dyDescent="0.25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e">
        <f>VLOOKUP('Customer Info'!A2552,'Customer Info'!A2552:I3051,2,FALSE)</f>
        <v>#N/A</v>
      </c>
      <c r="H2560" s="6" t="e">
        <f>VLOOKUP('Customer Info'!A2552,'Customer Info'!A2552:I3052,3,FALSE)</f>
        <v>#N/A</v>
      </c>
      <c r="I2560" s="6" t="e">
        <f>VLOOKUP('Customer Info'!A2552,'Customer Info'!A2552:I3051,5,FALSE)</f>
        <v>#N/A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215</v>
      </c>
      <c r="R2560" s="2" t="s">
        <v>28</v>
      </c>
      <c r="S2560" s="9">
        <f t="shared" si="199"/>
        <v>0.02</v>
      </c>
    </row>
    <row r="2561" spans="1:19" x14ac:dyDescent="0.25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e">
        <f>VLOOKUP('Customer Info'!A2553,'Customer Info'!A2553:I3052,2,FALSE)</f>
        <v>#N/A</v>
      </c>
      <c r="H2561" s="6" t="e">
        <f>VLOOKUP('Customer Info'!A2553,'Customer Info'!A2553:I3053,3,FALSE)</f>
        <v>#N/A</v>
      </c>
      <c r="I2561" s="6" t="e">
        <f>VLOOKUP('Customer Info'!A2553,'Customer Info'!A2553:I3052,5,FALSE)</f>
        <v>#N/A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3480</v>
      </c>
      <c r="R2561" s="2" t="s">
        <v>28</v>
      </c>
      <c r="S2561" s="9">
        <f t="shared" si="199"/>
        <v>7.0000000000000007E-2</v>
      </c>
    </row>
    <row r="2562" spans="1:19" x14ac:dyDescent="0.25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e">
        <f>VLOOKUP('Customer Info'!A2554,'Customer Info'!A2554:I3053,2,FALSE)</f>
        <v>#N/A</v>
      </c>
      <c r="H2562" s="6" t="e">
        <f>VLOOKUP('Customer Info'!A2554,'Customer Info'!A2554:I3054,3,FALSE)</f>
        <v>#N/A</v>
      </c>
      <c r="I2562" s="6" t="e">
        <f>VLOOKUP('Customer Info'!A2554,'Customer Info'!A2554:I3053,5,FALSE)</f>
        <v>#N/A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45</v>
      </c>
      <c r="R2562" s="2" t="s">
        <v>50</v>
      </c>
      <c r="S2562" s="9">
        <f t="shared" si="199"/>
        <v>0.02</v>
      </c>
    </row>
    <row r="2563" spans="1:19" x14ac:dyDescent="0.25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e">
        <f>VLOOKUP('Customer Info'!A2555,'Customer Info'!A2555:I3054,2,FALSE)</f>
        <v>#N/A</v>
      </c>
      <c r="H2563" s="6" t="e">
        <f>VLOOKUP('Customer Info'!A2555,'Customer Info'!A2555:I3055,3,FALSE)</f>
        <v>#N/A</v>
      </c>
      <c r="I2563" s="6" t="e">
        <f>VLOOKUP('Customer Info'!A2555,'Customer Info'!A2555:I3054,5,FALSE)</f>
        <v>#N/A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151</v>
      </c>
      <c r="R2563" s="2" t="s">
        <v>56</v>
      </c>
      <c r="S2563" s="9">
        <f t="shared" si="199"/>
        <v>0.02</v>
      </c>
    </row>
    <row r="2564" spans="1:19" x14ac:dyDescent="0.25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e">
        <f>VLOOKUP('Customer Info'!A2556,'Customer Info'!A2556:I3055,2,FALSE)</f>
        <v>#N/A</v>
      </c>
      <c r="H2564" s="6" t="e">
        <f>VLOOKUP('Customer Info'!A2556,'Customer Info'!A2556:I3056,3,FALSE)</f>
        <v>#N/A</v>
      </c>
      <c r="I2564" s="6" t="e">
        <f>VLOOKUP('Customer Info'!A2556,'Customer Info'!A2556:I3055,5,FALSE)</f>
        <v>#N/A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208</v>
      </c>
      <c r="R2564" s="2" t="s">
        <v>28</v>
      </c>
      <c r="S2564" s="9">
        <f t="shared" si="199"/>
        <v>0.02</v>
      </c>
    </row>
    <row r="2565" spans="1:19" x14ac:dyDescent="0.25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e">
        <f>VLOOKUP('Customer Info'!A2557,'Customer Info'!A2557:I3056,2,FALSE)</f>
        <v>#N/A</v>
      </c>
      <c r="H2565" s="6" t="e">
        <f>VLOOKUP('Customer Info'!A2557,'Customer Info'!A2557:I3057,3,FALSE)</f>
        <v>#N/A</v>
      </c>
      <c r="I2565" s="6" t="e">
        <f>VLOOKUP('Customer Info'!A2557,'Customer Info'!A2557:I3056,5,FALSE)</f>
        <v>#N/A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143</v>
      </c>
      <c r="R2565" s="2" t="s">
        <v>28</v>
      </c>
      <c r="S2565" s="9">
        <f t="shared" si="199"/>
        <v>0.02</v>
      </c>
    </row>
    <row r="2566" spans="1:19" x14ac:dyDescent="0.25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e">
        <f>VLOOKUP('Customer Info'!A2558,'Customer Info'!A2558:I3057,2,FALSE)</f>
        <v>#N/A</v>
      </c>
      <c r="H2566" s="6" t="e">
        <f>VLOOKUP('Customer Info'!A2558,'Customer Info'!A2558:I3058,3,FALSE)</f>
        <v>#N/A</v>
      </c>
      <c r="I2566" s="6" t="e">
        <f>VLOOKUP('Customer Info'!A2558,'Customer Info'!A2558:I3057,5,FALSE)</f>
        <v>#N/A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165</v>
      </c>
      <c r="R2566" s="2" t="s">
        <v>28</v>
      </c>
      <c r="S2566" s="9">
        <f t="shared" si="199"/>
        <v>0.02</v>
      </c>
    </row>
    <row r="2567" spans="1:19" x14ac:dyDescent="0.25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e">
        <f>VLOOKUP('Customer Info'!A2559,'Customer Info'!A2559:I3058,2,FALSE)</f>
        <v>#N/A</v>
      </c>
      <c r="H2567" s="6" t="e">
        <f>VLOOKUP('Customer Info'!A2559,'Customer Info'!A2559:I3059,3,FALSE)</f>
        <v>#N/A</v>
      </c>
      <c r="I2567" s="6" t="e">
        <f>VLOOKUP('Customer Info'!A2559,'Customer Info'!A2559:I3058,5,FALSE)</f>
        <v>#N/A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389</v>
      </c>
      <c r="R2567" s="2" t="s">
        <v>50</v>
      </c>
      <c r="S2567" s="9">
        <f t="shared" si="199"/>
        <v>0.02</v>
      </c>
    </row>
    <row r="2568" spans="1:19" x14ac:dyDescent="0.25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e">
        <f>VLOOKUP('Customer Info'!A2560,'Customer Info'!A2560:I3059,2,FALSE)</f>
        <v>#N/A</v>
      </c>
      <c r="H2568" s="6" t="e">
        <f>VLOOKUP('Customer Info'!A2560,'Customer Info'!A2560:I3060,3,FALSE)</f>
        <v>#N/A</v>
      </c>
      <c r="I2568" s="6" t="e">
        <f>VLOOKUP('Customer Info'!A2560,'Customer Info'!A2560:I3059,5,FALSE)</f>
        <v>#N/A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423</v>
      </c>
      <c r="R2568" s="2" t="s">
        <v>50</v>
      </c>
      <c r="S2568" s="9">
        <f t="shared" si="199"/>
        <v>0.05</v>
      </c>
    </row>
    <row r="2569" spans="1:19" x14ac:dyDescent="0.25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e">
        <f>VLOOKUP('Customer Info'!A2561,'Customer Info'!A2561:I3060,2,FALSE)</f>
        <v>#N/A</v>
      </c>
      <c r="H2569" s="6" t="e">
        <f>VLOOKUP('Customer Info'!A2561,'Customer Info'!A2561:I3061,3,FALSE)</f>
        <v>#N/A</v>
      </c>
      <c r="I2569" s="6" t="e">
        <f>VLOOKUP('Customer Info'!A2561,'Customer Info'!A2561:I3060,5,FALSE)</f>
        <v>#N/A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278</v>
      </c>
      <c r="R2569" s="2" t="s">
        <v>50</v>
      </c>
      <c r="S2569" s="9">
        <f t="shared" si="199"/>
        <v>0.02</v>
      </c>
    </row>
    <row r="2570" spans="1:19" x14ac:dyDescent="0.25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e">
        <f>VLOOKUP('Customer Info'!A2562,'Customer Info'!A2562:I3061,2,FALSE)</f>
        <v>#N/A</v>
      </c>
      <c r="H2570" s="6" t="e">
        <f>VLOOKUP('Customer Info'!A2562,'Customer Info'!A2562:I3062,3,FALSE)</f>
        <v>#N/A</v>
      </c>
      <c r="I2570" s="6" t="e">
        <f>VLOOKUP('Customer Info'!A2562,'Customer Info'!A2562:I3061,5,FALSE)</f>
        <v>#N/A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1279</v>
      </c>
      <c r="R2570" s="2" t="s">
        <v>28</v>
      </c>
      <c r="S2570" s="9">
        <f t="shared" si="199"/>
        <v>0.05</v>
      </c>
    </row>
    <row r="2571" spans="1:19" x14ac:dyDescent="0.25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e">
        <f>VLOOKUP('Customer Info'!A2563,'Customer Info'!A2563:I3062,2,FALSE)</f>
        <v>#N/A</v>
      </c>
      <c r="H2571" s="6" t="e">
        <f>VLOOKUP('Customer Info'!A2563,'Customer Info'!A2563:I3063,3,FALSE)</f>
        <v>#N/A</v>
      </c>
      <c r="I2571" s="6" t="e">
        <f>VLOOKUP('Customer Info'!A2563,'Customer Info'!A2563:I3062,5,FALSE)</f>
        <v>#N/A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8">
        <f t="shared" ref="P2571:P2634" si="202">N2571+O2571</f>
        <v>5928</v>
      </c>
      <c r="Q2571" s="8">
        <f t="shared" ref="Q2571:Q2634" si="203">P2571-M2571</f>
        <v>568</v>
      </c>
      <c r="R2571" s="2" t="s">
        <v>28</v>
      </c>
      <c r="S2571" s="9">
        <f t="shared" ref="S2571:S2634" si="204">VLOOKUP(P2571,$T$2:$U$7,2,TRUE)</f>
        <v>0.05</v>
      </c>
    </row>
    <row r="2572" spans="1:19" x14ac:dyDescent="0.25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e">
        <f>VLOOKUP('Customer Info'!A2564,'Customer Info'!A2564:I3063,2,FALSE)</f>
        <v>#N/A</v>
      </c>
      <c r="H2572" s="6" t="e">
        <f>VLOOKUP('Customer Info'!A2564,'Customer Info'!A2564:I3064,3,FALSE)</f>
        <v>#N/A</v>
      </c>
      <c r="I2572" s="6" t="e">
        <f>VLOOKUP('Customer Info'!A2564,'Customer Info'!A2564:I3063,5,FALSE)</f>
        <v>#N/A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164</v>
      </c>
      <c r="R2572" s="2" t="s">
        <v>50</v>
      </c>
      <c r="S2572" s="9">
        <f t="shared" si="204"/>
        <v>0.02</v>
      </c>
    </row>
    <row r="2573" spans="1:19" x14ac:dyDescent="0.25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e">
        <f>VLOOKUP('Customer Info'!A2565,'Customer Info'!A2565:I3064,2,FALSE)</f>
        <v>#N/A</v>
      </c>
      <c r="H2573" s="6" t="e">
        <f>VLOOKUP('Customer Info'!A2565,'Customer Info'!A2565:I3065,3,FALSE)</f>
        <v>#N/A</v>
      </c>
      <c r="I2573" s="6" t="e">
        <f>VLOOKUP('Customer Info'!A2565,'Customer Info'!A2565:I3064,5,FALSE)</f>
        <v>#N/A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312</v>
      </c>
      <c r="R2573" s="2" t="s">
        <v>50</v>
      </c>
      <c r="S2573" s="9">
        <f t="shared" si="204"/>
        <v>0.02</v>
      </c>
    </row>
    <row r="2574" spans="1:19" x14ac:dyDescent="0.25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e">
        <f>VLOOKUP('Customer Info'!A2566,'Customer Info'!A2566:I3065,2,FALSE)</f>
        <v>#N/A</v>
      </c>
      <c r="H2574" s="6" t="e">
        <f>VLOOKUP('Customer Info'!A2566,'Customer Info'!A2566:I3066,3,FALSE)</f>
        <v>#N/A</v>
      </c>
      <c r="I2574" s="6" t="e">
        <f>VLOOKUP('Customer Info'!A2566,'Customer Info'!A2566:I3065,5,FALSE)</f>
        <v>#N/A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853</v>
      </c>
      <c r="R2574" s="2" t="s">
        <v>28</v>
      </c>
      <c r="S2574" s="9">
        <f t="shared" si="204"/>
        <v>0.05</v>
      </c>
    </row>
    <row r="2575" spans="1:19" x14ac:dyDescent="0.25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e">
        <f>VLOOKUP('Customer Info'!A2567,'Customer Info'!A2567:I3066,2,FALSE)</f>
        <v>#N/A</v>
      </c>
      <c r="H2575" s="6" t="e">
        <f>VLOOKUP('Customer Info'!A2567,'Customer Info'!A2567:I3067,3,FALSE)</f>
        <v>#N/A</v>
      </c>
      <c r="I2575" s="6" t="e">
        <f>VLOOKUP('Customer Info'!A2567,'Customer Info'!A2567:I3066,5,FALSE)</f>
        <v>#N/A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570</v>
      </c>
      <c r="R2575" s="2" t="s">
        <v>50</v>
      </c>
      <c r="S2575" s="9">
        <f t="shared" si="204"/>
        <v>0.05</v>
      </c>
    </row>
    <row r="2576" spans="1:19" x14ac:dyDescent="0.25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e">
        <f>VLOOKUP('Customer Info'!A2568,'Customer Info'!A2568:I3067,2,FALSE)</f>
        <v>#N/A</v>
      </c>
      <c r="H2576" s="6" t="e">
        <f>VLOOKUP('Customer Info'!A2568,'Customer Info'!A2568:I3068,3,FALSE)</f>
        <v>#N/A</v>
      </c>
      <c r="I2576" s="6" t="e">
        <f>VLOOKUP('Customer Info'!A2568,'Customer Info'!A2568:I3067,5,FALSE)</f>
        <v>#N/A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2119</v>
      </c>
      <c r="R2576" s="2" t="s">
        <v>28</v>
      </c>
      <c r="S2576" s="9">
        <f t="shared" si="204"/>
        <v>0.05</v>
      </c>
    </row>
    <row r="2577" spans="1:19" x14ac:dyDescent="0.25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e">
        <f>VLOOKUP('Customer Info'!A2569,'Customer Info'!A2569:I3068,2,FALSE)</f>
        <v>#N/A</v>
      </c>
      <c r="H2577" s="6" t="e">
        <f>VLOOKUP('Customer Info'!A2569,'Customer Info'!A2569:I3069,3,FALSE)</f>
        <v>#N/A</v>
      </c>
      <c r="I2577" s="6" t="e">
        <f>VLOOKUP('Customer Info'!A2569,'Customer Info'!A2569:I3068,5,FALSE)</f>
        <v>#N/A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81</v>
      </c>
      <c r="R2577" s="2" t="s">
        <v>50</v>
      </c>
      <c r="S2577" s="9">
        <f t="shared" si="204"/>
        <v>0.02</v>
      </c>
    </row>
    <row r="2578" spans="1:19" x14ac:dyDescent="0.25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e">
        <f>VLOOKUP('Customer Info'!A2570,'Customer Info'!A2570:I3069,2,FALSE)</f>
        <v>#N/A</v>
      </c>
      <c r="H2578" s="6" t="e">
        <f>VLOOKUP('Customer Info'!A2570,'Customer Info'!A2570:I3070,3,FALSE)</f>
        <v>#N/A</v>
      </c>
      <c r="I2578" s="6" t="e">
        <f>VLOOKUP('Customer Info'!A2570,'Customer Info'!A2570:I3069,5,FALSE)</f>
        <v>#N/A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776</v>
      </c>
      <c r="R2578" s="2" t="s">
        <v>28</v>
      </c>
      <c r="S2578" s="9">
        <f t="shared" si="204"/>
        <v>0.05</v>
      </c>
    </row>
    <row r="2579" spans="1:19" x14ac:dyDescent="0.25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e">
        <f>VLOOKUP('Customer Info'!A2571,'Customer Info'!A2571:I3070,2,FALSE)</f>
        <v>#N/A</v>
      </c>
      <c r="H2579" s="6" t="e">
        <f>VLOOKUP('Customer Info'!A2571,'Customer Info'!A2571:I3071,3,FALSE)</f>
        <v>#N/A</v>
      </c>
      <c r="I2579" s="6" t="e">
        <f>VLOOKUP('Customer Info'!A2571,'Customer Info'!A2571:I3070,5,FALSE)</f>
        <v>#N/A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160</v>
      </c>
      <c r="R2579" s="2" t="s">
        <v>50</v>
      </c>
      <c r="S2579" s="9">
        <f t="shared" si="204"/>
        <v>0.02</v>
      </c>
    </row>
    <row r="2580" spans="1:19" x14ac:dyDescent="0.25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e">
        <f>VLOOKUP('Customer Info'!A2572,'Customer Info'!A2572:I3071,2,FALSE)</f>
        <v>#N/A</v>
      </c>
      <c r="H2580" s="6" t="e">
        <f>VLOOKUP('Customer Info'!A2572,'Customer Info'!A2572:I3072,3,FALSE)</f>
        <v>#N/A</v>
      </c>
      <c r="I2580" s="6" t="e">
        <f>VLOOKUP('Customer Info'!A2572,'Customer Info'!A2572:I3071,5,FALSE)</f>
        <v>#N/A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274</v>
      </c>
      <c r="R2580" s="2" t="s">
        <v>50</v>
      </c>
      <c r="S2580" s="9">
        <f t="shared" si="204"/>
        <v>0.02</v>
      </c>
    </row>
    <row r="2581" spans="1:19" x14ac:dyDescent="0.25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e">
        <f>VLOOKUP('Customer Info'!A2573,'Customer Info'!A2573:I3072,2,FALSE)</f>
        <v>#N/A</v>
      </c>
      <c r="H2581" s="6" t="e">
        <f>VLOOKUP('Customer Info'!A2573,'Customer Info'!A2573:I3073,3,FALSE)</f>
        <v>#N/A</v>
      </c>
      <c r="I2581" s="6" t="e">
        <f>VLOOKUP('Customer Info'!A2573,'Customer Info'!A2573:I3072,5,FALSE)</f>
        <v>#N/A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158</v>
      </c>
      <c r="R2581" s="2" t="s">
        <v>28</v>
      </c>
      <c r="S2581" s="9">
        <f t="shared" si="204"/>
        <v>0.02</v>
      </c>
    </row>
    <row r="2582" spans="1:19" x14ac:dyDescent="0.25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e">
        <f>VLOOKUP('Customer Info'!A2574,'Customer Info'!A2574:I3073,2,FALSE)</f>
        <v>#N/A</v>
      </c>
      <c r="H2582" s="6" t="e">
        <f>VLOOKUP('Customer Info'!A2574,'Customer Info'!A2574:I3074,3,FALSE)</f>
        <v>#N/A</v>
      </c>
      <c r="I2582" s="6" t="e">
        <f>VLOOKUP('Customer Info'!A2574,'Customer Info'!A2574:I3073,5,FALSE)</f>
        <v>#N/A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15</v>
      </c>
      <c r="R2582" s="2" t="s">
        <v>28</v>
      </c>
      <c r="S2582" s="9">
        <f t="shared" si="204"/>
        <v>0.02</v>
      </c>
    </row>
    <row r="2583" spans="1:19" x14ac:dyDescent="0.25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e">
        <f>VLOOKUP('Customer Info'!A2575,'Customer Info'!A2575:I3074,2,FALSE)</f>
        <v>#N/A</v>
      </c>
      <c r="H2583" s="6" t="e">
        <f>VLOOKUP('Customer Info'!A2575,'Customer Info'!A2575:I3075,3,FALSE)</f>
        <v>#N/A</v>
      </c>
      <c r="I2583" s="6" t="e">
        <f>VLOOKUP('Customer Info'!A2575,'Customer Info'!A2575:I3074,5,FALSE)</f>
        <v>#N/A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48</v>
      </c>
      <c r="R2583" s="2" t="s">
        <v>28</v>
      </c>
      <c r="S2583" s="9">
        <f t="shared" si="204"/>
        <v>0.02</v>
      </c>
    </row>
    <row r="2584" spans="1:19" x14ac:dyDescent="0.25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e">
        <f>VLOOKUP('Customer Info'!A2576,'Customer Info'!A2576:I3075,2,FALSE)</f>
        <v>#N/A</v>
      </c>
      <c r="H2584" s="6" t="e">
        <f>VLOOKUP('Customer Info'!A2576,'Customer Info'!A2576:I3076,3,FALSE)</f>
        <v>#N/A</v>
      </c>
      <c r="I2584" s="6" t="e">
        <f>VLOOKUP('Customer Info'!A2576,'Customer Info'!A2576:I3075,5,FALSE)</f>
        <v>#N/A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451</v>
      </c>
      <c r="R2584" s="2" t="s">
        <v>28</v>
      </c>
      <c r="S2584" s="9">
        <f t="shared" si="204"/>
        <v>0.05</v>
      </c>
    </row>
    <row r="2585" spans="1:19" x14ac:dyDescent="0.25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e">
        <f>VLOOKUP('Customer Info'!A2577,'Customer Info'!A2577:I3076,2,FALSE)</f>
        <v>#N/A</v>
      </c>
      <c r="H2585" s="6" t="e">
        <f>VLOOKUP('Customer Info'!A2577,'Customer Info'!A2577:I3077,3,FALSE)</f>
        <v>#N/A</v>
      </c>
      <c r="I2585" s="6" t="e">
        <f>VLOOKUP('Customer Info'!A2577,'Customer Info'!A2577:I3076,5,FALSE)</f>
        <v>#N/A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1123</v>
      </c>
      <c r="R2585" s="2" t="s">
        <v>28</v>
      </c>
      <c r="S2585" s="9">
        <f t="shared" si="204"/>
        <v>0.05</v>
      </c>
    </row>
    <row r="2586" spans="1:19" x14ac:dyDescent="0.25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e">
        <f>VLOOKUP('Customer Info'!A2578,'Customer Info'!A2578:I3077,2,FALSE)</f>
        <v>#N/A</v>
      </c>
      <c r="H2586" s="6" t="e">
        <f>VLOOKUP('Customer Info'!A2578,'Customer Info'!A2578:I3078,3,FALSE)</f>
        <v>#N/A</v>
      </c>
      <c r="I2586" s="6" t="e">
        <f>VLOOKUP('Customer Info'!A2578,'Customer Info'!A2578:I3077,5,FALSE)</f>
        <v>#N/A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9179</v>
      </c>
      <c r="R2586" s="2" t="s">
        <v>26</v>
      </c>
      <c r="S2586" s="9">
        <f t="shared" si="204"/>
        <v>0.12</v>
      </c>
    </row>
    <row r="2587" spans="1:19" x14ac:dyDescent="0.25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e">
        <f>VLOOKUP('Customer Info'!A2579,'Customer Info'!A2579:I3078,2,FALSE)</f>
        <v>#N/A</v>
      </c>
      <c r="H2587" s="6" t="e">
        <f>VLOOKUP('Customer Info'!A2579,'Customer Info'!A2579:I3079,3,FALSE)</f>
        <v>#N/A</v>
      </c>
      <c r="I2587" s="6" t="e">
        <f>VLOOKUP('Customer Info'!A2579,'Customer Info'!A2579:I3078,5,FALSE)</f>
        <v>#N/A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486</v>
      </c>
      <c r="R2587" s="2" t="s">
        <v>50</v>
      </c>
      <c r="S2587" s="9">
        <f t="shared" si="204"/>
        <v>0.05</v>
      </c>
    </row>
    <row r="2588" spans="1:19" x14ac:dyDescent="0.25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e">
        <f>VLOOKUP('Customer Info'!A2580,'Customer Info'!A2580:I3079,2,FALSE)</f>
        <v>#N/A</v>
      </c>
      <c r="H2588" s="6" t="e">
        <f>VLOOKUP('Customer Info'!A2580,'Customer Info'!A2580:I3080,3,FALSE)</f>
        <v>#N/A</v>
      </c>
      <c r="I2588" s="6" t="e">
        <f>VLOOKUP('Customer Info'!A2580,'Customer Info'!A2580:I3079,5,FALSE)</f>
        <v>#N/A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241</v>
      </c>
      <c r="R2588" s="2" t="s">
        <v>28</v>
      </c>
      <c r="S2588" s="9">
        <f t="shared" si="204"/>
        <v>0.02</v>
      </c>
    </row>
    <row r="2589" spans="1:19" x14ac:dyDescent="0.25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e">
        <f>VLOOKUP('Customer Info'!A2581,'Customer Info'!A2581:I3080,2,FALSE)</f>
        <v>#N/A</v>
      </c>
      <c r="H2589" s="6" t="e">
        <f>VLOOKUP('Customer Info'!A2581,'Customer Info'!A2581:I3081,3,FALSE)</f>
        <v>#N/A</v>
      </c>
      <c r="I2589" s="6" t="e">
        <f>VLOOKUP('Customer Info'!A2581,'Customer Info'!A2581:I3080,5,FALSE)</f>
        <v>#N/A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282</v>
      </c>
      <c r="R2589" s="2" t="s">
        <v>50</v>
      </c>
      <c r="S2589" s="9">
        <f t="shared" si="204"/>
        <v>0.02</v>
      </c>
    </row>
    <row r="2590" spans="1:19" x14ac:dyDescent="0.25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e">
        <f>VLOOKUP('Customer Info'!A2582,'Customer Info'!A2582:I3081,2,FALSE)</f>
        <v>#N/A</v>
      </c>
      <c r="H2590" s="6" t="e">
        <f>VLOOKUP('Customer Info'!A2582,'Customer Info'!A2582:I3082,3,FALSE)</f>
        <v>#N/A</v>
      </c>
      <c r="I2590" s="6" t="e">
        <f>VLOOKUP('Customer Info'!A2582,'Customer Info'!A2582:I3081,5,FALSE)</f>
        <v>#N/A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865</v>
      </c>
      <c r="R2590" s="2" t="s">
        <v>28</v>
      </c>
      <c r="S2590" s="9">
        <f t="shared" si="204"/>
        <v>0.05</v>
      </c>
    </row>
    <row r="2591" spans="1:19" x14ac:dyDescent="0.25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e">
        <f>VLOOKUP('Customer Info'!A2583,'Customer Info'!A2583:I3082,2,FALSE)</f>
        <v>#N/A</v>
      </c>
      <c r="H2591" s="6" t="e">
        <f>VLOOKUP('Customer Info'!A2583,'Customer Info'!A2583:I3083,3,FALSE)</f>
        <v>#N/A</v>
      </c>
      <c r="I2591" s="6" t="e">
        <f>VLOOKUP('Customer Info'!A2583,'Customer Info'!A2583:I3082,5,FALSE)</f>
        <v>#N/A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131</v>
      </c>
      <c r="R2591" s="2" t="s">
        <v>28</v>
      </c>
      <c r="S2591" s="9">
        <f t="shared" si="204"/>
        <v>0.02</v>
      </c>
    </row>
    <row r="2592" spans="1:19" x14ac:dyDescent="0.25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e">
        <f>VLOOKUP('Customer Info'!A2584,'Customer Info'!A2584:I3083,2,FALSE)</f>
        <v>#N/A</v>
      </c>
      <c r="H2592" s="6" t="e">
        <f>VLOOKUP('Customer Info'!A2584,'Customer Info'!A2584:I3084,3,FALSE)</f>
        <v>#N/A</v>
      </c>
      <c r="I2592" s="6" t="e">
        <f>VLOOKUP('Customer Info'!A2584,'Customer Info'!A2584:I3083,5,FALSE)</f>
        <v>#N/A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38</v>
      </c>
      <c r="R2592" s="2" t="s">
        <v>50</v>
      </c>
      <c r="S2592" s="9">
        <f t="shared" si="204"/>
        <v>0.02</v>
      </c>
    </row>
    <row r="2593" spans="1:19" x14ac:dyDescent="0.25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e">
        <f>VLOOKUP('Customer Info'!A2585,'Customer Info'!A2585:I3084,2,FALSE)</f>
        <v>#N/A</v>
      </c>
      <c r="H2593" s="6" t="e">
        <f>VLOOKUP('Customer Info'!A2585,'Customer Info'!A2585:I3085,3,FALSE)</f>
        <v>#N/A</v>
      </c>
      <c r="I2593" s="6" t="e">
        <f>VLOOKUP('Customer Info'!A2585,'Customer Info'!A2585:I3084,5,FALSE)</f>
        <v>#N/A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161</v>
      </c>
      <c r="R2593" s="2" t="s">
        <v>50</v>
      </c>
      <c r="S2593" s="9">
        <f t="shared" si="204"/>
        <v>0.02</v>
      </c>
    </row>
    <row r="2594" spans="1:19" x14ac:dyDescent="0.25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e">
        <f>VLOOKUP('Customer Info'!A2586,'Customer Info'!A2586:I3085,2,FALSE)</f>
        <v>#N/A</v>
      </c>
      <c r="H2594" s="6" t="e">
        <f>VLOOKUP('Customer Info'!A2586,'Customer Info'!A2586:I3086,3,FALSE)</f>
        <v>#N/A</v>
      </c>
      <c r="I2594" s="6" t="e">
        <f>VLOOKUP('Customer Info'!A2586,'Customer Info'!A2586:I3085,5,FALSE)</f>
        <v>#N/A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188</v>
      </c>
      <c r="R2594" s="2" t="s">
        <v>28</v>
      </c>
      <c r="S2594" s="9">
        <f t="shared" si="204"/>
        <v>0.02</v>
      </c>
    </row>
    <row r="2595" spans="1:19" x14ac:dyDescent="0.25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e">
        <f>VLOOKUP('Customer Info'!A2587,'Customer Info'!A2587:I3086,2,FALSE)</f>
        <v>#N/A</v>
      </c>
      <c r="H2595" s="6" t="e">
        <f>VLOOKUP('Customer Info'!A2587,'Customer Info'!A2587:I3087,3,FALSE)</f>
        <v>#N/A</v>
      </c>
      <c r="I2595" s="6" t="e">
        <f>VLOOKUP('Customer Info'!A2587,'Customer Info'!A2587:I3086,5,FALSE)</f>
        <v>#N/A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160</v>
      </c>
      <c r="R2595" s="2" t="s">
        <v>28</v>
      </c>
      <c r="S2595" s="9">
        <f t="shared" si="204"/>
        <v>0.02</v>
      </c>
    </row>
    <row r="2596" spans="1:19" x14ac:dyDescent="0.25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e">
        <f>VLOOKUP('Customer Info'!A2588,'Customer Info'!A2588:I3087,2,FALSE)</f>
        <v>#N/A</v>
      </c>
      <c r="H2596" s="6" t="e">
        <f>VLOOKUP('Customer Info'!A2588,'Customer Info'!A2588:I3088,3,FALSE)</f>
        <v>#N/A</v>
      </c>
      <c r="I2596" s="6" t="e">
        <f>VLOOKUP('Customer Info'!A2588,'Customer Info'!A2588:I3087,5,FALSE)</f>
        <v>#N/A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35</v>
      </c>
      <c r="R2596" s="2" t="s">
        <v>28</v>
      </c>
      <c r="S2596" s="9">
        <f t="shared" si="204"/>
        <v>0.02</v>
      </c>
    </row>
    <row r="2597" spans="1:19" x14ac:dyDescent="0.25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e">
        <f>VLOOKUP('Customer Info'!A2589,'Customer Info'!A2589:I3088,2,FALSE)</f>
        <v>#N/A</v>
      </c>
      <c r="H2597" s="6" t="e">
        <f>VLOOKUP('Customer Info'!A2589,'Customer Info'!A2589:I3089,3,FALSE)</f>
        <v>#N/A</v>
      </c>
      <c r="I2597" s="6" t="e">
        <f>VLOOKUP('Customer Info'!A2589,'Customer Info'!A2589:I3088,5,FALSE)</f>
        <v>#N/A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288</v>
      </c>
      <c r="R2597" s="2" t="s">
        <v>26</v>
      </c>
      <c r="S2597" s="9">
        <f t="shared" si="204"/>
        <v>0.05</v>
      </c>
    </row>
    <row r="2598" spans="1:19" x14ac:dyDescent="0.25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e">
        <f>VLOOKUP('Customer Info'!A2590,'Customer Info'!A2590:I3089,2,FALSE)</f>
        <v>#N/A</v>
      </c>
      <c r="H2598" s="6" t="e">
        <f>VLOOKUP('Customer Info'!A2590,'Customer Info'!A2590:I3090,3,FALSE)</f>
        <v>#N/A</v>
      </c>
      <c r="I2598" s="6" t="e">
        <f>VLOOKUP('Customer Info'!A2590,'Customer Info'!A2590:I3089,5,FALSE)</f>
        <v>#N/A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533</v>
      </c>
      <c r="R2598" s="2" t="s">
        <v>26</v>
      </c>
      <c r="S2598" s="9">
        <f t="shared" si="204"/>
        <v>0.05</v>
      </c>
    </row>
    <row r="2599" spans="1:19" x14ac:dyDescent="0.25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e">
        <f>VLOOKUP('Customer Info'!A2591,'Customer Info'!A2591:I3090,2,FALSE)</f>
        <v>#N/A</v>
      </c>
      <c r="H2599" s="6" t="e">
        <f>VLOOKUP('Customer Info'!A2591,'Customer Info'!A2591:I3091,3,FALSE)</f>
        <v>#N/A</v>
      </c>
      <c r="I2599" s="6" t="e">
        <f>VLOOKUP('Customer Info'!A2591,'Customer Info'!A2591:I3090,5,FALSE)</f>
        <v>#N/A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1954</v>
      </c>
      <c r="R2599" s="2" t="s">
        <v>28</v>
      </c>
      <c r="S2599" s="9">
        <f t="shared" si="204"/>
        <v>7.0000000000000007E-2</v>
      </c>
    </row>
    <row r="2600" spans="1:19" x14ac:dyDescent="0.25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e">
        <f>VLOOKUP('Customer Info'!A2592,'Customer Info'!A2592:I3091,2,FALSE)</f>
        <v>#N/A</v>
      </c>
      <c r="H2600" s="6" t="e">
        <f>VLOOKUP('Customer Info'!A2592,'Customer Info'!A2592:I3092,3,FALSE)</f>
        <v>#N/A</v>
      </c>
      <c r="I2600" s="6" t="e">
        <f>VLOOKUP('Customer Info'!A2592,'Customer Info'!A2592:I3091,5,FALSE)</f>
        <v>#N/A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54</v>
      </c>
      <c r="R2600" s="2" t="s">
        <v>50</v>
      </c>
      <c r="S2600" s="9">
        <f t="shared" si="204"/>
        <v>0.02</v>
      </c>
    </row>
    <row r="2601" spans="1:19" x14ac:dyDescent="0.25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e">
        <f>VLOOKUP('Customer Info'!A2593,'Customer Info'!A2593:I3092,2,FALSE)</f>
        <v>#N/A</v>
      </c>
      <c r="H2601" s="6" t="e">
        <f>VLOOKUP('Customer Info'!A2593,'Customer Info'!A2593:I3093,3,FALSE)</f>
        <v>#N/A</v>
      </c>
      <c r="I2601" s="6" t="e">
        <f>VLOOKUP('Customer Info'!A2593,'Customer Info'!A2593:I3092,5,FALSE)</f>
        <v>#N/A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1450</v>
      </c>
      <c r="R2601" s="2" t="s">
        <v>50</v>
      </c>
      <c r="S2601" s="9">
        <f t="shared" si="204"/>
        <v>0.05</v>
      </c>
    </row>
    <row r="2602" spans="1:19" x14ac:dyDescent="0.25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e">
        <f>VLOOKUP('Customer Info'!A2594,'Customer Info'!A2594:I3093,2,FALSE)</f>
        <v>#N/A</v>
      </c>
      <c r="H2602" s="6" t="e">
        <f>VLOOKUP('Customer Info'!A2594,'Customer Info'!A2594:I3094,3,FALSE)</f>
        <v>#N/A</v>
      </c>
      <c r="I2602" s="6" t="e">
        <f>VLOOKUP('Customer Info'!A2594,'Customer Info'!A2594:I3093,5,FALSE)</f>
        <v>#N/A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1282</v>
      </c>
      <c r="R2602" s="2" t="s">
        <v>50</v>
      </c>
      <c r="S2602" s="9">
        <f t="shared" si="204"/>
        <v>0.05</v>
      </c>
    </row>
    <row r="2603" spans="1:19" x14ac:dyDescent="0.25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e">
        <f>VLOOKUP('Customer Info'!A2595,'Customer Info'!A2595:I3094,2,FALSE)</f>
        <v>#N/A</v>
      </c>
      <c r="H2603" s="6" t="e">
        <f>VLOOKUP('Customer Info'!A2595,'Customer Info'!A2595:I3095,3,FALSE)</f>
        <v>#N/A</v>
      </c>
      <c r="I2603" s="6" t="e">
        <f>VLOOKUP('Customer Info'!A2595,'Customer Info'!A2595:I3094,5,FALSE)</f>
        <v>#N/A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446</v>
      </c>
      <c r="R2603" s="2" t="s">
        <v>28</v>
      </c>
      <c r="S2603" s="9">
        <f t="shared" si="204"/>
        <v>0.05</v>
      </c>
    </row>
    <row r="2604" spans="1:19" x14ac:dyDescent="0.25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e">
        <f>VLOOKUP('Customer Info'!A2596,'Customer Info'!A2596:I3095,2,FALSE)</f>
        <v>#N/A</v>
      </c>
      <c r="H2604" s="6" t="e">
        <f>VLOOKUP('Customer Info'!A2596,'Customer Info'!A2596:I3096,3,FALSE)</f>
        <v>#N/A</v>
      </c>
      <c r="I2604" s="6" t="e">
        <f>VLOOKUP('Customer Info'!A2596,'Customer Info'!A2596:I3095,5,FALSE)</f>
        <v>#N/A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345</v>
      </c>
      <c r="R2604" s="2" t="s">
        <v>28</v>
      </c>
      <c r="S2604" s="9">
        <f t="shared" si="204"/>
        <v>0.05</v>
      </c>
    </row>
    <row r="2605" spans="1:19" x14ac:dyDescent="0.25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e">
        <f>VLOOKUP('Customer Info'!A2597,'Customer Info'!A2597:I3096,2,FALSE)</f>
        <v>#N/A</v>
      </c>
      <c r="H2605" s="6" t="e">
        <f>VLOOKUP('Customer Info'!A2597,'Customer Info'!A2597:I3097,3,FALSE)</f>
        <v>#N/A</v>
      </c>
      <c r="I2605" s="6" t="e">
        <f>VLOOKUP('Customer Info'!A2597,'Customer Info'!A2597:I3096,5,FALSE)</f>
        <v>#N/A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702</v>
      </c>
      <c r="R2605" s="2" t="s">
        <v>50</v>
      </c>
      <c r="S2605" s="9">
        <f t="shared" si="204"/>
        <v>0.05</v>
      </c>
    </row>
    <row r="2606" spans="1:19" x14ac:dyDescent="0.25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e">
        <f>VLOOKUP('Customer Info'!A2598,'Customer Info'!A2598:I3097,2,FALSE)</f>
        <v>#N/A</v>
      </c>
      <c r="H2606" s="6" t="e">
        <f>VLOOKUP('Customer Info'!A2598,'Customer Info'!A2598:I3098,3,FALSE)</f>
        <v>#N/A</v>
      </c>
      <c r="I2606" s="6" t="e">
        <f>VLOOKUP('Customer Info'!A2598,'Customer Info'!A2598:I3097,5,FALSE)</f>
        <v>#N/A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26</v>
      </c>
      <c r="R2606" s="2" t="s">
        <v>28</v>
      </c>
      <c r="S2606" s="9">
        <f t="shared" si="204"/>
        <v>0.02</v>
      </c>
    </row>
    <row r="2607" spans="1:19" x14ac:dyDescent="0.25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e">
        <f>VLOOKUP('Customer Info'!A2599,'Customer Info'!A2599:I3098,2,FALSE)</f>
        <v>#N/A</v>
      </c>
      <c r="H2607" s="6" t="e">
        <f>VLOOKUP('Customer Info'!A2599,'Customer Info'!A2599:I3099,3,FALSE)</f>
        <v>#N/A</v>
      </c>
      <c r="I2607" s="6" t="e">
        <f>VLOOKUP('Customer Info'!A2599,'Customer Info'!A2599:I3098,5,FALSE)</f>
        <v>#N/A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537</v>
      </c>
      <c r="R2607" s="2" t="s">
        <v>50</v>
      </c>
      <c r="S2607" s="9">
        <f t="shared" si="204"/>
        <v>0.05</v>
      </c>
    </row>
    <row r="2608" spans="1:19" x14ac:dyDescent="0.25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e">
        <f>VLOOKUP('Customer Info'!A2600,'Customer Info'!A2600:I3099,2,FALSE)</f>
        <v>#N/A</v>
      </c>
      <c r="H2608" s="6" t="e">
        <f>VLOOKUP('Customer Info'!A2600,'Customer Info'!A2600:I3100,3,FALSE)</f>
        <v>#N/A</v>
      </c>
      <c r="I2608" s="6" t="e">
        <f>VLOOKUP('Customer Info'!A2600,'Customer Info'!A2600:I3099,5,FALSE)</f>
        <v>#N/A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512</v>
      </c>
      <c r="R2608" s="2" t="s">
        <v>28</v>
      </c>
      <c r="S2608" s="9">
        <f t="shared" si="204"/>
        <v>0.05</v>
      </c>
    </row>
    <row r="2609" spans="1:19" x14ac:dyDescent="0.25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e">
        <f>VLOOKUP('Customer Info'!A2601,'Customer Info'!A2601:I3100,2,FALSE)</f>
        <v>#N/A</v>
      </c>
      <c r="H2609" s="6" t="e">
        <f>VLOOKUP('Customer Info'!A2601,'Customer Info'!A2601:I3101,3,FALSE)</f>
        <v>#N/A</v>
      </c>
      <c r="I2609" s="6" t="e">
        <f>VLOOKUP('Customer Info'!A2601,'Customer Info'!A2601:I3100,5,FALSE)</f>
        <v>#N/A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1665</v>
      </c>
      <c r="R2609" s="2" t="s">
        <v>28</v>
      </c>
      <c r="S2609" s="9">
        <f t="shared" si="204"/>
        <v>0.05</v>
      </c>
    </row>
    <row r="2610" spans="1:19" x14ac:dyDescent="0.25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e">
        <f>VLOOKUP('Customer Info'!A2602,'Customer Info'!A2602:I3101,2,FALSE)</f>
        <v>#N/A</v>
      </c>
      <c r="H2610" s="6" t="e">
        <f>VLOOKUP('Customer Info'!A2602,'Customer Info'!A2602:I3102,3,FALSE)</f>
        <v>#N/A</v>
      </c>
      <c r="I2610" s="6" t="e">
        <f>VLOOKUP('Customer Info'!A2602,'Customer Info'!A2602:I3101,5,FALSE)</f>
        <v>#N/A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509</v>
      </c>
      <c r="R2610" s="2" t="s">
        <v>28</v>
      </c>
      <c r="S2610" s="9">
        <f t="shared" si="204"/>
        <v>0.05</v>
      </c>
    </row>
    <row r="2611" spans="1:19" x14ac:dyDescent="0.25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e">
        <f>VLOOKUP('Customer Info'!A2603,'Customer Info'!A2603:I3102,2,FALSE)</f>
        <v>#N/A</v>
      </c>
      <c r="H2611" s="6" t="e">
        <f>VLOOKUP('Customer Info'!A2603,'Customer Info'!A2603:I3103,3,FALSE)</f>
        <v>#N/A</v>
      </c>
      <c r="I2611" s="6" t="e">
        <f>VLOOKUP('Customer Info'!A2603,'Customer Info'!A2603:I3102,5,FALSE)</f>
        <v>#N/A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317</v>
      </c>
      <c r="R2611" s="2" t="s">
        <v>28</v>
      </c>
      <c r="S2611" s="9">
        <f t="shared" si="204"/>
        <v>0.02</v>
      </c>
    </row>
    <row r="2612" spans="1:19" x14ac:dyDescent="0.25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e">
        <f>VLOOKUP('Customer Info'!A2604,'Customer Info'!A2604:I3103,2,FALSE)</f>
        <v>#N/A</v>
      </c>
      <c r="H2612" s="6" t="e">
        <f>VLOOKUP('Customer Info'!A2604,'Customer Info'!A2604:I3104,3,FALSE)</f>
        <v>#N/A</v>
      </c>
      <c r="I2612" s="6" t="e">
        <f>VLOOKUP('Customer Info'!A2604,'Customer Info'!A2604:I3103,5,FALSE)</f>
        <v>#N/A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2068</v>
      </c>
      <c r="R2612" s="2" t="s">
        <v>28</v>
      </c>
      <c r="S2612" s="9">
        <f t="shared" si="204"/>
        <v>0.05</v>
      </c>
    </row>
    <row r="2613" spans="1:19" x14ac:dyDescent="0.25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e">
        <f>VLOOKUP('Customer Info'!A2605,'Customer Info'!A2605:I3104,2,FALSE)</f>
        <v>#N/A</v>
      </c>
      <c r="H2613" s="6" t="e">
        <f>VLOOKUP('Customer Info'!A2605,'Customer Info'!A2605:I3105,3,FALSE)</f>
        <v>#N/A</v>
      </c>
      <c r="I2613" s="6" t="e">
        <f>VLOOKUP('Customer Info'!A2605,'Customer Info'!A2605:I3104,5,FALSE)</f>
        <v>#N/A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54</v>
      </c>
      <c r="R2613" s="2" t="s">
        <v>28</v>
      </c>
      <c r="S2613" s="9">
        <f t="shared" si="204"/>
        <v>0.02</v>
      </c>
    </row>
    <row r="2614" spans="1:19" x14ac:dyDescent="0.25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e">
        <f>VLOOKUP('Customer Info'!A2606,'Customer Info'!A2606:I3105,2,FALSE)</f>
        <v>#N/A</v>
      </c>
      <c r="H2614" s="6" t="e">
        <f>VLOOKUP('Customer Info'!A2606,'Customer Info'!A2606:I3106,3,FALSE)</f>
        <v>#N/A</v>
      </c>
      <c r="I2614" s="6" t="e">
        <f>VLOOKUP('Customer Info'!A2606,'Customer Info'!A2606:I3105,5,FALSE)</f>
        <v>#N/A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422</v>
      </c>
      <c r="R2614" s="2" t="s">
        <v>50</v>
      </c>
      <c r="S2614" s="9">
        <f t="shared" si="204"/>
        <v>0.02</v>
      </c>
    </row>
    <row r="2615" spans="1:19" x14ac:dyDescent="0.25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e">
        <f>VLOOKUP('Customer Info'!A2607,'Customer Info'!A2607:I3106,2,FALSE)</f>
        <v>#N/A</v>
      </c>
      <c r="H2615" s="6" t="e">
        <f>VLOOKUP('Customer Info'!A2607,'Customer Info'!A2607:I3107,3,FALSE)</f>
        <v>#N/A</v>
      </c>
      <c r="I2615" s="6" t="e">
        <f>VLOOKUP('Customer Info'!A2607,'Customer Info'!A2607:I3106,5,FALSE)</f>
        <v>#N/A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2044</v>
      </c>
      <c r="R2615" s="2" t="s">
        <v>50</v>
      </c>
      <c r="S2615" s="9">
        <f t="shared" si="204"/>
        <v>0.05</v>
      </c>
    </row>
    <row r="2616" spans="1:19" x14ac:dyDescent="0.25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e">
        <f>VLOOKUP('Customer Info'!A2608,'Customer Info'!A2608:I3107,2,FALSE)</f>
        <v>#N/A</v>
      </c>
      <c r="H2616" s="6" t="e">
        <f>VLOOKUP('Customer Info'!A2608,'Customer Info'!A2608:I3108,3,FALSE)</f>
        <v>#N/A</v>
      </c>
      <c r="I2616" s="6" t="e">
        <f>VLOOKUP('Customer Info'!A2608,'Customer Info'!A2608:I3107,5,FALSE)</f>
        <v>#N/A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509</v>
      </c>
      <c r="R2616" s="2" t="s">
        <v>26</v>
      </c>
      <c r="S2616" s="9">
        <f t="shared" si="204"/>
        <v>0.05</v>
      </c>
    </row>
    <row r="2617" spans="1:19" x14ac:dyDescent="0.25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e">
        <f>VLOOKUP('Customer Info'!A2609,'Customer Info'!A2609:I3108,2,FALSE)</f>
        <v>#N/A</v>
      </c>
      <c r="H2617" s="6" t="e">
        <f>VLOOKUP('Customer Info'!A2609,'Customer Info'!A2609:I3109,3,FALSE)</f>
        <v>#N/A</v>
      </c>
      <c r="I2617" s="6" t="e">
        <f>VLOOKUP('Customer Info'!A2609,'Customer Info'!A2609:I3108,5,FALSE)</f>
        <v>#N/A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307</v>
      </c>
      <c r="R2617" s="2" t="s">
        <v>28</v>
      </c>
      <c r="S2617" s="9">
        <f t="shared" si="204"/>
        <v>0.02</v>
      </c>
    </row>
    <row r="2618" spans="1:19" x14ac:dyDescent="0.25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e">
        <f>VLOOKUP('Customer Info'!A2610,'Customer Info'!A2610:I3109,2,FALSE)</f>
        <v>#N/A</v>
      </c>
      <c r="H2618" s="6" t="e">
        <f>VLOOKUP('Customer Info'!A2610,'Customer Info'!A2610:I3110,3,FALSE)</f>
        <v>#N/A</v>
      </c>
      <c r="I2618" s="6" t="e">
        <f>VLOOKUP('Customer Info'!A2610,'Customer Info'!A2610:I3109,5,FALSE)</f>
        <v>#N/A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2727</v>
      </c>
      <c r="R2618" s="2" t="s">
        <v>28</v>
      </c>
      <c r="S2618" s="9">
        <f t="shared" si="204"/>
        <v>7.0000000000000007E-2</v>
      </c>
    </row>
    <row r="2619" spans="1:19" x14ac:dyDescent="0.25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e">
        <f>VLOOKUP('Customer Info'!A2611,'Customer Info'!A2611:I3110,2,FALSE)</f>
        <v>#N/A</v>
      </c>
      <c r="H2619" s="6" t="e">
        <f>VLOOKUP('Customer Info'!A2611,'Customer Info'!A2611:I3111,3,FALSE)</f>
        <v>#N/A</v>
      </c>
      <c r="I2619" s="6" t="e">
        <f>VLOOKUP('Customer Info'!A2611,'Customer Info'!A2611:I3110,5,FALSE)</f>
        <v>#N/A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3966</v>
      </c>
      <c r="R2619" s="2" t="s">
        <v>28</v>
      </c>
      <c r="S2619" s="9">
        <f t="shared" si="204"/>
        <v>0.09</v>
      </c>
    </row>
    <row r="2620" spans="1:19" x14ac:dyDescent="0.25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e">
        <f>VLOOKUP('Customer Info'!A2612,'Customer Info'!A2612:I3111,2,FALSE)</f>
        <v>#N/A</v>
      </c>
      <c r="H2620" s="6" t="e">
        <f>VLOOKUP('Customer Info'!A2612,'Customer Info'!A2612:I3112,3,FALSE)</f>
        <v>#N/A</v>
      </c>
      <c r="I2620" s="6" t="e">
        <f>VLOOKUP('Customer Info'!A2612,'Customer Info'!A2612:I3111,5,FALSE)</f>
        <v>#N/A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431</v>
      </c>
      <c r="R2620" s="2" t="s">
        <v>28</v>
      </c>
      <c r="S2620" s="9">
        <f t="shared" si="204"/>
        <v>0.05</v>
      </c>
    </row>
    <row r="2621" spans="1:19" x14ac:dyDescent="0.25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e">
        <f>VLOOKUP('Customer Info'!A2613,'Customer Info'!A2613:I3112,2,FALSE)</f>
        <v>#N/A</v>
      </c>
      <c r="H2621" s="6" t="e">
        <f>VLOOKUP('Customer Info'!A2613,'Customer Info'!A2613:I3113,3,FALSE)</f>
        <v>#N/A</v>
      </c>
      <c r="I2621" s="6" t="e">
        <f>VLOOKUP('Customer Info'!A2613,'Customer Info'!A2613:I3112,5,FALSE)</f>
        <v>#N/A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240</v>
      </c>
      <c r="R2621" s="2" t="s">
        <v>28</v>
      </c>
      <c r="S2621" s="9">
        <f t="shared" si="204"/>
        <v>0.02</v>
      </c>
    </row>
    <row r="2622" spans="1:19" x14ac:dyDescent="0.25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e">
        <f>VLOOKUP('Customer Info'!A2614,'Customer Info'!A2614:I3113,2,FALSE)</f>
        <v>#N/A</v>
      </c>
      <c r="H2622" s="6" t="e">
        <f>VLOOKUP('Customer Info'!A2614,'Customer Info'!A2614:I3114,3,FALSE)</f>
        <v>#N/A</v>
      </c>
      <c r="I2622" s="6" t="e">
        <f>VLOOKUP('Customer Info'!A2614,'Customer Info'!A2614:I3113,5,FALSE)</f>
        <v>#N/A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387</v>
      </c>
      <c r="R2622" s="2" t="s">
        <v>56</v>
      </c>
      <c r="S2622" s="9">
        <f t="shared" si="204"/>
        <v>0.05</v>
      </c>
    </row>
    <row r="2623" spans="1:19" x14ac:dyDescent="0.25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e">
        <f>VLOOKUP('Customer Info'!A2615,'Customer Info'!A2615:I3114,2,FALSE)</f>
        <v>#N/A</v>
      </c>
      <c r="H2623" s="6" t="e">
        <f>VLOOKUP('Customer Info'!A2615,'Customer Info'!A2615:I3115,3,FALSE)</f>
        <v>#N/A</v>
      </c>
      <c r="I2623" s="6" t="e">
        <f>VLOOKUP('Customer Info'!A2615,'Customer Info'!A2615:I3114,5,FALSE)</f>
        <v>#N/A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25</v>
      </c>
      <c r="R2623" s="2" t="s">
        <v>28</v>
      </c>
      <c r="S2623" s="9">
        <f t="shared" si="204"/>
        <v>0.02</v>
      </c>
    </row>
    <row r="2624" spans="1:19" x14ac:dyDescent="0.25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e">
        <f>VLOOKUP('Customer Info'!A2616,'Customer Info'!A2616:I3115,2,FALSE)</f>
        <v>#N/A</v>
      </c>
      <c r="H2624" s="6" t="e">
        <f>VLOOKUP('Customer Info'!A2616,'Customer Info'!A2616:I3116,3,FALSE)</f>
        <v>#N/A</v>
      </c>
      <c r="I2624" s="6" t="e">
        <f>VLOOKUP('Customer Info'!A2616,'Customer Info'!A2616:I3115,5,FALSE)</f>
        <v>#N/A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93</v>
      </c>
      <c r="R2624" s="2" t="s">
        <v>28</v>
      </c>
      <c r="S2624" s="9">
        <f t="shared" si="204"/>
        <v>0.02</v>
      </c>
    </row>
    <row r="2625" spans="1:19" x14ac:dyDescent="0.25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e">
        <f>VLOOKUP('Customer Info'!A2617,'Customer Info'!A2617:I3116,2,FALSE)</f>
        <v>#N/A</v>
      </c>
      <c r="H2625" s="6" t="e">
        <f>VLOOKUP('Customer Info'!A2617,'Customer Info'!A2617:I3117,3,FALSE)</f>
        <v>#N/A</v>
      </c>
      <c r="I2625" s="6" t="e">
        <f>VLOOKUP('Customer Info'!A2617,'Customer Info'!A2617:I3116,5,FALSE)</f>
        <v>#N/A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359</v>
      </c>
      <c r="R2625" s="2" t="s">
        <v>28</v>
      </c>
      <c r="S2625" s="9">
        <f t="shared" si="204"/>
        <v>0.05</v>
      </c>
    </row>
    <row r="2626" spans="1:19" x14ac:dyDescent="0.25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e">
        <f>VLOOKUP('Customer Info'!A2618,'Customer Info'!A2618:I3117,2,FALSE)</f>
        <v>#N/A</v>
      </c>
      <c r="H2626" s="6" t="e">
        <f>VLOOKUP('Customer Info'!A2618,'Customer Info'!A2618:I3118,3,FALSE)</f>
        <v>#N/A</v>
      </c>
      <c r="I2626" s="6" t="e">
        <f>VLOOKUP('Customer Info'!A2618,'Customer Info'!A2618:I3117,5,FALSE)</f>
        <v>#N/A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56</v>
      </c>
      <c r="R2626" s="2" t="s">
        <v>28</v>
      </c>
      <c r="S2626" s="9">
        <f t="shared" si="204"/>
        <v>0.02</v>
      </c>
    </row>
    <row r="2627" spans="1:19" x14ac:dyDescent="0.25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e">
        <f>VLOOKUP('Customer Info'!A2619,'Customer Info'!A2619:I3118,2,FALSE)</f>
        <v>#N/A</v>
      </c>
      <c r="H2627" s="6" t="e">
        <f>VLOOKUP('Customer Info'!A2619,'Customer Info'!A2619:I3119,3,FALSE)</f>
        <v>#N/A</v>
      </c>
      <c r="I2627" s="6" t="e">
        <f>VLOOKUP('Customer Info'!A2619,'Customer Info'!A2619:I3118,5,FALSE)</f>
        <v>#N/A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3430</v>
      </c>
      <c r="R2627" s="2" t="s">
        <v>28</v>
      </c>
      <c r="S2627" s="9">
        <f t="shared" si="204"/>
        <v>7.0000000000000007E-2</v>
      </c>
    </row>
    <row r="2628" spans="1:19" x14ac:dyDescent="0.25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e">
        <f>VLOOKUP('Customer Info'!A2620,'Customer Info'!A2620:I3119,2,FALSE)</f>
        <v>#N/A</v>
      </c>
      <c r="H2628" s="6" t="e">
        <f>VLOOKUP('Customer Info'!A2620,'Customer Info'!A2620:I3120,3,FALSE)</f>
        <v>#N/A</v>
      </c>
      <c r="I2628" s="6" t="e">
        <f>VLOOKUP('Customer Info'!A2620,'Customer Info'!A2620:I3119,5,FALSE)</f>
        <v>#N/A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7010</v>
      </c>
      <c r="R2628" s="2" t="s">
        <v>50</v>
      </c>
      <c r="S2628" s="9">
        <f t="shared" si="204"/>
        <v>0.12</v>
      </c>
    </row>
    <row r="2629" spans="1:19" x14ac:dyDescent="0.25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e">
        <f>VLOOKUP('Customer Info'!A2621,'Customer Info'!A2621:I3120,2,FALSE)</f>
        <v>#N/A</v>
      </c>
      <c r="H2629" s="6" t="e">
        <f>VLOOKUP('Customer Info'!A2621,'Customer Info'!A2621:I3121,3,FALSE)</f>
        <v>#N/A</v>
      </c>
      <c r="I2629" s="6" t="e">
        <f>VLOOKUP('Customer Info'!A2621,'Customer Info'!A2621:I3120,5,FALSE)</f>
        <v>#N/A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291</v>
      </c>
      <c r="R2629" s="2" t="s">
        <v>50</v>
      </c>
      <c r="S2629" s="9">
        <f t="shared" si="204"/>
        <v>0.05</v>
      </c>
    </row>
    <row r="2630" spans="1:19" x14ac:dyDescent="0.25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e">
        <f>VLOOKUP('Customer Info'!A2622,'Customer Info'!A2622:I3121,2,FALSE)</f>
        <v>#N/A</v>
      </c>
      <c r="H2630" s="6" t="e">
        <f>VLOOKUP('Customer Info'!A2622,'Customer Info'!A2622:I3122,3,FALSE)</f>
        <v>#N/A</v>
      </c>
      <c r="I2630" s="6" t="e">
        <f>VLOOKUP('Customer Info'!A2622,'Customer Info'!A2622:I3121,5,FALSE)</f>
        <v>#N/A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739</v>
      </c>
      <c r="R2630" s="2" t="s">
        <v>28</v>
      </c>
      <c r="S2630" s="9">
        <f t="shared" si="204"/>
        <v>0.05</v>
      </c>
    </row>
    <row r="2631" spans="1:19" x14ac:dyDescent="0.25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e">
        <f>VLOOKUP('Customer Info'!A2623,'Customer Info'!A2623:I3122,2,FALSE)</f>
        <v>#N/A</v>
      </c>
      <c r="H2631" s="6" t="e">
        <f>VLOOKUP('Customer Info'!A2623,'Customer Info'!A2623:I3123,3,FALSE)</f>
        <v>#N/A</v>
      </c>
      <c r="I2631" s="6" t="e">
        <f>VLOOKUP('Customer Info'!A2623,'Customer Info'!A2623:I3122,5,FALSE)</f>
        <v>#N/A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16</v>
      </c>
      <c r="R2631" s="2" t="s">
        <v>50</v>
      </c>
      <c r="S2631" s="9">
        <f t="shared" si="204"/>
        <v>0.02</v>
      </c>
    </row>
    <row r="2632" spans="1:19" x14ac:dyDescent="0.25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e">
        <f>VLOOKUP('Customer Info'!A2624,'Customer Info'!A2624:I3123,2,FALSE)</f>
        <v>#N/A</v>
      </c>
      <c r="H2632" s="6" t="e">
        <f>VLOOKUP('Customer Info'!A2624,'Customer Info'!A2624:I3124,3,FALSE)</f>
        <v>#N/A</v>
      </c>
      <c r="I2632" s="6" t="e">
        <f>VLOOKUP('Customer Info'!A2624,'Customer Info'!A2624:I3123,5,FALSE)</f>
        <v>#N/A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363</v>
      </c>
      <c r="R2632" s="2" t="s">
        <v>50</v>
      </c>
      <c r="S2632" s="9">
        <f t="shared" si="204"/>
        <v>0.05</v>
      </c>
    </row>
    <row r="2633" spans="1:19" x14ac:dyDescent="0.25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e">
        <f>VLOOKUP('Customer Info'!A2625,'Customer Info'!A2625:I3124,2,FALSE)</f>
        <v>#N/A</v>
      </c>
      <c r="H2633" s="6" t="e">
        <f>VLOOKUP('Customer Info'!A2625,'Customer Info'!A2625:I3125,3,FALSE)</f>
        <v>#N/A</v>
      </c>
      <c r="I2633" s="6" t="e">
        <f>VLOOKUP('Customer Info'!A2625,'Customer Info'!A2625:I3124,5,FALSE)</f>
        <v>#N/A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402</v>
      </c>
      <c r="R2633" s="2" t="s">
        <v>28</v>
      </c>
      <c r="S2633" s="9">
        <f t="shared" si="204"/>
        <v>0.02</v>
      </c>
    </row>
    <row r="2634" spans="1:19" x14ac:dyDescent="0.25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e">
        <f>VLOOKUP('Customer Info'!A2626,'Customer Info'!A2626:I3125,2,FALSE)</f>
        <v>#N/A</v>
      </c>
      <c r="H2634" s="6" t="e">
        <f>VLOOKUP('Customer Info'!A2626,'Customer Info'!A2626:I3126,3,FALSE)</f>
        <v>#N/A</v>
      </c>
      <c r="I2634" s="6" t="e">
        <f>VLOOKUP('Customer Info'!A2626,'Customer Info'!A2626:I3125,5,FALSE)</f>
        <v>#N/A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22</v>
      </c>
      <c r="R2634" s="2" t="s">
        <v>50</v>
      </c>
      <c r="S2634" s="9">
        <f t="shared" si="204"/>
        <v>0.02</v>
      </c>
    </row>
    <row r="2635" spans="1:19" x14ac:dyDescent="0.25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e">
        <f>VLOOKUP('Customer Info'!A2627,'Customer Info'!A2627:I3126,2,FALSE)</f>
        <v>#N/A</v>
      </c>
      <c r="H2635" s="6" t="e">
        <f>VLOOKUP('Customer Info'!A2627,'Customer Info'!A2627:I3127,3,FALSE)</f>
        <v>#N/A</v>
      </c>
      <c r="I2635" s="6" t="e">
        <f>VLOOKUP('Customer Info'!A2627,'Customer Info'!A2627:I3126,5,FALSE)</f>
        <v>#N/A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8">
        <f t="shared" ref="P2635:P2698" si="207">N2635+O2635</f>
        <v>1722</v>
      </c>
      <c r="Q2635" s="8">
        <f t="shared" ref="Q2635:Q2698" si="208">P2635-M2635</f>
        <v>131</v>
      </c>
      <c r="R2635" s="2" t="s">
        <v>50</v>
      </c>
      <c r="S2635" s="9">
        <f t="shared" ref="S2635:S2698" si="209">VLOOKUP(P2635,$T$2:$U$7,2,TRUE)</f>
        <v>0.02</v>
      </c>
    </row>
    <row r="2636" spans="1:19" x14ac:dyDescent="0.25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e">
        <f>VLOOKUP('Customer Info'!A2628,'Customer Info'!A2628:I3127,2,FALSE)</f>
        <v>#N/A</v>
      </c>
      <c r="H2636" s="6" t="e">
        <f>VLOOKUP('Customer Info'!A2628,'Customer Info'!A2628:I3128,3,FALSE)</f>
        <v>#N/A</v>
      </c>
      <c r="I2636" s="6" t="e">
        <f>VLOOKUP('Customer Info'!A2628,'Customer Info'!A2628:I3127,5,FALSE)</f>
        <v>#N/A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933</v>
      </c>
      <c r="R2636" s="2" t="s">
        <v>28</v>
      </c>
      <c r="S2636" s="9">
        <f t="shared" si="209"/>
        <v>0.05</v>
      </c>
    </row>
    <row r="2637" spans="1:19" x14ac:dyDescent="0.25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e">
        <f>VLOOKUP('Customer Info'!A2629,'Customer Info'!A2629:I3128,2,FALSE)</f>
        <v>#N/A</v>
      </c>
      <c r="H2637" s="6" t="e">
        <f>VLOOKUP('Customer Info'!A2629,'Customer Info'!A2629:I3129,3,FALSE)</f>
        <v>#N/A</v>
      </c>
      <c r="I2637" s="6" t="e">
        <f>VLOOKUP('Customer Info'!A2629,'Customer Info'!A2629:I3128,5,FALSE)</f>
        <v>#N/A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347</v>
      </c>
      <c r="R2637" s="2" t="s">
        <v>28</v>
      </c>
      <c r="S2637" s="9">
        <f t="shared" si="209"/>
        <v>0.05</v>
      </c>
    </row>
    <row r="2638" spans="1:19" x14ac:dyDescent="0.25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e">
        <f>VLOOKUP('Customer Info'!A2630,'Customer Info'!A2630:I3129,2,FALSE)</f>
        <v>#N/A</v>
      </c>
      <c r="H2638" s="6" t="e">
        <f>VLOOKUP('Customer Info'!A2630,'Customer Info'!A2630:I3130,3,FALSE)</f>
        <v>#N/A</v>
      </c>
      <c r="I2638" s="6" t="e">
        <f>VLOOKUP('Customer Info'!A2630,'Customer Info'!A2630:I3129,5,FALSE)</f>
        <v>#N/A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98</v>
      </c>
      <c r="R2638" s="2" t="s">
        <v>28</v>
      </c>
      <c r="S2638" s="9">
        <f t="shared" si="209"/>
        <v>0.02</v>
      </c>
    </row>
    <row r="2639" spans="1:19" x14ac:dyDescent="0.25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e">
        <f>VLOOKUP('Customer Info'!A2631,'Customer Info'!A2631:I3130,2,FALSE)</f>
        <v>#N/A</v>
      </c>
      <c r="H2639" s="6" t="e">
        <f>VLOOKUP('Customer Info'!A2631,'Customer Info'!A2631:I3131,3,FALSE)</f>
        <v>#N/A</v>
      </c>
      <c r="I2639" s="6" t="e">
        <f>VLOOKUP('Customer Info'!A2631,'Customer Info'!A2631:I3130,5,FALSE)</f>
        <v>#N/A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462</v>
      </c>
      <c r="R2639" s="2" t="s">
        <v>50</v>
      </c>
      <c r="S2639" s="9">
        <f t="shared" si="209"/>
        <v>0.05</v>
      </c>
    </row>
    <row r="2640" spans="1:19" x14ac:dyDescent="0.25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e">
        <f>VLOOKUP('Customer Info'!A2632,'Customer Info'!A2632:I3131,2,FALSE)</f>
        <v>#N/A</v>
      </c>
      <c r="H2640" s="6" t="e">
        <f>VLOOKUP('Customer Info'!A2632,'Customer Info'!A2632:I3132,3,FALSE)</f>
        <v>#N/A</v>
      </c>
      <c r="I2640" s="6" t="e">
        <f>VLOOKUP('Customer Info'!A2632,'Customer Info'!A2632:I3131,5,FALSE)</f>
        <v>#N/A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132</v>
      </c>
      <c r="R2640" s="2" t="s">
        <v>50</v>
      </c>
      <c r="S2640" s="9">
        <f t="shared" si="209"/>
        <v>0.02</v>
      </c>
    </row>
    <row r="2641" spans="1:19" x14ac:dyDescent="0.25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e">
        <f>VLOOKUP('Customer Info'!A2633,'Customer Info'!A2633:I3132,2,FALSE)</f>
        <v>#N/A</v>
      </c>
      <c r="H2641" s="6" t="e">
        <f>VLOOKUP('Customer Info'!A2633,'Customer Info'!A2633:I3133,3,FALSE)</f>
        <v>#N/A</v>
      </c>
      <c r="I2641" s="6" t="e">
        <f>VLOOKUP('Customer Info'!A2633,'Customer Info'!A2633:I3132,5,FALSE)</f>
        <v>#N/A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48</v>
      </c>
      <c r="R2641" s="2" t="s">
        <v>28</v>
      </c>
      <c r="S2641" s="9">
        <f t="shared" si="209"/>
        <v>0.02</v>
      </c>
    </row>
    <row r="2642" spans="1:19" x14ac:dyDescent="0.25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e">
        <f>VLOOKUP('Customer Info'!A2634,'Customer Info'!A2634:I3133,2,FALSE)</f>
        <v>#N/A</v>
      </c>
      <c r="H2642" s="6" t="e">
        <f>VLOOKUP('Customer Info'!A2634,'Customer Info'!A2634:I3134,3,FALSE)</f>
        <v>#N/A</v>
      </c>
      <c r="I2642" s="6" t="e">
        <f>VLOOKUP('Customer Info'!A2634,'Customer Info'!A2634:I3133,5,FALSE)</f>
        <v>#N/A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298</v>
      </c>
      <c r="R2642" s="2" t="s">
        <v>28</v>
      </c>
      <c r="S2642" s="9">
        <f t="shared" si="209"/>
        <v>0.05</v>
      </c>
    </row>
    <row r="2643" spans="1:19" x14ac:dyDescent="0.25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e">
        <f>VLOOKUP('Customer Info'!A2635,'Customer Info'!A2635:I3134,2,FALSE)</f>
        <v>#N/A</v>
      </c>
      <c r="H2643" s="6" t="e">
        <f>VLOOKUP('Customer Info'!A2635,'Customer Info'!A2635:I3135,3,FALSE)</f>
        <v>#N/A</v>
      </c>
      <c r="I2643" s="6" t="e">
        <f>VLOOKUP('Customer Info'!A2635,'Customer Info'!A2635:I3134,5,FALSE)</f>
        <v>#N/A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3865</v>
      </c>
      <c r="R2643" s="2" t="s">
        <v>28</v>
      </c>
      <c r="S2643" s="9">
        <f t="shared" si="209"/>
        <v>7.0000000000000007E-2</v>
      </c>
    </row>
    <row r="2644" spans="1:19" x14ac:dyDescent="0.25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e">
        <f>VLOOKUP('Customer Info'!A2636,'Customer Info'!A2636:I3135,2,FALSE)</f>
        <v>#N/A</v>
      </c>
      <c r="H2644" s="6" t="e">
        <f>VLOOKUP('Customer Info'!A2636,'Customer Info'!A2636:I3136,3,FALSE)</f>
        <v>#N/A</v>
      </c>
      <c r="I2644" s="6" t="e">
        <f>VLOOKUP('Customer Info'!A2636,'Customer Info'!A2636:I3135,5,FALSE)</f>
        <v>#N/A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54</v>
      </c>
      <c r="R2644" s="2" t="s">
        <v>28</v>
      </c>
      <c r="S2644" s="9">
        <f t="shared" si="209"/>
        <v>0.02</v>
      </c>
    </row>
    <row r="2645" spans="1:19" x14ac:dyDescent="0.25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e">
        <f>VLOOKUP('Customer Info'!A2637,'Customer Info'!A2637:I3136,2,FALSE)</f>
        <v>#N/A</v>
      </c>
      <c r="H2645" s="6" t="e">
        <f>VLOOKUP('Customer Info'!A2637,'Customer Info'!A2637:I3137,3,FALSE)</f>
        <v>#N/A</v>
      </c>
      <c r="I2645" s="6" t="e">
        <f>VLOOKUP('Customer Info'!A2637,'Customer Info'!A2637:I3136,5,FALSE)</f>
        <v>#N/A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710</v>
      </c>
      <c r="R2645" s="2" t="s">
        <v>26</v>
      </c>
      <c r="S2645" s="9">
        <f t="shared" si="209"/>
        <v>0.05</v>
      </c>
    </row>
    <row r="2646" spans="1:19" x14ac:dyDescent="0.25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e">
        <f>VLOOKUP('Customer Info'!A2638,'Customer Info'!A2638:I3137,2,FALSE)</f>
        <v>#N/A</v>
      </c>
      <c r="H2646" s="6" t="e">
        <f>VLOOKUP('Customer Info'!A2638,'Customer Info'!A2638:I3138,3,FALSE)</f>
        <v>#N/A</v>
      </c>
      <c r="I2646" s="6" t="e">
        <f>VLOOKUP('Customer Info'!A2638,'Customer Info'!A2638:I3137,5,FALSE)</f>
        <v>#N/A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748</v>
      </c>
      <c r="R2646" s="2" t="s">
        <v>28</v>
      </c>
      <c r="S2646" s="9">
        <f t="shared" si="209"/>
        <v>0.05</v>
      </c>
    </row>
    <row r="2647" spans="1:19" x14ac:dyDescent="0.25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e">
        <f>VLOOKUP('Customer Info'!A2639,'Customer Info'!A2639:I3138,2,FALSE)</f>
        <v>#N/A</v>
      </c>
      <c r="H2647" s="6" t="e">
        <f>VLOOKUP('Customer Info'!A2639,'Customer Info'!A2639:I3139,3,FALSE)</f>
        <v>#N/A</v>
      </c>
      <c r="I2647" s="6" t="e">
        <f>VLOOKUP('Customer Info'!A2639,'Customer Info'!A2639:I3138,5,FALSE)</f>
        <v>#N/A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48</v>
      </c>
      <c r="R2647" s="2" t="s">
        <v>50</v>
      </c>
      <c r="S2647" s="9">
        <f t="shared" si="209"/>
        <v>0.02</v>
      </c>
    </row>
    <row r="2648" spans="1:19" x14ac:dyDescent="0.25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e">
        <f>VLOOKUP('Customer Info'!A2640,'Customer Info'!A2640:I3139,2,FALSE)</f>
        <v>#N/A</v>
      </c>
      <c r="H2648" s="6" t="e">
        <f>VLOOKUP('Customer Info'!A2640,'Customer Info'!A2640:I3140,3,FALSE)</f>
        <v>#N/A</v>
      </c>
      <c r="I2648" s="6" t="e">
        <f>VLOOKUP('Customer Info'!A2640,'Customer Info'!A2640:I3139,5,FALSE)</f>
        <v>#N/A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308</v>
      </c>
      <c r="R2648" s="2" t="s">
        <v>28</v>
      </c>
      <c r="S2648" s="9">
        <f t="shared" si="209"/>
        <v>0.02</v>
      </c>
    </row>
    <row r="2649" spans="1:19" x14ac:dyDescent="0.25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e">
        <f>VLOOKUP('Customer Info'!A2641,'Customer Info'!A2641:I3140,2,FALSE)</f>
        <v>#N/A</v>
      </c>
      <c r="H2649" s="6" t="e">
        <f>VLOOKUP('Customer Info'!A2641,'Customer Info'!A2641:I3141,3,FALSE)</f>
        <v>#N/A</v>
      </c>
      <c r="I2649" s="6" t="e">
        <f>VLOOKUP('Customer Info'!A2641,'Customer Info'!A2641:I3140,5,FALSE)</f>
        <v>#N/A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306</v>
      </c>
      <c r="R2649" s="2" t="s">
        <v>50</v>
      </c>
      <c r="S2649" s="9">
        <f t="shared" si="209"/>
        <v>0.02</v>
      </c>
    </row>
    <row r="2650" spans="1:19" x14ac:dyDescent="0.25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e">
        <f>VLOOKUP('Customer Info'!A2642,'Customer Info'!A2642:I3141,2,FALSE)</f>
        <v>#N/A</v>
      </c>
      <c r="H2650" s="6" t="e">
        <f>VLOOKUP('Customer Info'!A2642,'Customer Info'!A2642:I3142,3,FALSE)</f>
        <v>#N/A</v>
      </c>
      <c r="I2650" s="6" t="e">
        <f>VLOOKUP('Customer Info'!A2642,'Customer Info'!A2642:I3141,5,FALSE)</f>
        <v>#N/A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867</v>
      </c>
      <c r="R2650" s="2" t="s">
        <v>28</v>
      </c>
      <c r="S2650" s="9">
        <f t="shared" si="209"/>
        <v>0.05</v>
      </c>
    </row>
    <row r="2651" spans="1:19" x14ac:dyDescent="0.25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e">
        <f>VLOOKUP('Customer Info'!A2643,'Customer Info'!A2643:I3142,2,FALSE)</f>
        <v>#N/A</v>
      </c>
      <c r="H2651" s="6" t="e">
        <f>VLOOKUP('Customer Info'!A2643,'Customer Info'!A2643:I3143,3,FALSE)</f>
        <v>#N/A</v>
      </c>
      <c r="I2651" s="6" t="e">
        <f>VLOOKUP('Customer Info'!A2643,'Customer Info'!A2643:I3142,5,FALSE)</f>
        <v>#N/A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695</v>
      </c>
      <c r="R2651" s="2" t="s">
        <v>50</v>
      </c>
      <c r="S2651" s="9">
        <f t="shared" si="209"/>
        <v>0.05</v>
      </c>
    </row>
    <row r="2652" spans="1:19" x14ac:dyDescent="0.25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e">
        <f>VLOOKUP('Customer Info'!A2644,'Customer Info'!A2644:I3143,2,FALSE)</f>
        <v>#N/A</v>
      </c>
      <c r="H2652" s="6" t="e">
        <f>VLOOKUP('Customer Info'!A2644,'Customer Info'!A2644:I3144,3,FALSE)</f>
        <v>#N/A</v>
      </c>
      <c r="I2652" s="6" t="e">
        <f>VLOOKUP('Customer Info'!A2644,'Customer Info'!A2644:I3143,5,FALSE)</f>
        <v>#N/A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160</v>
      </c>
      <c r="R2652" s="2" t="s">
        <v>28</v>
      </c>
      <c r="S2652" s="9">
        <f t="shared" si="209"/>
        <v>0.02</v>
      </c>
    </row>
    <row r="2653" spans="1:19" x14ac:dyDescent="0.25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e">
        <f>VLOOKUP('Customer Info'!A2645,'Customer Info'!A2645:I3144,2,FALSE)</f>
        <v>#N/A</v>
      </c>
      <c r="H2653" s="6" t="e">
        <f>VLOOKUP('Customer Info'!A2645,'Customer Info'!A2645:I3145,3,FALSE)</f>
        <v>#N/A</v>
      </c>
      <c r="I2653" s="6" t="e">
        <f>VLOOKUP('Customer Info'!A2645,'Customer Info'!A2645:I3144,5,FALSE)</f>
        <v>#N/A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578</v>
      </c>
      <c r="R2653" s="2" t="s">
        <v>28</v>
      </c>
      <c r="S2653" s="9">
        <f t="shared" si="209"/>
        <v>0.05</v>
      </c>
    </row>
    <row r="2654" spans="1:19" x14ac:dyDescent="0.25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e">
        <f>VLOOKUP('Customer Info'!A2646,'Customer Info'!A2646:I3145,2,FALSE)</f>
        <v>#N/A</v>
      </c>
      <c r="H2654" s="6" t="e">
        <f>VLOOKUP('Customer Info'!A2646,'Customer Info'!A2646:I3146,3,FALSE)</f>
        <v>#N/A</v>
      </c>
      <c r="I2654" s="6" t="e">
        <f>VLOOKUP('Customer Info'!A2646,'Customer Info'!A2646:I3145,5,FALSE)</f>
        <v>#N/A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332</v>
      </c>
      <c r="R2654" s="2" t="s">
        <v>50</v>
      </c>
      <c r="S2654" s="9">
        <f t="shared" si="209"/>
        <v>0.05</v>
      </c>
    </row>
    <row r="2655" spans="1:19" x14ac:dyDescent="0.25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e">
        <f>VLOOKUP('Customer Info'!A2647,'Customer Info'!A2647:I3146,2,FALSE)</f>
        <v>#N/A</v>
      </c>
      <c r="H2655" s="6" t="e">
        <f>VLOOKUP('Customer Info'!A2647,'Customer Info'!A2647:I3147,3,FALSE)</f>
        <v>#N/A</v>
      </c>
      <c r="I2655" s="6" t="e">
        <f>VLOOKUP('Customer Info'!A2647,'Customer Info'!A2647:I3146,5,FALSE)</f>
        <v>#N/A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1743</v>
      </c>
      <c r="R2655" s="2" t="s">
        <v>28</v>
      </c>
      <c r="S2655" s="9">
        <f t="shared" si="209"/>
        <v>0.05</v>
      </c>
    </row>
    <row r="2656" spans="1:19" x14ac:dyDescent="0.25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e">
        <f>VLOOKUP('Customer Info'!A2648,'Customer Info'!A2648:I3147,2,FALSE)</f>
        <v>#N/A</v>
      </c>
      <c r="H2656" s="6" t="e">
        <f>VLOOKUP('Customer Info'!A2648,'Customer Info'!A2648:I3148,3,FALSE)</f>
        <v>#N/A</v>
      </c>
      <c r="I2656" s="6" t="e">
        <f>VLOOKUP('Customer Info'!A2648,'Customer Info'!A2648:I3147,5,FALSE)</f>
        <v>#N/A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229</v>
      </c>
      <c r="R2656" s="2" t="s">
        <v>28</v>
      </c>
      <c r="S2656" s="9">
        <f t="shared" si="209"/>
        <v>0.02</v>
      </c>
    </row>
    <row r="2657" spans="1:19" x14ac:dyDescent="0.25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e">
        <f>VLOOKUP('Customer Info'!A2649,'Customer Info'!A2649:I3148,2,FALSE)</f>
        <v>#N/A</v>
      </c>
      <c r="H2657" s="6" t="e">
        <f>VLOOKUP('Customer Info'!A2649,'Customer Info'!A2649:I3149,3,FALSE)</f>
        <v>#N/A</v>
      </c>
      <c r="I2657" s="6" t="e">
        <f>VLOOKUP('Customer Info'!A2649,'Customer Info'!A2649:I3148,5,FALSE)</f>
        <v>#N/A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3402</v>
      </c>
      <c r="R2657" s="2" t="s">
        <v>28</v>
      </c>
      <c r="S2657" s="9">
        <f t="shared" si="209"/>
        <v>7.0000000000000007E-2</v>
      </c>
    </row>
    <row r="2658" spans="1:19" x14ac:dyDescent="0.25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e">
        <f>VLOOKUP('Customer Info'!A2650,'Customer Info'!A2650:I3149,2,FALSE)</f>
        <v>#N/A</v>
      </c>
      <c r="H2658" s="6" t="e">
        <f>VLOOKUP('Customer Info'!A2650,'Customer Info'!A2650:I3150,3,FALSE)</f>
        <v>#N/A</v>
      </c>
      <c r="I2658" s="6" t="e">
        <f>VLOOKUP('Customer Info'!A2650,'Customer Info'!A2650:I3149,5,FALSE)</f>
        <v>#N/A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991</v>
      </c>
      <c r="R2658" s="2" t="s">
        <v>28</v>
      </c>
      <c r="S2658" s="9">
        <f t="shared" si="209"/>
        <v>0.05</v>
      </c>
    </row>
    <row r="2659" spans="1:19" x14ac:dyDescent="0.25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e">
        <f>VLOOKUP('Customer Info'!A2651,'Customer Info'!A2651:I3150,2,FALSE)</f>
        <v>#N/A</v>
      </c>
      <c r="H2659" s="6" t="e">
        <f>VLOOKUP('Customer Info'!A2651,'Customer Info'!A2651:I3151,3,FALSE)</f>
        <v>#N/A</v>
      </c>
      <c r="I2659" s="6" t="e">
        <f>VLOOKUP('Customer Info'!A2651,'Customer Info'!A2651:I3150,5,FALSE)</f>
        <v>#N/A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4234</v>
      </c>
      <c r="R2659" s="2" t="s">
        <v>28</v>
      </c>
      <c r="S2659" s="9">
        <f t="shared" si="209"/>
        <v>0.09</v>
      </c>
    </row>
    <row r="2660" spans="1:19" x14ac:dyDescent="0.25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e">
        <f>VLOOKUP('Customer Info'!A2652,'Customer Info'!A2652:I3151,2,FALSE)</f>
        <v>#N/A</v>
      </c>
      <c r="H2660" s="6" t="e">
        <f>VLOOKUP('Customer Info'!A2652,'Customer Info'!A2652:I3152,3,FALSE)</f>
        <v>#N/A</v>
      </c>
      <c r="I2660" s="6" t="e">
        <f>VLOOKUP('Customer Info'!A2652,'Customer Info'!A2652:I3151,5,FALSE)</f>
        <v>#N/A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38</v>
      </c>
      <c r="R2660" s="2" t="s">
        <v>50</v>
      </c>
      <c r="S2660" s="9">
        <f t="shared" si="209"/>
        <v>0.02</v>
      </c>
    </row>
    <row r="2661" spans="1:19" x14ac:dyDescent="0.25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e">
        <f>VLOOKUP('Customer Info'!A2653,'Customer Info'!A2653:I3152,2,FALSE)</f>
        <v>#N/A</v>
      </c>
      <c r="H2661" s="6" t="e">
        <f>VLOOKUP('Customer Info'!A2653,'Customer Info'!A2653:I3153,3,FALSE)</f>
        <v>#N/A</v>
      </c>
      <c r="I2661" s="6" t="e">
        <f>VLOOKUP('Customer Info'!A2653,'Customer Info'!A2653:I3152,5,FALSE)</f>
        <v>#N/A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1022</v>
      </c>
      <c r="R2661" s="2" t="s">
        <v>28</v>
      </c>
      <c r="S2661" s="9">
        <f t="shared" si="209"/>
        <v>0.05</v>
      </c>
    </row>
    <row r="2662" spans="1:19" x14ac:dyDescent="0.25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e">
        <f>VLOOKUP('Customer Info'!A2654,'Customer Info'!A2654:I3153,2,FALSE)</f>
        <v>#N/A</v>
      </c>
      <c r="H2662" s="6" t="e">
        <f>VLOOKUP('Customer Info'!A2654,'Customer Info'!A2654:I3154,3,FALSE)</f>
        <v>#N/A</v>
      </c>
      <c r="I2662" s="6" t="e">
        <f>VLOOKUP('Customer Info'!A2654,'Customer Info'!A2654:I3153,5,FALSE)</f>
        <v>#N/A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326</v>
      </c>
      <c r="R2662" s="2" t="s">
        <v>28</v>
      </c>
      <c r="S2662" s="9">
        <f t="shared" si="209"/>
        <v>0.02</v>
      </c>
    </row>
    <row r="2663" spans="1:19" x14ac:dyDescent="0.25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e">
        <f>VLOOKUP('Customer Info'!A2655,'Customer Info'!A2655:I3154,2,FALSE)</f>
        <v>#N/A</v>
      </c>
      <c r="H2663" s="6" t="e">
        <f>VLOOKUP('Customer Info'!A2655,'Customer Info'!A2655:I3155,3,FALSE)</f>
        <v>#N/A</v>
      </c>
      <c r="I2663" s="6" t="e">
        <f>VLOOKUP('Customer Info'!A2655,'Customer Info'!A2655:I3154,5,FALSE)</f>
        <v>#N/A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4065</v>
      </c>
      <c r="R2663" s="2" t="s">
        <v>50</v>
      </c>
      <c r="S2663" s="9">
        <f t="shared" si="209"/>
        <v>7.0000000000000007E-2</v>
      </c>
    </row>
    <row r="2664" spans="1:19" x14ac:dyDescent="0.25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e">
        <f>VLOOKUP('Customer Info'!A2656,'Customer Info'!A2656:I3155,2,FALSE)</f>
        <v>#N/A</v>
      </c>
      <c r="H2664" s="6" t="e">
        <f>VLOOKUP('Customer Info'!A2656,'Customer Info'!A2656:I3156,3,FALSE)</f>
        <v>#N/A</v>
      </c>
      <c r="I2664" s="6" t="e">
        <f>VLOOKUP('Customer Info'!A2656,'Customer Info'!A2656:I3155,5,FALSE)</f>
        <v>#N/A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48</v>
      </c>
      <c r="R2664" s="2" t="s">
        <v>28</v>
      </c>
      <c r="S2664" s="9">
        <f t="shared" si="209"/>
        <v>0.02</v>
      </c>
    </row>
    <row r="2665" spans="1:19" x14ac:dyDescent="0.25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e">
        <f>VLOOKUP('Customer Info'!A2657,'Customer Info'!A2657:I3156,2,FALSE)</f>
        <v>#N/A</v>
      </c>
      <c r="H2665" s="6" t="e">
        <f>VLOOKUP('Customer Info'!A2657,'Customer Info'!A2657:I3157,3,FALSE)</f>
        <v>#N/A</v>
      </c>
      <c r="I2665" s="6" t="e">
        <f>VLOOKUP('Customer Info'!A2657,'Customer Info'!A2657:I3156,5,FALSE)</f>
        <v>#N/A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38</v>
      </c>
      <c r="R2665" s="2" t="s">
        <v>28</v>
      </c>
      <c r="S2665" s="9">
        <f t="shared" si="209"/>
        <v>0.02</v>
      </c>
    </row>
    <row r="2666" spans="1:19" x14ac:dyDescent="0.25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e">
        <f>VLOOKUP('Customer Info'!A2658,'Customer Info'!A2658:I3157,2,FALSE)</f>
        <v>#N/A</v>
      </c>
      <c r="H2666" s="6" t="e">
        <f>VLOOKUP('Customer Info'!A2658,'Customer Info'!A2658:I3158,3,FALSE)</f>
        <v>#N/A</v>
      </c>
      <c r="I2666" s="6" t="e">
        <f>VLOOKUP('Customer Info'!A2658,'Customer Info'!A2658:I3157,5,FALSE)</f>
        <v>#N/A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422</v>
      </c>
      <c r="R2666" s="2" t="s">
        <v>28</v>
      </c>
      <c r="S2666" s="9">
        <f t="shared" si="209"/>
        <v>0.02</v>
      </c>
    </row>
    <row r="2667" spans="1:19" x14ac:dyDescent="0.25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e">
        <f>VLOOKUP('Customer Info'!A2659,'Customer Info'!A2659:I3158,2,FALSE)</f>
        <v>#N/A</v>
      </c>
      <c r="H2667" s="6" t="e">
        <f>VLOOKUP('Customer Info'!A2659,'Customer Info'!A2659:I3159,3,FALSE)</f>
        <v>#N/A</v>
      </c>
      <c r="I2667" s="6" t="e">
        <f>VLOOKUP('Customer Info'!A2659,'Customer Info'!A2659:I3158,5,FALSE)</f>
        <v>#N/A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31</v>
      </c>
      <c r="R2667" s="2" t="s">
        <v>28</v>
      </c>
      <c r="S2667" s="9">
        <f t="shared" si="209"/>
        <v>0.02</v>
      </c>
    </row>
    <row r="2668" spans="1:19" x14ac:dyDescent="0.25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e">
        <f>VLOOKUP('Customer Info'!A2660,'Customer Info'!A2660:I3159,2,FALSE)</f>
        <v>#N/A</v>
      </c>
      <c r="H2668" s="6" t="e">
        <f>VLOOKUP('Customer Info'!A2660,'Customer Info'!A2660:I3160,3,FALSE)</f>
        <v>#N/A</v>
      </c>
      <c r="I2668" s="6" t="e">
        <f>VLOOKUP('Customer Info'!A2660,'Customer Info'!A2660:I3159,5,FALSE)</f>
        <v>#N/A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269</v>
      </c>
      <c r="R2668" s="2" t="s">
        <v>28</v>
      </c>
      <c r="S2668" s="9">
        <f t="shared" si="209"/>
        <v>0.02</v>
      </c>
    </row>
    <row r="2669" spans="1:19" x14ac:dyDescent="0.25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e">
        <f>VLOOKUP('Customer Info'!A2661,'Customer Info'!A2661:I3160,2,FALSE)</f>
        <v>#N/A</v>
      </c>
      <c r="H2669" s="6" t="e">
        <f>VLOOKUP('Customer Info'!A2661,'Customer Info'!A2661:I3161,3,FALSE)</f>
        <v>#N/A</v>
      </c>
      <c r="I2669" s="6" t="e">
        <f>VLOOKUP('Customer Info'!A2661,'Customer Info'!A2661:I3160,5,FALSE)</f>
        <v>#N/A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31</v>
      </c>
      <c r="R2669" s="2" t="s">
        <v>26</v>
      </c>
      <c r="S2669" s="9">
        <f t="shared" si="209"/>
        <v>0.02</v>
      </c>
    </row>
    <row r="2670" spans="1:19" x14ac:dyDescent="0.25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e">
        <f>VLOOKUP('Customer Info'!A2662,'Customer Info'!A2662:I3161,2,FALSE)</f>
        <v>#N/A</v>
      </c>
      <c r="H2670" s="6" t="e">
        <f>VLOOKUP('Customer Info'!A2662,'Customer Info'!A2662:I3162,3,FALSE)</f>
        <v>#N/A</v>
      </c>
      <c r="I2670" s="6" t="e">
        <f>VLOOKUP('Customer Info'!A2662,'Customer Info'!A2662:I3161,5,FALSE)</f>
        <v>#N/A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409</v>
      </c>
      <c r="R2670" s="2" t="s">
        <v>28</v>
      </c>
      <c r="S2670" s="9">
        <f t="shared" si="209"/>
        <v>0.05</v>
      </c>
    </row>
    <row r="2671" spans="1:19" x14ac:dyDescent="0.25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e">
        <f>VLOOKUP('Customer Info'!A2663,'Customer Info'!A2663:I3162,2,FALSE)</f>
        <v>#N/A</v>
      </c>
      <c r="H2671" s="6" t="e">
        <f>VLOOKUP('Customer Info'!A2663,'Customer Info'!A2663:I3163,3,FALSE)</f>
        <v>#N/A</v>
      </c>
      <c r="I2671" s="6" t="e">
        <f>VLOOKUP('Customer Info'!A2663,'Customer Info'!A2663:I3162,5,FALSE)</f>
        <v>#N/A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358</v>
      </c>
      <c r="R2671" s="2" t="s">
        <v>28</v>
      </c>
      <c r="S2671" s="9">
        <f t="shared" si="209"/>
        <v>0.05</v>
      </c>
    </row>
    <row r="2672" spans="1:19" x14ac:dyDescent="0.25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e">
        <f>VLOOKUP('Customer Info'!A2664,'Customer Info'!A2664:I3163,2,FALSE)</f>
        <v>#N/A</v>
      </c>
      <c r="H2672" s="6" t="e">
        <f>VLOOKUP('Customer Info'!A2664,'Customer Info'!A2664:I3164,3,FALSE)</f>
        <v>#N/A</v>
      </c>
      <c r="I2672" s="6" t="e">
        <f>VLOOKUP('Customer Info'!A2664,'Customer Info'!A2664:I3163,5,FALSE)</f>
        <v>#N/A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315</v>
      </c>
      <c r="R2672" s="2" t="s">
        <v>56</v>
      </c>
      <c r="S2672" s="9">
        <f t="shared" si="209"/>
        <v>0.02</v>
      </c>
    </row>
    <row r="2673" spans="1:19" x14ac:dyDescent="0.25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e">
        <f>VLOOKUP('Customer Info'!A2665,'Customer Info'!A2665:I3164,2,FALSE)</f>
        <v>#N/A</v>
      </c>
      <c r="H2673" s="6" t="e">
        <f>VLOOKUP('Customer Info'!A2665,'Customer Info'!A2665:I3165,3,FALSE)</f>
        <v>#N/A</v>
      </c>
      <c r="I2673" s="6" t="e">
        <f>VLOOKUP('Customer Info'!A2665,'Customer Info'!A2665:I3164,5,FALSE)</f>
        <v>#N/A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852</v>
      </c>
      <c r="R2673" s="2" t="s">
        <v>50</v>
      </c>
      <c r="S2673" s="9">
        <f t="shared" si="209"/>
        <v>0.05</v>
      </c>
    </row>
    <row r="2674" spans="1:19" x14ac:dyDescent="0.25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e">
        <f>VLOOKUP('Customer Info'!A2666,'Customer Info'!A2666:I3165,2,FALSE)</f>
        <v>#N/A</v>
      </c>
      <c r="H2674" s="6" t="e">
        <f>VLOOKUP('Customer Info'!A2666,'Customer Info'!A2666:I3166,3,FALSE)</f>
        <v>#N/A</v>
      </c>
      <c r="I2674" s="6" t="e">
        <f>VLOOKUP('Customer Info'!A2666,'Customer Info'!A2666:I3165,5,FALSE)</f>
        <v>#N/A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660</v>
      </c>
      <c r="R2674" s="2" t="s">
        <v>28</v>
      </c>
      <c r="S2674" s="9">
        <f t="shared" si="209"/>
        <v>0.05</v>
      </c>
    </row>
    <row r="2675" spans="1:19" x14ac:dyDescent="0.25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e">
        <f>VLOOKUP('Customer Info'!A2667,'Customer Info'!A2667:I3166,2,FALSE)</f>
        <v>#N/A</v>
      </c>
      <c r="H2675" s="6" t="e">
        <f>VLOOKUP('Customer Info'!A2667,'Customer Info'!A2667:I3167,3,FALSE)</f>
        <v>#N/A</v>
      </c>
      <c r="I2675" s="6" t="e">
        <f>VLOOKUP('Customer Info'!A2667,'Customer Info'!A2667:I3166,5,FALSE)</f>
        <v>#N/A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2417</v>
      </c>
      <c r="R2675" s="2" t="s">
        <v>50</v>
      </c>
      <c r="S2675" s="9">
        <f t="shared" si="209"/>
        <v>0.09</v>
      </c>
    </row>
    <row r="2676" spans="1:19" x14ac:dyDescent="0.25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e">
        <f>VLOOKUP('Customer Info'!A2668,'Customer Info'!A2668:I3167,2,FALSE)</f>
        <v>#N/A</v>
      </c>
      <c r="H2676" s="6" t="e">
        <f>VLOOKUP('Customer Info'!A2668,'Customer Info'!A2668:I3168,3,FALSE)</f>
        <v>#N/A</v>
      </c>
      <c r="I2676" s="6" t="e">
        <f>VLOOKUP('Customer Info'!A2668,'Customer Info'!A2668:I3167,5,FALSE)</f>
        <v>#N/A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165</v>
      </c>
      <c r="R2676" s="2" t="s">
        <v>28</v>
      </c>
      <c r="S2676" s="9">
        <f t="shared" si="209"/>
        <v>0.02</v>
      </c>
    </row>
    <row r="2677" spans="1:19" x14ac:dyDescent="0.25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e">
        <f>VLOOKUP('Customer Info'!A2669,'Customer Info'!A2669:I3168,2,FALSE)</f>
        <v>#N/A</v>
      </c>
      <c r="H2677" s="6" t="e">
        <f>VLOOKUP('Customer Info'!A2669,'Customer Info'!A2669:I3169,3,FALSE)</f>
        <v>#N/A</v>
      </c>
      <c r="I2677" s="6" t="e">
        <f>VLOOKUP('Customer Info'!A2669,'Customer Info'!A2669:I3168,5,FALSE)</f>
        <v>#N/A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220</v>
      </c>
      <c r="R2677" s="2" t="s">
        <v>26</v>
      </c>
      <c r="S2677" s="9">
        <f t="shared" si="209"/>
        <v>0.05</v>
      </c>
    </row>
    <row r="2678" spans="1:19" x14ac:dyDescent="0.25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e">
        <f>VLOOKUP('Customer Info'!A2670,'Customer Info'!A2670:I3169,2,FALSE)</f>
        <v>#N/A</v>
      </c>
      <c r="H2678" s="6" t="e">
        <f>VLOOKUP('Customer Info'!A2670,'Customer Info'!A2670:I3170,3,FALSE)</f>
        <v>#N/A</v>
      </c>
      <c r="I2678" s="6" t="e">
        <f>VLOOKUP('Customer Info'!A2670,'Customer Info'!A2670:I3169,5,FALSE)</f>
        <v>#N/A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244</v>
      </c>
      <c r="R2678" s="2" t="s">
        <v>50</v>
      </c>
      <c r="S2678" s="9">
        <f t="shared" si="209"/>
        <v>0.02</v>
      </c>
    </row>
    <row r="2679" spans="1:19" x14ac:dyDescent="0.25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e">
        <f>VLOOKUP('Customer Info'!A2671,'Customer Info'!A2671:I3170,2,FALSE)</f>
        <v>#N/A</v>
      </c>
      <c r="H2679" s="6" t="e">
        <f>VLOOKUP('Customer Info'!A2671,'Customer Info'!A2671:I3171,3,FALSE)</f>
        <v>#N/A</v>
      </c>
      <c r="I2679" s="6" t="e">
        <f>VLOOKUP('Customer Info'!A2671,'Customer Info'!A2671:I3170,5,FALSE)</f>
        <v>#N/A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284</v>
      </c>
      <c r="R2679" s="2" t="s">
        <v>50</v>
      </c>
      <c r="S2679" s="9">
        <f t="shared" si="209"/>
        <v>0.05</v>
      </c>
    </row>
    <row r="2680" spans="1:19" x14ac:dyDescent="0.25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e">
        <f>VLOOKUP('Customer Info'!A2672,'Customer Info'!A2672:I3171,2,FALSE)</f>
        <v>#N/A</v>
      </c>
      <c r="H2680" s="6" t="e">
        <f>VLOOKUP('Customer Info'!A2672,'Customer Info'!A2672:I3172,3,FALSE)</f>
        <v>#N/A</v>
      </c>
      <c r="I2680" s="6" t="e">
        <f>VLOOKUP('Customer Info'!A2672,'Customer Info'!A2672:I3171,5,FALSE)</f>
        <v>#N/A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114</v>
      </c>
      <c r="R2680" s="2" t="s">
        <v>28</v>
      </c>
      <c r="S2680" s="9">
        <f t="shared" si="209"/>
        <v>0.02</v>
      </c>
    </row>
    <row r="2681" spans="1:19" x14ac:dyDescent="0.25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e">
        <f>VLOOKUP('Customer Info'!A2673,'Customer Info'!A2673:I3172,2,FALSE)</f>
        <v>#N/A</v>
      </c>
      <c r="H2681" s="6" t="e">
        <f>VLOOKUP('Customer Info'!A2673,'Customer Info'!A2673:I3173,3,FALSE)</f>
        <v>#N/A</v>
      </c>
      <c r="I2681" s="6" t="e">
        <f>VLOOKUP('Customer Info'!A2673,'Customer Info'!A2673:I3172,5,FALSE)</f>
        <v>#N/A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533</v>
      </c>
      <c r="R2681" s="2" t="s">
        <v>28</v>
      </c>
      <c r="S2681" s="9">
        <f t="shared" si="209"/>
        <v>0.05</v>
      </c>
    </row>
    <row r="2682" spans="1:19" x14ac:dyDescent="0.25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e">
        <f>VLOOKUP('Customer Info'!A2674,'Customer Info'!A2674:I3173,2,FALSE)</f>
        <v>#N/A</v>
      </c>
      <c r="H2682" s="6" t="e">
        <f>VLOOKUP('Customer Info'!A2674,'Customer Info'!A2674:I3174,3,FALSE)</f>
        <v>#N/A</v>
      </c>
      <c r="I2682" s="6" t="e">
        <f>VLOOKUP('Customer Info'!A2674,'Customer Info'!A2674:I3173,5,FALSE)</f>
        <v>#N/A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1874</v>
      </c>
      <c r="R2682" s="2" t="s">
        <v>28</v>
      </c>
      <c r="S2682" s="9">
        <f t="shared" si="209"/>
        <v>7.0000000000000007E-2</v>
      </c>
    </row>
    <row r="2683" spans="1:19" x14ac:dyDescent="0.25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e">
        <f>VLOOKUP('Customer Info'!A2675,'Customer Info'!A2675:I3174,2,FALSE)</f>
        <v>#N/A</v>
      </c>
      <c r="H2683" s="6" t="e">
        <f>VLOOKUP('Customer Info'!A2675,'Customer Info'!A2675:I3175,3,FALSE)</f>
        <v>#N/A</v>
      </c>
      <c r="I2683" s="6" t="e">
        <f>VLOOKUP('Customer Info'!A2675,'Customer Info'!A2675:I3174,5,FALSE)</f>
        <v>#N/A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1195</v>
      </c>
      <c r="R2683" s="2" t="s">
        <v>28</v>
      </c>
      <c r="S2683" s="9">
        <f t="shared" si="209"/>
        <v>0.05</v>
      </c>
    </row>
    <row r="2684" spans="1:19" x14ac:dyDescent="0.25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e">
        <f>VLOOKUP('Customer Info'!A2676,'Customer Info'!A2676:I3175,2,FALSE)</f>
        <v>#N/A</v>
      </c>
      <c r="H2684" s="6" t="e">
        <f>VLOOKUP('Customer Info'!A2676,'Customer Info'!A2676:I3176,3,FALSE)</f>
        <v>#N/A</v>
      </c>
      <c r="I2684" s="6" t="e">
        <f>VLOOKUP('Customer Info'!A2676,'Customer Info'!A2676:I3175,5,FALSE)</f>
        <v>#N/A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48</v>
      </c>
      <c r="R2684" s="2" t="s">
        <v>28</v>
      </c>
      <c r="S2684" s="9">
        <f t="shared" si="209"/>
        <v>0.02</v>
      </c>
    </row>
    <row r="2685" spans="1:19" x14ac:dyDescent="0.25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e">
        <f>VLOOKUP('Customer Info'!A2677,'Customer Info'!A2677:I3176,2,FALSE)</f>
        <v>#N/A</v>
      </c>
      <c r="H2685" s="6" t="e">
        <f>VLOOKUP('Customer Info'!A2677,'Customer Info'!A2677:I3177,3,FALSE)</f>
        <v>#N/A</v>
      </c>
      <c r="I2685" s="6" t="e">
        <f>VLOOKUP('Customer Info'!A2677,'Customer Info'!A2677:I3176,5,FALSE)</f>
        <v>#N/A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1900</v>
      </c>
      <c r="R2685" s="2" t="s">
        <v>28</v>
      </c>
      <c r="S2685" s="9">
        <f t="shared" si="209"/>
        <v>0.05</v>
      </c>
    </row>
    <row r="2686" spans="1:19" x14ac:dyDescent="0.25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e">
        <f>VLOOKUP('Customer Info'!A2678,'Customer Info'!A2678:I3177,2,FALSE)</f>
        <v>#N/A</v>
      </c>
      <c r="H2686" s="6" t="e">
        <f>VLOOKUP('Customer Info'!A2678,'Customer Info'!A2678:I3178,3,FALSE)</f>
        <v>#N/A</v>
      </c>
      <c r="I2686" s="6" t="e">
        <f>VLOOKUP('Customer Info'!A2678,'Customer Info'!A2678:I3177,5,FALSE)</f>
        <v>#N/A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430</v>
      </c>
      <c r="R2686" s="2" t="s">
        <v>56</v>
      </c>
      <c r="S2686" s="9">
        <f t="shared" si="209"/>
        <v>0.05</v>
      </c>
    </row>
    <row r="2687" spans="1:19" x14ac:dyDescent="0.25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e">
        <f>VLOOKUP('Customer Info'!A2679,'Customer Info'!A2679:I3178,2,FALSE)</f>
        <v>#N/A</v>
      </c>
      <c r="H2687" s="6" t="e">
        <f>VLOOKUP('Customer Info'!A2679,'Customer Info'!A2679:I3179,3,FALSE)</f>
        <v>#N/A</v>
      </c>
      <c r="I2687" s="6" t="e">
        <f>VLOOKUP('Customer Info'!A2679,'Customer Info'!A2679:I3178,5,FALSE)</f>
        <v>#N/A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871</v>
      </c>
      <c r="R2687" s="2" t="s">
        <v>50</v>
      </c>
      <c r="S2687" s="9">
        <f t="shared" si="209"/>
        <v>0.05</v>
      </c>
    </row>
    <row r="2688" spans="1:19" x14ac:dyDescent="0.25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e">
        <f>VLOOKUP('Customer Info'!A2680,'Customer Info'!A2680:I3179,2,FALSE)</f>
        <v>#N/A</v>
      </c>
      <c r="H2688" s="6" t="e">
        <f>VLOOKUP('Customer Info'!A2680,'Customer Info'!A2680:I3180,3,FALSE)</f>
        <v>#N/A</v>
      </c>
      <c r="I2688" s="6" t="e">
        <f>VLOOKUP('Customer Info'!A2680,'Customer Info'!A2680:I3179,5,FALSE)</f>
        <v>#N/A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232</v>
      </c>
      <c r="R2688" s="2" t="s">
        <v>56</v>
      </c>
      <c r="S2688" s="9">
        <f t="shared" si="209"/>
        <v>0.02</v>
      </c>
    </row>
    <row r="2689" spans="1:19" x14ac:dyDescent="0.25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e">
        <f>VLOOKUP('Customer Info'!A2681,'Customer Info'!A2681:I3180,2,FALSE)</f>
        <v>#N/A</v>
      </c>
      <c r="H2689" s="6" t="e">
        <f>VLOOKUP('Customer Info'!A2681,'Customer Info'!A2681:I3181,3,FALSE)</f>
        <v>#N/A</v>
      </c>
      <c r="I2689" s="6" t="e">
        <f>VLOOKUP('Customer Info'!A2681,'Customer Info'!A2681:I3180,5,FALSE)</f>
        <v>#N/A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173</v>
      </c>
      <c r="R2689" s="2" t="s">
        <v>50</v>
      </c>
      <c r="S2689" s="9">
        <f t="shared" si="209"/>
        <v>0.05</v>
      </c>
    </row>
    <row r="2690" spans="1:19" x14ac:dyDescent="0.25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e">
        <f>VLOOKUP('Customer Info'!A2682,'Customer Info'!A2682:I3181,2,FALSE)</f>
        <v>#N/A</v>
      </c>
      <c r="H2690" s="6" t="e">
        <f>VLOOKUP('Customer Info'!A2682,'Customer Info'!A2682:I3182,3,FALSE)</f>
        <v>#N/A</v>
      </c>
      <c r="I2690" s="6" t="e">
        <f>VLOOKUP('Customer Info'!A2682,'Customer Info'!A2682:I3181,5,FALSE)</f>
        <v>#N/A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163</v>
      </c>
      <c r="R2690" s="2" t="s">
        <v>26</v>
      </c>
      <c r="S2690" s="9">
        <f t="shared" si="209"/>
        <v>0.02</v>
      </c>
    </row>
    <row r="2691" spans="1:19" x14ac:dyDescent="0.25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e">
        <f>VLOOKUP('Customer Info'!A2683,'Customer Info'!A2683:I3182,2,FALSE)</f>
        <v>#N/A</v>
      </c>
      <c r="H2691" s="6" t="e">
        <f>VLOOKUP('Customer Info'!A2683,'Customer Info'!A2683:I3183,3,FALSE)</f>
        <v>#N/A</v>
      </c>
      <c r="I2691" s="6" t="e">
        <f>VLOOKUP('Customer Info'!A2683,'Customer Info'!A2683:I3182,5,FALSE)</f>
        <v>#N/A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48</v>
      </c>
      <c r="R2691" s="2" t="s">
        <v>28</v>
      </c>
      <c r="S2691" s="9">
        <f t="shared" si="209"/>
        <v>0.02</v>
      </c>
    </row>
    <row r="2692" spans="1:19" x14ac:dyDescent="0.25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e">
        <f>VLOOKUP('Customer Info'!A2684,'Customer Info'!A2684:I3183,2,FALSE)</f>
        <v>#N/A</v>
      </c>
      <c r="H2692" s="6" t="e">
        <f>VLOOKUP('Customer Info'!A2684,'Customer Info'!A2684:I3184,3,FALSE)</f>
        <v>#N/A</v>
      </c>
      <c r="I2692" s="6" t="e">
        <f>VLOOKUP('Customer Info'!A2684,'Customer Info'!A2684:I3183,5,FALSE)</f>
        <v>#N/A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1553</v>
      </c>
      <c r="R2692" s="2" t="s">
        <v>28</v>
      </c>
      <c r="S2692" s="9">
        <f t="shared" si="209"/>
        <v>0.05</v>
      </c>
    </row>
    <row r="2693" spans="1:19" x14ac:dyDescent="0.25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e">
        <f>VLOOKUP('Customer Info'!A2685,'Customer Info'!A2685:I3184,2,FALSE)</f>
        <v>#N/A</v>
      </c>
      <c r="H2693" s="6" t="e">
        <f>VLOOKUP('Customer Info'!A2685,'Customer Info'!A2685:I3185,3,FALSE)</f>
        <v>#N/A</v>
      </c>
      <c r="I2693" s="6" t="e">
        <f>VLOOKUP('Customer Info'!A2685,'Customer Info'!A2685:I3184,5,FALSE)</f>
        <v>#N/A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772</v>
      </c>
      <c r="R2693" s="2" t="s">
        <v>50</v>
      </c>
      <c r="S2693" s="9">
        <f t="shared" si="209"/>
        <v>0.05</v>
      </c>
    </row>
    <row r="2694" spans="1:19" x14ac:dyDescent="0.25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e">
        <f>VLOOKUP('Customer Info'!A2686,'Customer Info'!A2686:I3185,2,FALSE)</f>
        <v>#N/A</v>
      </c>
      <c r="H2694" s="6" t="e">
        <f>VLOOKUP('Customer Info'!A2686,'Customer Info'!A2686:I3186,3,FALSE)</f>
        <v>#N/A</v>
      </c>
      <c r="I2694" s="6" t="e">
        <f>VLOOKUP('Customer Info'!A2686,'Customer Info'!A2686:I3185,5,FALSE)</f>
        <v>#N/A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185</v>
      </c>
      <c r="R2694" s="2" t="s">
        <v>50</v>
      </c>
      <c r="S2694" s="9">
        <f t="shared" si="209"/>
        <v>0.02</v>
      </c>
    </row>
    <row r="2695" spans="1:19" x14ac:dyDescent="0.25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e">
        <f>VLOOKUP('Customer Info'!A2687,'Customer Info'!A2687:I3186,2,FALSE)</f>
        <v>#N/A</v>
      </c>
      <c r="H2695" s="6" t="e">
        <f>VLOOKUP('Customer Info'!A2687,'Customer Info'!A2687:I3187,3,FALSE)</f>
        <v>#N/A</v>
      </c>
      <c r="I2695" s="6" t="e">
        <f>VLOOKUP('Customer Info'!A2687,'Customer Info'!A2687:I3186,5,FALSE)</f>
        <v>#N/A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72</v>
      </c>
      <c r="R2695" s="2" t="s">
        <v>50</v>
      </c>
      <c r="S2695" s="9">
        <f t="shared" si="209"/>
        <v>0.02</v>
      </c>
    </row>
    <row r="2696" spans="1:19" x14ac:dyDescent="0.25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e">
        <f>VLOOKUP('Customer Info'!A2688,'Customer Info'!A2688:I3187,2,FALSE)</f>
        <v>#N/A</v>
      </c>
      <c r="H2696" s="6" t="e">
        <f>VLOOKUP('Customer Info'!A2688,'Customer Info'!A2688:I3188,3,FALSE)</f>
        <v>#N/A</v>
      </c>
      <c r="I2696" s="6" t="e">
        <f>VLOOKUP('Customer Info'!A2688,'Customer Info'!A2688:I3187,5,FALSE)</f>
        <v>#N/A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159</v>
      </c>
      <c r="R2696" s="2" t="s">
        <v>28</v>
      </c>
      <c r="S2696" s="9">
        <f t="shared" si="209"/>
        <v>0.02</v>
      </c>
    </row>
    <row r="2697" spans="1:19" x14ac:dyDescent="0.25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e">
        <f>VLOOKUP('Customer Info'!A2689,'Customer Info'!A2689:I3188,2,FALSE)</f>
        <v>#N/A</v>
      </c>
      <c r="H2697" s="6" t="e">
        <f>VLOOKUP('Customer Info'!A2689,'Customer Info'!A2689:I3189,3,FALSE)</f>
        <v>#N/A</v>
      </c>
      <c r="I2697" s="6" t="e">
        <f>VLOOKUP('Customer Info'!A2689,'Customer Info'!A2689:I3188,5,FALSE)</f>
        <v>#N/A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100</v>
      </c>
      <c r="R2697" s="2" t="s">
        <v>28</v>
      </c>
      <c r="S2697" s="9">
        <f t="shared" si="209"/>
        <v>0.02</v>
      </c>
    </row>
    <row r="2698" spans="1:19" x14ac:dyDescent="0.25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e">
        <f>VLOOKUP('Customer Info'!A2690,'Customer Info'!A2690:I3189,2,FALSE)</f>
        <v>#N/A</v>
      </c>
      <c r="H2698" s="6" t="e">
        <f>VLOOKUP('Customer Info'!A2690,'Customer Info'!A2690:I3190,3,FALSE)</f>
        <v>#N/A</v>
      </c>
      <c r="I2698" s="6" t="e">
        <f>VLOOKUP('Customer Info'!A2690,'Customer Info'!A2690:I3189,5,FALSE)</f>
        <v>#N/A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48</v>
      </c>
      <c r="R2698" s="2" t="s">
        <v>28</v>
      </c>
      <c r="S2698" s="9">
        <f t="shared" si="209"/>
        <v>0.02</v>
      </c>
    </row>
    <row r="2699" spans="1:19" x14ac:dyDescent="0.25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e">
        <f>VLOOKUP('Customer Info'!A2691,'Customer Info'!A2691:I3190,2,FALSE)</f>
        <v>#N/A</v>
      </c>
      <c r="H2699" s="6" t="e">
        <f>VLOOKUP('Customer Info'!A2691,'Customer Info'!A2691:I3191,3,FALSE)</f>
        <v>#N/A</v>
      </c>
      <c r="I2699" s="6" t="e">
        <f>VLOOKUP('Customer Info'!A2691,'Customer Info'!A2691:I3190,5,FALSE)</f>
        <v>#N/A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8">
        <f t="shared" ref="P2699:P2762" si="212">N2699+O2699</f>
        <v>704</v>
      </c>
      <c r="Q2699" s="8">
        <f t="shared" ref="Q2699:Q2762" si="213">P2699-M2699</f>
        <v>143</v>
      </c>
      <c r="R2699" s="2" t="s">
        <v>50</v>
      </c>
      <c r="S2699" s="9">
        <f t="shared" ref="S2699:S2762" si="214">VLOOKUP(P2699,$T$2:$U$7,2,TRUE)</f>
        <v>0.02</v>
      </c>
    </row>
    <row r="2700" spans="1:19" x14ac:dyDescent="0.25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e">
        <f>VLOOKUP('Customer Info'!A2692,'Customer Info'!A2692:I3191,2,FALSE)</f>
        <v>#N/A</v>
      </c>
      <c r="H2700" s="6" t="e">
        <f>VLOOKUP('Customer Info'!A2692,'Customer Info'!A2692:I3192,3,FALSE)</f>
        <v>#N/A</v>
      </c>
      <c r="I2700" s="6" t="e">
        <f>VLOOKUP('Customer Info'!A2692,'Customer Info'!A2692:I3191,5,FALSE)</f>
        <v>#N/A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132</v>
      </c>
      <c r="R2700" s="2" t="s">
        <v>28</v>
      </c>
      <c r="S2700" s="9">
        <f t="shared" si="214"/>
        <v>0.02</v>
      </c>
    </row>
    <row r="2701" spans="1:19" x14ac:dyDescent="0.25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e">
        <f>VLOOKUP('Customer Info'!A2693,'Customer Info'!A2693:I3192,2,FALSE)</f>
        <v>#N/A</v>
      </c>
      <c r="H2701" s="6" t="e">
        <f>VLOOKUP('Customer Info'!A2693,'Customer Info'!A2693:I3193,3,FALSE)</f>
        <v>#N/A</v>
      </c>
      <c r="I2701" s="6" t="e">
        <f>VLOOKUP('Customer Info'!A2693,'Customer Info'!A2693:I3192,5,FALSE)</f>
        <v>#N/A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2065</v>
      </c>
      <c r="R2701" s="2" t="s">
        <v>28</v>
      </c>
      <c r="S2701" s="9">
        <f t="shared" si="214"/>
        <v>0.05</v>
      </c>
    </row>
    <row r="2702" spans="1:19" x14ac:dyDescent="0.25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e">
        <f>VLOOKUP('Customer Info'!A2694,'Customer Info'!A2694:I3193,2,FALSE)</f>
        <v>#N/A</v>
      </c>
      <c r="H2702" s="6" t="e">
        <f>VLOOKUP('Customer Info'!A2694,'Customer Info'!A2694:I3194,3,FALSE)</f>
        <v>#N/A</v>
      </c>
      <c r="I2702" s="6" t="e">
        <f>VLOOKUP('Customer Info'!A2694,'Customer Info'!A2694:I3193,5,FALSE)</f>
        <v>#N/A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135</v>
      </c>
      <c r="R2702" s="2" t="s">
        <v>50</v>
      </c>
      <c r="S2702" s="9">
        <f t="shared" si="214"/>
        <v>0.02</v>
      </c>
    </row>
    <row r="2703" spans="1:19" x14ac:dyDescent="0.25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e">
        <f>VLOOKUP('Customer Info'!A2695,'Customer Info'!A2695:I3194,2,FALSE)</f>
        <v>#N/A</v>
      </c>
      <c r="H2703" s="6" t="e">
        <f>VLOOKUP('Customer Info'!A2695,'Customer Info'!A2695:I3195,3,FALSE)</f>
        <v>#N/A</v>
      </c>
      <c r="I2703" s="6" t="e">
        <f>VLOOKUP('Customer Info'!A2695,'Customer Info'!A2695:I3194,5,FALSE)</f>
        <v>#N/A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2053</v>
      </c>
      <c r="R2703" s="2" t="s">
        <v>28</v>
      </c>
      <c r="S2703" s="9">
        <f t="shared" si="214"/>
        <v>0.05</v>
      </c>
    </row>
    <row r="2704" spans="1:19" x14ac:dyDescent="0.25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e">
        <f>VLOOKUP('Customer Info'!A2696,'Customer Info'!A2696:I3195,2,FALSE)</f>
        <v>#N/A</v>
      </c>
      <c r="H2704" s="6" t="e">
        <f>VLOOKUP('Customer Info'!A2696,'Customer Info'!A2696:I3196,3,FALSE)</f>
        <v>#N/A</v>
      </c>
      <c r="I2704" s="6" t="e">
        <f>VLOOKUP('Customer Info'!A2696,'Customer Info'!A2696:I3195,5,FALSE)</f>
        <v>#N/A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5471</v>
      </c>
      <c r="R2704" s="2" t="s">
        <v>50</v>
      </c>
      <c r="S2704" s="9">
        <f t="shared" si="214"/>
        <v>0.09</v>
      </c>
    </row>
    <row r="2705" spans="1:19" x14ac:dyDescent="0.25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e">
        <f>VLOOKUP('Customer Info'!A2697,'Customer Info'!A2697:I3196,2,FALSE)</f>
        <v>#N/A</v>
      </c>
      <c r="H2705" s="6" t="e">
        <f>VLOOKUP('Customer Info'!A2697,'Customer Info'!A2697:I3197,3,FALSE)</f>
        <v>#N/A</v>
      </c>
      <c r="I2705" s="6" t="e">
        <f>VLOOKUP('Customer Info'!A2697,'Customer Info'!A2697:I3196,5,FALSE)</f>
        <v>#N/A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206</v>
      </c>
      <c r="R2705" s="2" t="s">
        <v>28</v>
      </c>
      <c r="S2705" s="9">
        <f t="shared" si="214"/>
        <v>0.02</v>
      </c>
    </row>
    <row r="2706" spans="1:19" x14ac:dyDescent="0.25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e">
        <f>VLOOKUP('Customer Info'!A2698,'Customer Info'!A2698:I3197,2,FALSE)</f>
        <v>#N/A</v>
      </c>
      <c r="H2706" s="6" t="e">
        <f>VLOOKUP('Customer Info'!A2698,'Customer Info'!A2698:I3198,3,FALSE)</f>
        <v>#N/A</v>
      </c>
      <c r="I2706" s="6" t="e">
        <f>VLOOKUP('Customer Info'!A2698,'Customer Info'!A2698:I3197,5,FALSE)</f>
        <v>#N/A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1140</v>
      </c>
      <c r="R2706" s="2" t="s">
        <v>28</v>
      </c>
      <c r="S2706" s="9">
        <f t="shared" si="214"/>
        <v>0.05</v>
      </c>
    </row>
    <row r="2707" spans="1:19" x14ac:dyDescent="0.25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e">
        <f>VLOOKUP('Customer Info'!A2699,'Customer Info'!A2699:I3198,2,FALSE)</f>
        <v>#N/A</v>
      </c>
      <c r="H2707" s="6" t="e">
        <f>VLOOKUP('Customer Info'!A2699,'Customer Info'!A2699:I3199,3,FALSE)</f>
        <v>#N/A</v>
      </c>
      <c r="I2707" s="6" t="e">
        <f>VLOOKUP('Customer Info'!A2699,'Customer Info'!A2699:I3198,5,FALSE)</f>
        <v>#N/A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110</v>
      </c>
      <c r="R2707" s="2" t="s">
        <v>28</v>
      </c>
      <c r="S2707" s="9">
        <f t="shared" si="214"/>
        <v>0.02</v>
      </c>
    </row>
    <row r="2708" spans="1:19" x14ac:dyDescent="0.25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e">
        <f>VLOOKUP('Customer Info'!A2700,'Customer Info'!A2700:I3199,2,FALSE)</f>
        <v>#N/A</v>
      </c>
      <c r="H2708" s="6" t="e">
        <f>VLOOKUP('Customer Info'!A2700,'Customer Info'!A2700:I3200,3,FALSE)</f>
        <v>#N/A</v>
      </c>
      <c r="I2708" s="6" t="e">
        <f>VLOOKUP('Customer Info'!A2700,'Customer Info'!A2700:I3199,5,FALSE)</f>
        <v>#N/A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17</v>
      </c>
      <c r="R2708" s="2" t="s">
        <v>28</v>
      </c>
      <c r="S2708" s="9">
        <f t="shared" si="214"/>
        <v>0.02</v>
      </c>
    </row>
    <row r="2709" spans="1:19" x14ac:dyDescent="0.25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e">
        <f>VLOOKUP('Customer Info'!A2701,'Customer Info'!A2701:I3200,2,FALSE)</f>
        <v>#N/A</v>
      </c>
      <c r="H2709" s="6" t="e">
        <f>VLOOKUP('Customer Info'!A2701,'Customer Info'!A2701:I3201,3,FALSE)</f>
        <v>#N/A</v>
      </c>
      <c r="I2709" s="6" t="e">
        <f>VLOOKUP('Customer Info'!A2701,'Customer Info'!A2701:I3200,5,FALSE)</f>
        <v>#N/A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100</v>
      </c>
      <c r="R2709" s="2" t="s">
        <v>28</v>
      </c>
      <c r="S2709" s="9">
        <f t="shared" si="214"/>
        <v>0.02</v>
      </c>
    </row>
    <row r="2710" spans="1:19" x14ac:dyDescent="0.25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e">
        <f>VLOOKUP('Customer Info'!A2702,'Customer Info'!A2702:I3201,2,FALSE)</f>
        <v>#N/A</v>
      </c>
      <c r="H2710" s="6" t="e">
        <f>VLOOKUP('Customer Info'!A2702,'Customer Info'!A2702:I3202,3,FALSE)</f>
        <v>#N/A</v>
      </c>
      <c r="I2710" s="6" t="e">
        <f>VLOOKUP('Customer Info'!A2702,'Customer Info'!A2702:I3201,5,FALSE)</f>
        <v>#N/A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814</v>
      </c>
      <c r="R2710" s="2" t="s">
        <v>28</v>
      </c>
      <c r="S2710" s="9">
        <f t="shared" si="214"/>
        <v>0.05</v>
      </c>
    </row>
    <row r="2711" spans="1:19" x14ac:dyDescent="0.25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e">
        <f>VLOOKUP('Customer Info'!A2703,'Customer Info'!A2703:I3202,2,FALSE)</f>
        <v>#N/A</v>
      </c>
      <c r="H2711" s="6" t="e">
        <f>VLOOKUP('Customer Info'!A2703,'Customer Info'!A2703:I3203,3,FALSE)</f>
        <v>#N/A</v>
      </c>
      <c r="I2711" s="6" t="e">
        <f>VLOOKUP('Customer Info'!A2703,'Customer Info'!A2703:I3202,5,FALSE)</f>
        <v>#N/A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48</v>
      </c>
      <c r="R2711" s="2" t="s">
        <v>28</v>
      </c>
      <c r="S2711" s="9">
        <f t="shared" si="214"/>
        <v>0.02</v>
      </c>
    </row>
    <row r="2712" spans="1:19" x14ac:dyDescent="0.25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e">
        <f>VLOOKUP('Customer Info'!A2704,'Customer Info'!A2704:I3203,2,FALSE)</f>
        <v>#N/A</v>
      </c>
      <c r="H2712" s="6" t="e">
        <f>VLOOKUP('Customer Info'!A2704,'Customer Info'!A2704:I3204,3,FALSE)</f>
        <v>#N/A</v>
      </c>
      <c r="I2712" s="6" t="e">
        <f>VLOOKUP('Customer Info'!A2704,'Customer Info'!A2704:I3203,5,FALSE)</f>
        <v>#N/A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1271</v>
      </c>
      <c r="R2712" s="2" t="s">
        <v>28</v>
      </c>
      <c r="S2712" s="9">
        <f t="shared" si="214"/>
        <v>0.05</v>
      </c>
    </row>
    <row r="2713" spans="1:19" x14ac:dyDescent="0.25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e">
        <f>VLOOKUP('Customer Info'!A2705,'Customer Info'!A2705:I3204,2,FALSE)</f>
        <v>#N/A</v>
      </c>
      <c r="H2713" s="6" t="e">
        <f>VLOOKUP('Customer Info'!A2705,'Customer Info'!A2705:I3205,3,FALSE)</f>
        <v>#N/A</v>
      </c>
      <c r="I2713" s="6" t="e">
        <f>VLOOKUP('Customer Info'!A2705,'Customer Info'!A2705:I3204,5,FALSE)</f>
        <v>#N/A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434</v>
      </c>
      <c r="R2713" s="2" t="s">
        <v>28</v>
      </c>
      <c r="S2713" s="9">
        <f t="shared" si="214"/>
        <v>0.02</v>
      </c>
    </row>
    <row r="2714" spans="1:19" x14ac:dyDescent="0.25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e">
        <f>VLOOKUP('Customer Info'!A2706,'Customer Info'!A2706:I3205,2,FALSE)</f>
        <v>#N/A</v>
      </c>
      <c r="H2714" s="6" t="e">
        <f>VLOOKUP('Customer Info'!A2706,'Customer Info'!A2706:I3206,3,FALSE)</f>
        <v>#N/A</v>
      </c>
      <c r="I2714" s="6" t="e">
        <f>VLOOKUP('Customer Info'!A2706,'Customer Info'!A2706:I3205,5,FALSE)</f>
        <v>#N/A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44</v>
      </c>
      <c r="R2714" s="2" t="s">
        <v>28</v>
      </c>
      <c r="S2714" s="9">
        <f t="shared" si="214"/>
        <v>0.02</v>
      </c>
    </row>
    <row r="2715" spans="1:19" x14ac:dyDescent="0.25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e">
        <f>VLOOKUP('Customer Info'!A2707,'Customer Info'!A2707:I3206,2,FALSE)</f>
        <v>#N/A</v>
      </c>
      <c r="H2715" s="6" t="e">
        <f>VLOOKUP('Customer Info'!A2707,'Customer Info'!A2707:I3207,3,FALSE)</f>
        <v>#N/A</v>
      </c>
      <c r="I2715" s="6" t="e">
        <f>VLOOKUP('Customer Info'!A2707,'Customer Info'!A2707:I3206,5,FALSE)</f>
        <v>#N/A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2594</v>
      </c>
      <c r="R2715" s="2" t="s">
        <v>28</v>
      </c>
      <c r="S2715" s="9">
        <f t="shared" si="214"/>
        <v>7.0000000000000007E-2</v>
      </c>
    </row>
    <row r="2716" spans="1:19" x14ac:dyDescent="0.25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e">
        <f>VLOOKUP('Customer Info'!A2708,'Customer Info'!A2708:I3207,2,FALSE)</f>
        <v>#N/A</v>
      </c>
      <c r="H2716" s="6" t="e">
        <f>VLOOKUP('Customer Info'!A2708,'Customer Info'!A2708:I3208,3,FALSE)</f>
        <v>#N/A</v>
      </c>
      <c r="I2716" s="6" t="e">
        <f>VLOOKUP('Customer Info'!A2708,'Customer Info'!A2708:I3207,5,FALSE)</f>
        <v>#N/A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126</v>
      </c>
      <c r="R2716" s="2" t="s">
        <v>28</v>
      </c>
      <c r="S2716" s="9">
        <f t="shared" si="214"/>
        <v>0.02</v>
      </c>
    </row>
    <row r="2717" spans="1:19" x14ac:dyDescent="0.25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e">
        <f>VLOOKUP('Customer Info'!A2709,'Customer Info'!A2709:I3208,2,FALSE)</f>
        <v>#N/A</v>
      </c>
      <c r="H2717" s="6" t="e">
        <f>VLOOKUP('Customer Info'!A2709,'Customer Info'!A2709:I3209,3,FALSE)</f>
        <v>#N/A</v>
      </c>
      <c r="I2717" s="6" t="e">
        <f>VLOOKUP('Customer Info'!A2709,'Customer Info'!A2709:I3208,5,FALSE)</f>
        <v>#N/A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104</v>
      </c>
      <c r="R2717" s="2" t="s">
        <v>50</v>
      </c>
      <c r="S2717" s="9">
        <f t="shared" si="214"/>
        <v>0.02</v>
      </c>
    </row>
    <row r="2718" spans="1:19" x14ac:dyDescent="0.25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e">
        <f>VLOOKUP('Customer Info'!A2710,'Customer Info'!A2710:I3209,2,FALSE)</f>
        <v>#N/A</v>
      </c>
      <c r="H2718" s="6" t="e">
        <f>VLOOKUP('Customer Info'!A2710,'Customer Info'!A2710:I3210,3,FALSE)</f>
        <v>#N/A</v>
      </c>
      <c r="I2718" s="6" t="e">
        <f>VLOOKUP('Customer Info'!A2710,'Customer Info'!A2710:I3209,5,FALSE)</f>
        <v>#N/A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2183</v>
      </c>
      <c r="R2718" s="2" t="s">
        <v>28</v>
      </c>
      <c r="S2718" s="9">
        <f t="shared" si="214"/>
        <v>7.0000000000000007E-2</v>
      </c>
    </row>
    <row r="2719" spans="1:19" x14ac:dyDescent="0.25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e">
        <f>VLOOKUP('Customer Info'!A2711,'Customer Info'!A2711:I3210,2,FALSE)</f>
        <v>#N/A</v>
      </c>
      <c r="H2719" s="6" t="e">
        <f>VLOOKUP('Customer Info'!A2711,'Customer Info'!A2711:I3211,3,FALSE)</f>
        <v>#N/A</v>
      </c>
      <c r="I2719" s="6" t="e">
        <f>VLOOKUP('Customer Info'!A2711,'Customer Info'!A2711:I3210,5,FALSE)</f>
        <v>#N/A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267</v>
      </c>
      <c r="R2719" s="2" t="s">
        <v>50</v>
      </c>
      <c r="S2719" s="9">
        <f t="shared" si="214"/>
        <v>0.02</v>
      </c>
    </row>
    <row r="2720" spans="1:19" x14ac:dyDescent="0.25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e">
        <f>VLOOKUP('Customer Info'!A2712,'Customer Info'!A2712:I3211,2,FALSE)</f>
        <v>#N/A</v>
      </c>
      <c r="H2720" s="6" t="e">
        <f>VLOOKUP('Customer Info'!A2712,'Customer Info'!A2712:I3212,3,FALSE)</f>
        <v>#N/A</v>
      </c>
      <c r="I2720" s="6" t="e">
        <f>VLOOKUP('Customer Info'!A2712,'Customer Info'!A2712:I3211,5,FALSE)</f>
        <v>#N/A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300</v>
      </c>
      <c r="R2720" s="2" t="s">
        <v>50</v>
      </c>
      <c r="S2720" s="9">
        <f t="shared" si="214"/>
        <v>0.02</v>
      </c>
    </row>
    <row r="2721" spans="1:19" x14ac:dyDescent="0.25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e">
        <f>VLOOKUP('Customer Info'!A2713,'Customer Info'!A2713:I3212,2,FALSE)</f>
        <v>#N/A</v>
      </c>
      <c r="H2721" s="6" t="e">
        <f>VLOOKUP('Customer Info'!A2713,'Customer Info'!A2713:I3213,3,FALSE)</f>
        <v>#N/A</v>
      </c>
      <c r="I2721" s="6" t="e">
        <f>VLOOKUP('Customer Info'!A2713,'Customer Info'!A2713:I3212,5,FALSE)</f>
        <v>#N/A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314</v>
      </c>
      <c r="R2721" s="2" t="s">
        <v>28</v>
      </c>
      <c r="S2721" s="9">
        <f t="shared" si="214"/>
        <v>0.02</v>
      </c>
    </row>
    <row r="2722" spans="1:19" x14ac:dyDescent="0.25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e">
        <f>VLOOKUP('Customer Info'!A2714,'Customer Info'!A2714:I3213,2,FALSE)</f>
        <v>#N/A</v>
      </c>
      <c r="H2722" s="6" t="e">
        <f>VLOOKUP('Customer Info'!A2714,'Customer Info'!A2714:I3214,3,FALSE)</f>
        <v>#N/A</v>
      </c>
      <c r="I2722" s="6" t="e">
        <f>VLOOKUP('Customer Info'!A2714,'Customer Info'!A2714:I3213,5,FALSE)</f>
        <v>#N/A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127</v>
      </c>
      <c r="R2722" s="2" t="s">
        <v>26</v>
      </c>
      <c r="S2722" s="9">
        <f t="shared" si="214"/>
        <v>0.02</v>
      </c>
    </row>
    <row r="2723" spans="1:19" x14ac:dyDescent="0.25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e">
        <f>VLOOKUP('Customer Info'!A2715,'Customer Info'!A2715:I3214,2,FALSE)</f>
        <v>#N/A</v>
      </c>
      <c r="H2723" s="6" t="e">
        <f>VLOOKUP('Customer Info'!A2715,'Customer Info'!A2715:I3215,3,FALSE)</f>
        <v>#N/A</v>
      </c>
      <c r="I2723" s="6" t="e">
        <f>VLOOKUP('Customer Info'!A2715,'Customer Info'!A2715:I3214,5,FALSE)</f>
        <v>#N/A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95</v>
      </c>
      <c r="R2723" s="2" t="s">
        <v>28</v>
      </c>
      <c r="S2723" s="9">
        <f t="shared" si="214"/>
        <v>0.02</v>
      </c>
    </row>
    <row r="2724" spans="1:19" x14ac:dyDescent="0.25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e">
        <f>VLOOKUP('Customer Info'!A2716,'Customer Info'!A2716:I3215,2,FALSE)</f>
        <v>#N/A</v>
      </c>
      <c r="H2724" s="6" t="e">
        <f>VLOOKUP('Customer Info'!A2716,'Customer Info'!A2716:I3216,3,FALSE)</f>
        <v>#N/A</v>
      </c>
      <c r="I2724" s="6" t="e">
        <f>VLOOKUP('Customer Info'!A2716,'Customer Info'!A2716:I3215,5,FALSE)</f>
        <v>#N/A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164</v>
      </c>
      <c r="R2724" s="2" t="s">
        <v>50</v>
      </c>
      <c r="S2724" s="9">
        <f t="shared" si="214"/>
        <v>0.02</v>
      </c>
    </row>
    <row r="2725" spans="1:19" x14ac:dyDescent="0.25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e">
        <f>VLOOKUP('Customer Info'!A2717,'Customer Info'!A2717:I3216,2,FALSE)</f>
        <v>#N/A</v>
      </c>
      <c r="H2725" s="6" t="e">
        <f>VLOOKUP('Customer Info'!A2717,'Customer Info'!A2717:I3217,3,FALSE)</f>
        <v>#N/A</v>
      </c>
      <c r="I2725" s="6" t="e">
        <f>VLOOKUP('Customer Info'!A2717,'Customer Info'!A2717:I3216,5,FALSE)</f>
        <v>#N/A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215</v>
      </c>
      <c r="R2725" s="2" t="s">
        <v>28</v>
      </c>
      <c r="S2725" s="9">
        <f t="shared" si="214"/>
        <v>0.02</v>
      </c>
    </row>
    <row r="2726" spans="1:19" x14ac:dyDescent="0.25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e">
        <f>VLOOKUP('Customer Info'!A2718,'Customer Info'!A2718:I3217,2,FALSE)</f>
        <v>#N/A</v>
      </c>
      <c r="H2726" s="6" t="e">
        <f>VLOOKUP('Customer Info'!A2718,'Customer Info'!A2718:I3218,3,FALSE)</f>
        <v>#N/A</v>
      </c>
      <c r="I2726" s="6" t="e">
        <f>VLOOKUP('Customer Info'!A2718,'Customer Info'!A2718:I3217,5,FALSE)</f>
        <v>#N/A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48</v>
      </c>
      <c r="R2726" s="2" t="s">
        <v>28</v>
      </c>
      <c r="S2726" s="9">
        <f t="shared" si="214"/>
        <v>0.02</v>
      </c>
    </row>
    <row r="2727" spans="1:19" x14ac:dyDescent="0.25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e">
        <f>VLOOKUP('Customer Info'!A2719,'Customer Info'!A2719:I3218,2,FALSE)</f>
        <v>#N/A</v>
      </c>
      <c r="H2727" s="6" t="e">
        <f>VLOOKUP('Customer Info'!A2719,'Customer Info'!A2719:I3219,3,FALSE)</f>
        <v>#N/A</v>
      </c>
      <c r="I2727" s="6" t="e">
        <f>VLOOKUP('Customer Info'!A2719,'Customer Info'!A2719:I3218,5,FALSE)</f>
        <v>#N/A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25</v>
      </c>
      <c r="R2727" s="2" t="s">
        <v>28</v>
      </c>
      <c r="S2727" s="9">
        <f t="shared" si="214"/>
        <v>0.02</v>
      </c>
    </row>
    <row r="2728" spans="1:19" x14ac:dyDescent="0.25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e">
        <f>VLOOKUP('Customer Info'!A2720,'Customer Info'!A2720:I3219,2,FALSE)</f>
        <v>#N/A</v>
      </c>
      <c r="H2728" s="6" t="e">
        <f>VLOOKUP('Customer Info'!A2720,'Customer Info'!A2720:I3220,3,FALSE)</f>
        <v>#N/A</v>
      </c>
      <c r="I2728" s="6" t="e">
        <f>VLOOKUP('Customer Info'!A2720,'Customer Info'!A2720:I3219,5,FALSE)</f>
        <v>#N/A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275</v>
      </c>
      <c r="R2728" s="2" t="s">
        <v>50</v>
      </c>
      <c r="S2728" s="9">
        <f t="shared" si="214"/>
        <v>0.05</v>
      </c>
    </row>
    <row r="2729" spans="1:19" x14ac:dyDescent="0.25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e">
        <f>VLOOKUP('Customer Info'!A2721,'Customer Info'!A2721:I3220,2,FALSE)</f>
        <v>#N/A</v>
      </c>
      <c r="H2729" s="6" t="e">
        <f>VLOOKUP('Customer Info'!A2721,'Customer Info'!A2721:I3221,3,FALSE)</f>
        <v>#N/A</v>
      </c>
      <c r="I2729" s="6" t="e">
        <f>VLOOKUP('Customer Info'!A2721,'Customer Info'!A2721:I3220,5,FALSE)</f>
        <v>#N/A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160</v>
      </c>
      <c r="R2729" s="2" t="s">
        <v>28</v>
      </c>
      <c r="S2729" s="9">
        <f t="shared" si="214"/>
        <v>0.02</v>
      </c>
    </row>
    <row r="2730" spans="1:19" x14ac:dyDescent="0.25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e">
        <f>VLOOKUP('Customer Info'!A2722,'Customer Info'!A2722:I3221,2,FALSE)</f>
        <v>#N/A</v>
      </c>
      <c r="H2730" s="6" t="e">
        <f>VLOOKUP('Customer Info'!A2722,'Customer Info'!A2722:I3222,3,FALSE)</f>
        <v>#N/A</v>
      </c>
      <c r="I2730" s="6" t="e">
        <f>VLOOKUP('Customer Info'!A2722,'Customer Info'!A2722:I3221,5,FALSE)</f>
        <v>#N/A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48</v>
      </c>
      <c r="R2730" s="2" t="s">
        <v>28</v>
      </c>
      <c r="S2730" s="9">
        <f t="shared" si="214"/>
        <v>0.02</v>
      </c>
    </row>
    <row r="2731" spans="1:19" x14ac:dyDescent="0.25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e">
        <f>VLOOKUP('Customer Info'!A2723,'Customer Info'!A2723:I3222,2,FALSE)</f>
        <v>#N/A</v>
      </c>
      <c r="H2731" s="6" t="e">
        <f>VLOOKUP('Customer Info'!A2723,'Customer Info'!A2723:I3223,3,FALSE)</f>
        <v>#N/A</v>
      </c>
      <c r="I2731" s="6" t="e">
        <f>VLOOKUP('Customer Info'!A2723,'Customer Info'!A2723:I3222,5,FALSE)</f>
        <v>#N/A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282</v>
      </c>
      <c r="R2731" s="2" t="s">
        <v>28</v>
      </c>
      <c r="S2731" s="9">
        <f t="shared" si="214"/>
        <v>0.05</v>
      </c>
    </row>
    <row r="2732" spans="1:19" x14ac:dyDescent="0.25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e">
        <f>VLOOKUP('Customer Info'!A2724,'Customer Info'!A2724:I3223,2,FALSE)</f>
        <v>#N/A</v>
      </c>
      <c r="H2732" s="6" t="e">
        <f>VLOOKUP('Customer Info'!A2724,'Customer Info'!A2724:I3224,3,FALSE)</f>
        <v>#N/A</v>
      </c>
      <c r="I2732" s="6" t="e">
        <f>VLOOKUP('Customer Info'!A2724,'Customer Info'!A2724:I3223,5,FALSE)</f>
        <v>#N/A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356</v>
      </c>
      <c r="R2732" s="2" t="s">
        <v>50</v>
      </c>
      <c r="S2732" s="9">
        <f t="shared" si="214"/>
        <v>0.02</v>
      </c>
    </row>
    <row r="2733" spans="1:19" x14ac:dyDescent="0.25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e">
        <f>VLOOKUP('Customer Info'!A2725,'Customer Info'!A2725:I3224,2,FALSE)</f>
        <v>#N/A</v>
      </c>
      <c r="H2733" s="6" t="e">
        <f>VLOOKUP('Customer Info'!A2725,'Customer Info'!A2725:I3225,3,FALSE)</f>
        <v>#N/A</v>
      </c>
      <c r="I2733" s="6" t="e">
        <f>VLOOKUP('Customer Info'!A2725,'Customer Info'!A2725:I3224,5,FALSE)</f>
        <v>#N/A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48</v>
      </c>
      <c r="R2733" s="2" t="s">
        <v>28</v>
      </c>
      <c r="S2733" s="9">
        <f t="shared" si="214"/>
        <v>0.02</v>
      </c>
    </row>
    <row r="2734" spans="1:19" x14ac:dyDescent="0.25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e">
        <f>VLOOKUP('Customer Info'!A2726,'Customer Info'!A2726:I3225,2,FALSE)</f>
        <v>#N/A</v>
      </c>
      <c r="H2734" s="6" t="e">
        <f>VLOOKUP('Customer Info'!A2726,'Customer Info'!A2726:I3226,3,FALSE)</f>
        <v>#N/A</v>
      </c>
      <c r="I2734" s="6" t="e">
        <f>VLOOKUP('Customer Info'!A2726,'Customer Info'!A2726:I3225,5,FALSE)</f>
        <v>#N/A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268</v>
      </c>
      <c r="R2734" s="2" t="s">
        <v>28</v>
      </c>
      <c r="S2734" s="9">
        <f t="shared" si="214"/>
        <v>0.02</v>
      </c>
    </row>
    <row r="2735" spans="1:19" x14ac:dyDescent="0.25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e">
        <f>VLOOKUP('Customer Info'!A2727,'Customer Info'!A2727:I3226,2,FALSE)</f>
        <v>#N/A</v>
      </c>
      <c r="H2735" s="6" t="e">
        <f>VLOOKUP('Customer Info'!A2727,'Customer Info'!A2727:I3227,3,FALSE)</f>
        <v>#N/A</v>
      </c>
      <c r="I2735" s="6" t="e">
        <f>VLOOKUP('Customer Info'!A2727,'Customer Info'!A2727:I3226,5,FALSE)</f>
        <v>#N/A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116</v>
      </c>
      <c r="R2735" s="2" t="s">
        <v>50</v>
      </c>
      <c r="S2735" s="9">
        <f t="shared" si="214"/>
        <v>0.02</v>
      </c>
    </row>
    <row r="2736" spans="1:19" x14ac:dyDescent="0.25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e">
        <f>VLOOKUP('Customer Info'!A2728,'Customer Info'!A2728:I3227,2,FALSE)</f>
        <v>#N/A</v>
      </c>
      <c r="H2736" s="6" t="e">
        <f>VLOOKUP('Customer Info'!A2728,'Customer Info'!A2728:I3228,3,FALSE)</f>
        <v>#N/A</v>
      </c>
      <c r="I2736" s="6" t="e">
        <f>VLOOKUP('Customer Info'!A2728,'Customer Info'!A2728:I3227,5,FALSE)</f>
        <v>#N/A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40</v>
      </c>
      <c r="R2736" s="2" t="s">
        <v>28</v>
      </c>
      <c r="S2736" s="9">
        <f t="shared" si="214"/>
        <v>0.02</v>
      </c>
    </row>
    <row r="2737" spans="1:19" x14ac:dyDescent="0.25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e">
        <f>VLOOKUP('Customer Info'!A2729,'Customer Info'!A2729:I3228,2,FALSE)</f>
        <v>#N/A</v>
      </c>
      <c r="H2737" s="6" t="e">
        <f>VLOOKUP('Customer Info'!A2729,'Customer Info'!A2729:I3229,3,FALSE)</f>
        <v>#N/A</v>
      </c>
      <c r="I2737" s="6" t="e">
        <f>VLOOKUP('Customer Info'!A2729,'Customer Info'!A2729:I3228,5,FALSE)</f>
        <v>#N/A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165</v>
      </c>
      <c r="R2737" s="2" t="s">
        <v>28</v>
      </c>
      <c r="S2737" s="9">
        <f t="shared" si="214"/>
        <v>0.02</v>
      </c>
    </row>
    <row r="2738" spans="1:19" x14ac:dyDescent="0.25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e">
        <f>VLOOKUP('Customer Info'!A2730,'Customer Info'!A2730:I3229,2,FALSE)</f>
        <v>#N/A</v>
      </c>
      <c r="H2738" s="6" t="e">
        <f>VLOOKUP('Customer Info'!A2730,'Customer Info'!A2730:I3230,3,FALSE)</f>
        <v>#N/A</v>
      </c>
      <c r="I2738" s="6" t="e">
        <f>VLOOKUP('Customer Info'!A2730,'Customer Info'!A2730:I3229,5,FALSE)</f>
        <v>#N/A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1211</v>
      </c>
      <c r="R2738" s="2" t="s">
        <v>50</v>
      </c>
      <c r="S2738" s="9">
        <f t="shared" si="214"/>
        <v>0.05</v>
      </c>
    </row>
    <row r="2739" spans="1:19" x14ac:dyDescent="0.25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e">
        <f>VLOOKUP('Customer Info'!A2731,'Customer Info'!A2731:I3230,2,FALSE)</f>
        <v>#N/A</v>
      </c>
      <c r="H2739" s="6" t="e">
        <f>VLOOKUP('Customer Info'!A2731,'Customer Info'!A2731:I3231,3,FALSE)</f>
        <v>#N/A</v>
      </c>
      <c r="I2739" s="6" t="e">
        <f>VLOOKUP('Customer Info'!A2731,'Customer Info'!A2731:I3230,5,FALSE)</f>
        <v>#N/A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480</v>
      </c>
      <c r="R2739" s="2" t="s">
        <v>26</v>
      </c>
      <c r="S2739" s="9">
        <f t="shared" si="214"/>
        <v>0.05</v>
      </c>
    </row>
    <row r="2740" spans="1:19" x14ac:dyDescent="0.25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e">
        <f>VLOOKUP('Customer Info'!A2732,'Customer Info'!A2732:I3231,2,FALSE)</f>
        <v>#N/A</v>
      </c>
      <c r="H2740" s="6" t="e">
        <f>VLOOKUP('Customer Info'!A2732,'Customer Info'!A2732:I3232,3,FALSE)</f>
        <v>#N/A</v>
      </c>
      <c r="I2740" s="6" t="e">
        <f>VLOOKUP('Customer Info'!A2732,'Customer Info'!A2732:I3231,5,FALSE)</f>
        <v>#N/A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360</v>
      </c>
      <c r="R2740" s="2" t="s">
        <v>50</v>
      </c>
      <c r="S2740" s="9">
        <f t="shared" si="214"/>
        <v>0.05</v>
      </c>
    </row>
    <row r="2741" spans="1:19" x14ac:dyDescent="0.25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e">
        <f>VLOOKUP('Customer Info'!A2733,'Customer Info'!A2733:I3232,2,FALSE)</f>
        <v>#N/A</v>
      </c>
      <c r="H2741" s="6" t="e">
        <f>VLOOKUP('Customer Info'!A2733,'Customer Info'!A2733:I3233,3,FALSE)</f>
        <v>#N/A</v>
      </c>
      <c r="I2741" s="6" t="e">
        <f>VLOOKUP('Customer Info'!A2733,'Customer Info'!A2733:I3232,5,FALSE)</f>
        <v>#N/A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174</v>
      </c>
      <c r="R2741" s="2" t="s">
        <v>50</v>
      </c>
      <c r="S2741" s="9">
        <f t="shared" si="214"/>
        <v>0.02</v>
      </c>
    </row>
    <row r="2742" spans="1:19" x14ac:dyDescent="0.25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e">
        <f>VLOOKUP('Customer Info'!A2734,'Customer Info'!A2734:I3233,2,FALSE)</f>
        <v>#N/A</v>
      </c>
      <c r="H2742" s="6" t="e">
        <f>VLOOKUP('Customer Info'!A2734,'Customer Info'!A2734:I3234,3,FALSE)</f>
        <v>#N/A</v>
      </c>
      <c r="I2742" s="6" t="e">
        <f>VLOOKUP('Customer Info'!A2734,'Customer Info'!A2734:I3233,5,FALSE)</f>
        <v>#N/A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46</v>
      </c>
      <c r="R2742" s="2" t="s">
        <v>56</v>
      </c>
      <c r="S2742" s="9">
        <f t="shared" si="214"/>
        <v>0.02</v>
      </c>
    </row>
    <row r="2743" spans="1:19" x14ac:dyDescent="0.25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e">
        <f>VLOOKUP('Customer Info'!A2735,'Customer Info'!A2735:I3234,2,FALSE)</f>
        <v>#N/A</v>
      </c>
      <c r="H2743" s="6" t="e">
        <f>VLOOKUP('Customer Info'!A2735,'Customer Info'!A2735:I3235,3,FALSE)</f>
        <v>#N/A</v>
      </c>
      <c r="I2743" s="6" t="e">
        <f>VLOOKUP('Customer Info'!A2735,'Customer Info'!A2735:I3234,5,FALSE)</f>
        <v>#N/A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2529</v>
      </c>
      <c r="R2743" s="2" t="s">
        <v>28</v>
      </c>
      <c r="S2743" s="9">
        <f t="shared" si="214"/>
        <v>7.0000000000000007E-2</v>
      </c>
    </row>
    <row r="2744" spans="1:19" x14ac:dyDescent="0.25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e">
        <f>VLOOKUP('Customer Info'!A2736,'Customer Info'!A2736:I3235,2,FALSE)</f>
        <v>#N/A</v>
      </c>
      <c r="H2744" s="6" t="e">
        <f>VLOOKUP('Customer Info'!A2736,'Customer Info'!A2736:I3236,3,FALSE)</f>
        <v>#N/A</v>
      </c>
      <c r="I2744" s="6" t="e">
        <f>VLOOKUP('Customer Info'!A2736,'Customer Info'!A2736:I3235,5,FALSE)</f>
        <v>#N/A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161</v>
      </c>
      <c r="R2744" s="2" t="s">
        <v>28</v>
      </c>
      <c r="S2744" s="9">
        <f t="shared" si="214"/>
        <v>0.02</v>
      </c>
    </row>
    <row r="2745" spans="1:19" x14ac:dyDescent="0.25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e">
        <f>VLOOKUP('Customer Info'!A2737,'Customer Info'!A2737:I3236,2,FALSE)</f>
        <v>#N/A</v>
      </c>
      <c r="H2745" s="6" t="e">
        <f>VLOOKUP('Customer Info'!A2737,'Customer Info'!A2737:I3237,3,FALSE)</f>
        <v>#N/A</v>
      </c>
      <c r="I2745" s="6" t="e">
        <f>VLOOKUP('Customer Info'!A2737,'Customer Info'!A2737:I3236,5,FALSE)</f>
        <v>#N/A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293</v>
      </c>
      <c r="R2745" s="2" t="s">
        <v>50</v>
      </c>
      <c r="S2745" s="9">
        <f t="shared" si="214"/>
        <v>0.02</v>
      </c>
    </row>
    <row r="2746" spans="1:19" x14ac:dyDescent="0.25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e">
        <f>VLOOKUP('Customer Info'!A2738,'Customer Info'!A2738:I3237,2,FALSE)</f>
        <v>#N/A</v>
      </c>
      <c r="H2746" s="6" t="e">
        <f>VLOOKUP('Customer Info'!A2738,'Customer Info'!A2738:I3238,3,FALSE)</f>
        <v>#N/A</v>
      </c>
      <c r="I2746" s="6" t="e">
        <f>VLOOKUP('Customer Info'!A2738,'Customer Info'!A2738:I3237,5,FALSE)</f>
        <v>#N/A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310</v>
      </c>
      <c r="R2746" s="2" t="s">
        <v>28</v>
      </c>
      <c r="S2746" s="9">
        <f t="shared" si="214"/>
        <v>0.02</v>
      </c>
    </row>
    <row r="2747" spans="1:19" x14ac:dyDescent="0.25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e">
        <f>VLOOKUP('Customer Info'!A2739,'Customer Info'!A2739:I3238,2,FALSE)</f>
        <v>#N/A</v>
      </c>
      <c r="H2747" s="6" t="e">
        <f>VLOOKUP('Customer Info'!A2739,'Customer Info'!A2739:I3239,3,FALSE)</f>
        <v>#N/A</v>
      </c>
      <c r="I2747" s="6" t="e">
        <f>VLOOKUP('Customer Info'!A2739,'Customer Info'!A2739:I3238,5,FALSE)</f>
        <v>#N/A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2666</v>
      </c>
      <c r="R2747" s="2" t="s">
        <v>26</v>
      </c>
      <c r="S2747" s="9">
        <f t="shared" si="214"/>
        <v>7.0000000000000007E-2</v>
      </c>
    </row>
    <row r="2748" spans="1:19" x14ac:dyDescent="0.25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e">
        <f>VLOOKUP('Customer Info'!A2740,'Customer Info'!A2740:I3239,2,FALSE)</f>
        <v>#N/A</v>
      </c>
      <c r="H2748" s="6" t="e">
        <f>VLOOKUP('Customer Info'!A2740,'Customer Info'!A2740:I3240,3,FALSE)</f>
        <v>#N/A</v>
      </c>
      <c r="I2748" s="6" t="e">
        <f>VLOOKUP('Customer Info'!A2740,'Customer Info'!A2740:I3239,5,FALSE)</f>
        <v>#N/A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1718</v>
      </c>
      <c r="R2748" s="2" t="s">
        <v>28</v>
      </c>
      <c r="S2748" s="9">
        <f t="shared" si="214"/>
        <v>0.05</v>
      </c>
    </row>
    <row r="2749" spans="1:19" x14ac:dyDescent="0.25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e">
        <f>VLOOKUP('Customer Info'!A2741,'Customer Info'!A2741:I3240,2,FALSE)</f>
        <v>#N/A</v>
      </c>
      <c r="H2749" s="6" t="e">
        <f>VLOOKUP('Customer Info'!A2741,'Customer Info'!A2741:I3241,3,FALSE)</f>
        <v>#N/A</v>
      </c>
      <c r="I2749" s="6" t="e">
        <f>VLOOKUP('Customer Info'!A2741,'Customer Info'!A2741:I3240,5,FALSE)</f>
        <v>#N/A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4998</v>
      </c>
      <c r="R2749" s="2" t="s">
        <v>28</v>
      </c>
      <c r="S2749" s="9">
        <f t="shared" si="214"/>
        <v>0.09</v>
      </c>
    </row>
    <row r="2750" spans="1:19" x14ac:dyDescent="0.25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e">
        <f>VLOOKUP('Customer Info'!A2742,'Customer Info'!A2742:I3241,2,FALSE)</f>
        <v>#N/A</v>
      </c>
      <c r="H2750" s="6" t="e">
        <f>VLOOKUP('Customer Info'!A2742,'Customer Info'!A2742:I3242,3,FALSE)</f>
        <v>#N/A</v>
      </c>
      <c r="I2750" s="6" t="e">
        <f>VLOOKUP('Customer Info'!A2742,'Customer Info'!A2742:I3241,5,FALSE)</f>
        <v>#N/A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1075</v>
      </c>
      <c r="R2750" s="2" t="s">
        <v>28</v>
      </c>
      <c r="S2750" s="9">
        <f t="shared" si="214"/>
        <v>0.09</v>
      </c>
    </row>
    <row r="2751" spans="1:19" x14ac:dyDescent="0.25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e">
        <f>VLOOKUP('Customer Info'!A2743,'Customer Info'!A2743:I3242,2,FALSE)</f>
        <v>#N/A</v>
      </c>
      <c r="H2751" s="6" t="e">
        <f>VLOOKUP('Customer Info'!A2743,'Customer Info'!A2743:I3243,3,FALSE)</f>
        <v>#N/A</v>
      </c>
      <c r="I2751" s="6" t="e">
        <f>VLOOKUP('Customer Info'!A2743,'Customer Info'!A2743:I3242,5,FALSE)</f>
        <v>#N/A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373</v>
      </c>
      <c r="R2751" s="2" t="s">
        <v>28</v>
      </c>
      <c r="S2751" s="9">
        <f t="shared" si="214"/>
        <v>0.05</v>
      </c>
    </row>
    <row r="2752" spans="1:19" x14ac:dyDescent="0.25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e">
        <f>VLOOKUP('Customer Info'!A2744,'Customer Info'!A2744:I3243,2,FALSE)</f>
        <v>#N/A</v>
      </c>
      <c r="H2752" s="6" t="e">
        <f>VLOOKUP('Customer Info'!A2744,'Customer Info'!A2744:I3244,3,FALSE)</f>
        <v>#N/A</v>
      </c>
      <c r="I2752" s="6" t="e">
        <f>VLOOKUP('Customer Info'!A2744,'Customer Info'!A2744:I3243,5,FALSE)</f>
        <v>#N/A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153</v>
      </c>
      <c r="R2752" s="2" t="s">
        <v>50</v>
      </c>
      <c r="S2752" s="9">
        <f t="shared" si="214"/>
        <v>0.02</v>
      </c>
    </row>
    <row r="2753" spans="1:19" x14ac:dyDescent="0.25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e">
        <f>VLOOKUP('Customer Info'!A2745,'Customer Info'!A2745:I3244,2,FALSE)</f>
        <v>#N/A</v>
      </c>
      <c r="H2753" s="6" t="e">
        <f>VLOOKUP('Customer Info'!A2745,'Customer Info'!A2745:I3245,3,FALSE)</f>
        <v>#N/A</v>
      </c>
      <c r="I2753" s="6" t="e">
        <f>VLOOKUP('Customer Info'!A2745,'Customer Info'!A2745:I3244,5,FALSE)</f>
        <v>#N/A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20</v>
      </c>
      <c r="R2753" s="2" t="s">
        <v>28</v>
      </c>
      <c r="S2753" s="9">
        <f t="shared" si="214"/>
        <v>0.02</v>
      </c>
    </row>
    <row r="2754" spans="1:19" x14ac:dyDescent="0.25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e">
        <f>VLOOKUP('Customer Info'!A2746,'Customer Info'!A2746:I3245,2,FALSE)</f>
        <v>#N/A</v>
      </c>
      <c r="H2754" s="6" t="e">
        <f>VLOOKUP('Customer Info'!A2746,'Customer Info'!A2746:I3246,3,FALSE)</f>
        <v>#N/A</v>
      </c>
      <c r="I2754" s="6" t="e">
        <f>VLOOKUP('Customer Info'!A2746,'Customer Info'!A2746:I3245,5,FALSE)</f>
        <v>#N/A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2028</v>
      </c>
      <c r="R2754" s="2" t="s">
        <v>28</v>
      </c>
      <c r="S2754" s="9">
        <f t="shared" si="214"/>
        <v>0.05</v>
      </c>
    </row>
    <row r="2755" spans="1:19" x14ac:dyDescent="0.25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e">
        <f>VLOOKUP('Customer Info'!A2747,'Customer Info'!A2747:I3246,2,FALSE)</f>
        <v>#N/A</v>
      </c>
      <c r="H2755" s="6" t="e">
        <f>VLOOKUP('Customer Info'!A2747,'Customer Info'!A2747:I3247,3,FALSE)</f>
        <v>#N/A</v>
      </c>
      <c r="I2755" s="6" t="e">
        <f>VLOOKUP('Customer Info'!A2747,'Customer Info'!A2747:I3246,5,FALSE)</f>
        <v>#N/A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137</v>
      </c>
      <c r="R2755" s="2" t="s">
        <v>26</v>
      </c>
      <c r="S2755" s="9">
        <f t="shared" si="214"/>
        <v>0.02</v>
      </c>
    </row>
    <row r="2756" spans="1:19" x14ac:dyDescent="0.25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e">
        <f>VLOOKUP('Customer Info'!A2748,'Customer Info'!A2748:I3247,2,FALSE)</f>
        <v>#N/A</v>
      </c>
      <c r="H2756" s="6" t="e">
        <f>VLOOKUP('Customer Info'!A2748,'Customer Info'!A2748:I3248,3,FALSE)</f>
        <v>#N/A</v>
      </c>
      <c r="I2756" s="6" t="e">
        <f>VLOOKUP('Customer Info'!A2748,'Customer Info'!A2748:I3247,5,FALSE)</f>
        <v>#N/A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262</v>
      </c>
      <c r="R2756" s="2" t="s">
        <v>50</v>
      </c>
      <c r="S2756" s="9">
        <f t="shared" si="214"/>
        <v>0.02</v>
      </c>
    </row>
    <row r="2757" spans="1:19" x14ac:dyDescent="0.25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e">
        <f>VLOOKUP('Customer Info'!A2749,'Customer Info'!A2749:I3248,2,FALSE)</f>
        <v>#N/A</v>
      </c>
      <c r="H2757" s="6" t="e">
        <f>VLOOKUP('Customer Info'!A2749,'Customer Info'!A2749:I3249,3,FALSE)</f>
        <v>#N/A</v>
      </c>
      <c r="I2757" s="6" t="e">
        <f>VLOOKUP('Customer Info'!A2749,'Customer Info'!A2749:I3248,5,FALSE)</f>
        <v>#N/A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54</v>
      </c>
      <c r="R2757" s="2" t="s">
        <v>28</v>
      </c>
      <c r="S2757" s="9">
        <f t="shared" si="214"/>
        <v>0.02</v>
      </c>
    </row>
    <row r="2758" spans="1:19" x14ac:dyDescent="0.25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e">
        <f>VLOOKUP('Customer Info'!A2750,'Customer Info'!A2750:I3249,2,FALSE)</f>
        <v>#N/A</v>
      </c>
      <c r="H2758" s="6" t="e">
        <f>VLOOKUP('Customer Info'!A2750,'Customer Info'!A2750:I3250,3,FALSE)</f>
        <v>#N/A</v>
      </c>
      <c r="I2758" s="6" t="e">
        <f>VLOOKUP('Customer Info'!A2750,'Customer Info'!A2750:I3249,5,FALSE)</f>
        <v>#N/A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661</v>
      </c>
      <c r="R2758" s="2" t="s">
        <v>28</v>
      </c>
      <c r="S2758" s="9">
        <f t="shared" si="214"/>
        <v>0.05</v>
      </c>
    </row>
    <row r="2759" spans="1:19" x14ac:dyDescent="0.25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e">
        <f>VLOOKUP('Customer Info'!A2751,'Customer Info'!A2751:I3250,2,FALSE)</f>
        <v>#N/A</v>
      </c>
      <c r="H2759" s="6" t="e">
        <f>VLOOKUP('Customer Info'!A2751,'Customer Info'!A2751:I3251,3,FALSE)</f>
        <v>#N/A</v>
      </c>
      <c r="I2759" s="6" t="e">
        <f>VLOOKUP('Customer Info'!A2751,'Customer Info'!A2751:I3250,5,FALSE)</f>
        <v>#N/A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75</v>
      </c>
      <c r="R2759" s="2" t="s">
        <v>50</v>
      </c>
      <c r="S2759" s="9">
        <f t="shared" si="214"/>
        <v>7.0000000000000007E-2</v>
      </c>
    </row>
    <row r="2760" spans="1:19" x14ac:dyDescent="0.25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e">
        <f>VLOOKUP('Customer Info'!A2752,'Customer Info'!A2752:I3251,2,FALSE)</f>
        <v>#N/A</v>
      </c>
      <c r="H2760" s="6" t="e">
        <f>VLOOKUP('Customer Info'!A2752,'Customer Info'!A2752:I3252,3,FALSE)</f>
        <v>#N/A</v>
      </c>
      <c r="I2760" s="6" t="e">
        <f>VLOOKUP('Customer Info'!A2752,'Customer Info'!A2752:I3251,5,FALSE)</f>
        <v>#N/A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64</v>
      </c>
      <c r="R2760" s="2" t="s">
        <v>50</v>
      </c>
      <c r="S2760" s="9">
        <f t="shared" si="214"/>
        <v>0.02</v>
      </c>
    </row>
    <row r="2761" spans="1:19" x14ac:dyDescent="0.25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e">
        <f>VLOOKUP('Customer Info'!A2753,'Customer Info'!A2753:I3252,2,FALSE)</f>
        <v>#N/A</v>
      </c>
      <c r="H2761" s="6" t="e">
        <f>VLOOKUP('Customer Info'!A2753,'Customer Info'!A2753:I3253,3,FALSE)</f>
        <v>#N/A</v>
      </c>
      <c r="I2761" s="6" t="e">
        <f>VLOOKUP('Customer Info'!A2753,'Customer Info'!A2753:I3252,5,FALSE)</f>
        <v>#N/A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114</v>
      </c>
      <c r="R2761" s="2" t="s">
        <v>28</v>
      </c>
      <c r="S2761" s="9">
        <f t="shared" si="214"/>
        <v>0.02</v>
      </c>
    </row>
    <row r="2762" spans="1:19" x14ac:dyDescent="0.25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e">
        <f>VLOOKUP('Customer Info'!A2754,'Customer Info'!A2754:I3253,2,FALSE)</f>
        <v>#N/A</v>
      </c>
      <c r="H2762" s="6" t="e">
        <f>VLOOKUP('Customer Info'!A2754,'Customer Info'!A2754:I3254,3,FALSE)</f>
        <v>#N/A</v>
      </c>
      <c r="I2762" s="6" t="e">
        <f>VLOOKUP('Customer Info'!A2754,'Customer Info'!A2754:I3253,5,FALSE)</f>
        <v>#N/A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45</v>
      </c>
      <c r="R2762" s="2" t="s">
        <v>28</v>
      </c>
      <c r="S2762" s="9">
        <f t="shared" si="214"/>
        <v>0.02</v>
      </c>
    </row>
    <row r="2763" spans="1:19" x14ac:dyDescent="0.25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e">
        <f>VLOOKUP('Customer Info'!A2755,'Customer Info'!A2755:I3254,2,FALSE)</f>
        <v>#N/A</v>
      </c>
      <c r="H2763" s="6" t="e">
        <f>VLOOKUP('Customer Info'!A2755,'Customer Info'!A2755:I3255,3,FALSE)</f>
        <v>#N/A</v>
      </c>
      <c r="I2763" s="6" t="e">
        <f>VLOOKUP('Customer Info'!A2755,'Customer Info'!A2755:I3254,5,FALSE)</f>
        <v>#N/A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8">
        <f t="shared" ref="P2763:P2826" si="217">N2763+O2763</f>
        <v>1569</v>
      </c>
      <c r="Q2763" s="8">
        <f t="shared" ref="Q2763:Q2826" si="218">P2763-M2763</f>
        <v>192</v>
      </c>
      <c r="R2763" s="2" t="s">
        <v>28</v>
      </c>
      <c r="S2763" s="9">
        <f t="shared" ref="S2763:S2826" si="219">VLOOKUP(P2763,$T$2:$U$7,2,TRUE)</f>
        <v>0.02</v>
      </c>
    </row>
    <row r="2764" spans="1:19" x14ac:dyDescent="0.25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e">
        <f>VLOOKUP('Customer Info'!A2756,'Customer Info'!A2756:I3255,2,FALSE)</f>
        <v>#N/A</v>
      </c>
      <c r="H2764" s="6" t="e">
        <f>VLOOKUP('Customer Info'!A2756,'Customer Info'!A2756:I3256,3,FALSE)</f>
        <v>#N/A</v>
      </c>
      <c r="I2764" s="6" t="e">
        <f>VLOOKUP('Customer Info'!A2756,'Customer Info'!A2756:I3255,5,FALSE)</f>
        <v>#N/A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1446</v>
      </c>
      <c r="R2764" s="2" t="s">
        <v>28</v>
      </c>
      <c r="S2764" s="9">
        <f t="shared" si="219"/>
        <v>0.05</v>
      </c>
    </row>
    <row r="2765" spans="1:19" x14ac:dyDescent="0.25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e">
        <f>VLOOKUP('Customer Info'!A2757,'Customer Info'!A2757:I3256,2,FALSE)</f>
        <v>#N/A</v>
      </c>
      <c r="H2765" s="6" t="e">
        <f>VLOOKUP('Customer Info'!A2757,'Customer Info'!A2757:I3257,3,FALSE)</f>
        <v>#N/A</v>
      </c>
      <c r="I2765" s="6" t="e">
        <f>VLOOKUP('Customer Info'!A2757,'Customer Info'!A2757:I3256,5,FALSE)</f>
        <v>#N/A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161</v>
      </c>
      <c r="R2765" s="2" t="s">
        <v>28</v>
      </c>
      <c r="S2765" s="9">
        <f t="shared" si="219"/>
        <v>0.02</v>
      </c>
    </row>
    <row r="2766" spans="1:19" x14ac:dyDescent="0.25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e">
        <f>VLOOKUP('Customer Info'!A2758,'Customer Info'!A2758:I3257,2,FALSE)</f>
        <v>#N/A</v>
      </c>
      <c r="H2766" s="6" t="e">
        <f>VLOOKUP('Customer Info'!A2758,'Customer Info'!A2758:I3258,3,FALSE)</f>
        <v>#N/A</v>
      </c>
      <c r="I2766" s="6" t="e">
        <f>VLOOKUP('Customer Info'!A2758,'Customer Info'!A2758:I3257,5,FALSE)</f>
        <v>#N/A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26963</v>
      </c>
      <c r="R2766" s="2" t="s">
        <v>50</v>
      </c>
      <c r="S2766" s="9">
        <f t="shared" si="219"/>
        <v>0.15</v>
      </c>
    </row>
    <row r="2767" spans="1:19" x14ac:dyDescent="0.25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e">
        <f>VLOOKUP('Customer Info'!A2759,'Customer Info'!A2759:I3258,2,FALSE)</f>
        <v>#N/A</v>
      </c>
      <c r="H2767" s="6" t="e">
        <f>VLOOKUP('Customer Info'!A2759,'Customer Info'!A2759:I3259,3,FALSE)</f>
        <v>#N/A</v>
      </c>
      <c r="I2767" s="6" t="e">
        <f>VLOOKUP('Customer Info'!A2759,'Customer Info'!A2759:I3258,5,FALSE)</f>
        <v>#N/A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1227</v>
      </c>
      <c r="R2767" s="2" t="s">
        <v>28</v>
      </c>
      <c r="S2767" s="9">
        <f t="shared" si="219"/>
        <v>0.05</v>
      </c>
    </row>
    <row r="2768" spans="1:19" x14ac:dyDescent="0.25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e">
        <f>VLOOKUP('Customer Info'!A2760,'Customer Info'!A2760:I3259,2,FALSE)</f>
        <v>#N/A</v>
      </c>
      <c r="H2768" s="6" t="e">
        <f>VLOOKUP('Customer Info'!A2760,'Customer Info'!A2760:I3260,3,FALSE)</f>
        <v>#N/A</v>
      </c>
      <c r="I2768" s="6" t="e">
        <f>VLOOKUP('Customer Info'!A2760,'Customer Info'!A2760:I3259,5,FALSE)</f>
        <v>#N/A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1367</v>
      </c>
      <c r="R2768" s="2" t="s">
        <v>28</v>
      </c>
      <c r="S2768" s="9">
        <f t="shared" si="219"/>
        <v>7.0000000000000007E-2</v>
      </c>
    </row>
    <row r="2769" spans="1:19" x14ac:dyDescent="0.25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e">
        <f>VLOOKUP('Customer Info'!A2761,'Customer Info'!A2761:I3260,2,FALSE)</f>
        <v>#N/A</v>
      </c>
      <c r="H2769" s="6" t="e">
        <f>VLOOKUP('Customer Info'!A2761,'Customer Info'!A2761:I3261,3,FALSE)</f>
        <v>#N/A</v>
      </c>
      <c r="I2769" s="6" t="e">
        <f>VLOOKUP('Customer Info'!A2761,'Customer Info'!A2761:I3260,5,FALSE)</f>
        <v>#N/A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696</v>
      </c>
      <c r="R2769" s="2" t="s">
        <v>56</v>
      </c>
      <c r="S2769" s="9">
        <f t="shared" si="219"/>
        <v>0.05</v>
      </c>
    </row>
    <row r="2770" spans="1:19" x14ac:dyDescent="0.25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e">
        <f>VLOOKUP('Customer Info'!A2762,'Customer Info'!A2762:I3261,2,FALSE)</f>
        <v>#N/A</v>
      </c>
      <c r="H2770" s="6" t="e">
        <f>VLOOKUP('Customer Info'!A2762,'Customer Info'!A2762:I3262,3,FALSE)</f>
        <v>#N/A</v>
      </c>
      <c r="I2770" s="6" t="e">
        <f>VLOOKUP('Customer Info'!A2762,'Customer Info'!A2762:I3261,5,FALSE)</f>
        <v>#N/A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36</v>
      </c>
      <c r="R2770" s="2" t="s">
        <v>28</v>
      </c>
      <c r="S2770" s="9">
        <f t="shared" si="219"/>
        <v>0.02</v>
      </c>
    </row>
    <row r="2771" spans="1:19" x14ac:dyDescent="0.25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e">
        <f>VLOOKUP('Customer Info'!A2763,'Customer Info'!A2763:I3262,2,FALSE)</f>
        <v>#N/A</v>
      </c>
      <c r="H2771" s="6" t="e">
        <f>VLOOKUP('Customer Info'!A2763,'Customer Info'!A2763:I3263,3,FALSE)</f>
        <v>#N/A</v>
      </c>
      <c r="I2771" s="6" t="e">
        <f>VLOOKUP('Customer Info'!A2763,'Customer Info'!A2763:I3262,5,FALSE)</f>
        <v>#N/A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1316</v>
      </c>
      <c r="R2771" s="2" t="s">
        <v>28</v>
      </c>
      <c r="S2771" s="9">
        <f t="shared" si="219"/>
        <v>0.05</v>
      </c>
    </row>
    <row r="2772" spans="1:19" x14ac:dyDescent="0.25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e">
        <f>VLOOKUP('Customer Info'!A2764,'Customer Info'!A2764:I3263,2,FALSE)</f>
        <v>#N/A</v>
      </c>
      <c r="H2772" s="6" t="e">
        <f>VLOOKUP('Customer Info'!A2764,'Customer Info'!A2764:I3264,3,FALSE)</f>
        <v>#N/A</v>
      </c>
      <c r="I2772" s="6" t="e">
        <f>VLOOKUP('Customer Info'!A2764,'Customer Info'!A2764:I3263,5,FALSE)</f>
        <v>#N/A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431</v>
      </c>
      <c r="R2772" s="2" t="s">
        <v>28</v>
      </c>
      <c r="S2772" s="9">
        <f t="shared" si="219"/>
        <v>0.05</v>
      </c>
    </row>
    <row r="2773" spans="1:19" x14ac:dyDescent="0.25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e">
        <f>VLOOKUP('Customer Info'!A2765,'Customer Info'!A2765:I3264,2,FALSE)</f>
        <v>#N/A</v>
      </c>
      <c r="H2773" s="6" t="e">
        <f>VLOOKUP('Customer Info'!A2765,'Customer Info'!A2765:I3265,3,FALSE)</f>
        <v>#N/A</v>
      </c>
      <c r="I2773" s="6" t="e">
        <f>VLOOKUP('Customer Info'!A2765,'Customer Info'!A2765:I3264,5,FALSE)</f>
        <v>#N/A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28</v>
      </c>
      <c r="R2773" s="2" t="s">
        <v>28</v>
      </c>
      <c r="S2773" s="9">
        <f t="shared" si="219"/>
        <v>0.02</v>
      </c>
    </row>
    <row r="2774" spans="1:19" x14ac:dyDescent="0.25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e">
        <f>VLOOKUP('Customer Info'!A2766,'Customer Info'!A2766:I3265,2,FALSE)</f>
        <v>#N/A</v>
      </c>
      <c r="H2774" s="6" t="e">
        <f>VLOOKUP('Customer Info'!A2766,'Customer Info'!A2766:I3266,3,FALSE)</f>
        <v>#N/A</v>
      </c>
      <c r="I2774" s="6" t="e">
        <f>VLOOKUP('Customer Info'!A2766,'Customer Info'!A2766:I3265,5,FALSE)</f>
        <v>#N/A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110</v>
      </c>
      <c r="R2774" s="2" t="s">
        <v>28</v>
      </c>
      <c r="S2774" s="9">
        <f t="shared" si="219"/>
        <v>0.02</v>
      </c>
    </row>
    <row r="2775" spans="1:19" x14ac:dyDescent="0.25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e">
        <f>VLOOKUP('Customer Info'!A2767,'Customer Info'!A2767:I3266,2,FALSE)</f>
        <v>#N/A</v>
      </c>
      <c r="H2775" s="6" t="e">
        <f>VLOOKUP('Customer Info'!A2767,'Customer Info'!A2767:I3267,3,FALSE)</f>
        <v>#N/A</v>
      </c>
      <c r="I2775" s="6" t="e">
        <f>VLOOKUP('Customer Info'!A2767,'Customer Info'!A2767:I3266,5,FALSE)</f>
        <v>#N/A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1216</v>
      </c>
      <c r="R2775" s="2" t="s">
        <v>28</v>
      </c>
      <c r="S2775" s="9">
        <f t="shared" si="219"/>
        <v>0.05</v>
      </c>
    </row>
    <row r="2776" spans="1:19" x14ac:dyDescent="0.25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e">
        <f>VLOOKUP('Customer Info'!A2768,'Customer Info'!A2768:I3267,2,FALSE)</f>
        <v>#N/A</v>
      </c>
      <c r="H2776" s="6" t="e">
        <f>VLOOKUP('Customer Info'!A2768,'Customer Info'!A2768:I3268,3,FALSE)</f>
        <v>#N/A</v>
      </c>
      <c r="I2776" s="6" t="e">
        <f>VLOOKUP('Customer Info'!A2768,'Customer Info'!A2768:I3267,5,FALSE)</f>
        <v>#N/A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4588</v>
      </c>
      <c r="R2776" s="2" t="s">
        <v>50</v>
      </c>
      <c r="S2776" s="9">
        <f t="shared" si="219"/>
        <v>0.09</v>
      </c>
    </row>
    <row r="2777" spans="1:19" x14ac:dyDescent="0.25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e">
        <f>VLOOKUP('Customer Info'!A2769,'Customer Info'!A2769:I3268,2,FALSE)</f>
        <v>#N/A</v>
      </c>
      <c r="H2777" s="6" t="e">
        <f>VLOOKUP('Customer Info'!A2769,'Customer Info'!A2769:I3269,3,FALSE)</f>
        <v>#N/A</v>
      </c>
      <c r="I2777" s="6" t="e">
        <f>VLOOKUP('Customer Info'!A2769,'Customer Info'!A2769:I3268,5,FALSE)</f>
        <v>#N/A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2049</v>
      </c>
      <c r="R2777" s="2" t="s">
        <v>28</v>
      </c>
      <c r="S2777" s="9">
        <f t="shared" si="219"/>
        <v>0.05</v>
      </c>
    </row>
    <row r="2778" spans="1:19" x14ac:dyDescent="0.25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e">
        <f>VLOOKUP('Customer Info'!A2770,'Customer Info'!A2770:I3269,2,FALSE)</f>
        <v>#N/A</v>
      </c>
      <c r="H2778" s="6" t="e">
        <f>VLOOKUP('Customer Info'!A2770,'Customer Info'!A2770:I3270,3,FALSE)</f>
        <v>#N/A</v>
      </c>
      <c r="I2778" s="6" t="e">
        <f>VLOOKUP('Customer Info'!A2770,'Customer Info'!A2770:I3269,5,FALSE)</f>
        <v>#N/A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77</v>
      </c>
      <c r="R2778" s="2" t="s">
        <v>28</v>
      </c>
      <c r="S2778" s="9">
        <f t="shared" si="219"/>
        <v>0.02</v>
      </c>
    </row>
    <row r="2779" spans="1:19" x14ac:dyDescent="0.25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e">
        <f>VLOOKUP('Customer Info'!A2771,'Customer Info'!A2771:I3270,2,FALSE)</f>
        <v>#N/A</v>
      </c>
      <c r="H2779" s="6" t="e">
        <f>VLOOKUP('Customer Info'!A2771,'Customer Info'!A2771:I3271,3,FALSE)</f>
        <v>#N/A</v>
      </c>
      <c r="I2779" s="6" t="e">
        <f>VLOOKUP('Customer Info'!A2771,'Customer Info'!A2771:I3270,5,FALSE)</f>
        <v>#N/A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453</v>
      </c>
      <c r="R2779" s="2" t="s">
        <v>50</v>
      </c>
      <c r="S2779" s="9">
        <f t="shared" si="219"/>
        <v>0.02</v>
      </c>
    </row>
    <row r="2780" spans="1:19" x14ac:dyDescent="0.25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e">
        <f>VLOOKUP('Customer Info'!A2772,'Customer Info'!A2772:I3271,2,FALSE)</f>
        <v>#N/A</v>
      </c>
      <c r="H2780" s="6" t="e">
        <f>VLOOKUP('Customer Info'!A2772,'Customer Info'!A2772:I3272,3,FALSE)</f>
        <v>#N/A</v>
      </c>
      <c r="I2780" s="6" t="e">
        <f>VLOOKUP('Customer Info'!A2772,'Customer Info'!A2772:I3271,5,FALSE)</f>
        <v>#N/A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317</v>
      </c>
      <c r="R2780" s="2" t="s">
        <v>28</v>
      </c>
      <c r="S2780" s="9">
        <f t="shared" si="219"/>
        <v>0.02</v>
      </c>
    </row>
    <row r="2781" spans="1:19" x14ac:dyDescent="0.25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e">
        <f>VLOOKUP('Customer Info'!A2773,'Customer Info'!A2773:I3272,2,FALSE)</f>
        <v>#N/A</v>
      </c>
      <c r="H2781" s="6" t="e">
        <f>VLOOKUP('Customer Info'!A2773,'Customer Info'!A2773:I3273,3,FALSE)</f>
        <v>#N/A</v>
      </c>
      <c r="I2781" s="6" t="e">
        <f>VLOOKUP('Customer Info'!A2773,'Customer Info'!A2773:I3272,5,FALSE)</f>
        <v>#N/A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1272</v>
      </c>
      <c r="R2781" s="2" t="s">
        <v>28</v>
      </c>
      <c r="S2781" s="9">
        <f t="shared" si="219"/>
        <v>0.05</v>
      </c>
    </row>
    <row r="2782" spans="1:19" x14ac:dyDescent="0.25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e">
        <f>VLOOKUP('Customer Info'!A2774,'Customer Info'!A2774:I3273,2,FALSE)</f>
        <v>#N/A</v>
      </c>
      <c r="H2782" s="6" t="e">
        <f>VLOOKUP('Customer Info'!A2774,'Customer Info'!A2774:I3274,3,FALSE)</f>
        <v>#N/A</v>
      </c>
      <c r="I2782" s="6" t="e">
        <f>VLOOKUP('Customer Info'!A2774,'Customer Info'!A2774:I3273,5,FALSE)</f>
        <v>#N/A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166</v>
      </c>
      <c r="R2782" s="2" t="s">
        <v>56</v>
      </c>
      <c r="S2782" s="9">
        <f t="shared" si="219"/>
        <v>0.02</v>
      </c>
    </row>
    <row r="2783" spans="1:19" x14ac:dyDescent="0.25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e">
        <f>VLOOKUP('Customer Info'!A2775,'Customer Info'!A2775:I3274,2,FALSE)</f>
        <v>#N/A</v>
      </c>
      <c r="H2783" s="6" t="e">
        <f>VLOOKUP('Customer Info'!A2775,'Customer Info'!A2775:I3275,3,FALSE)</f>
        <v>#N/A</v>
      </c>
      <c r="I2783" s="6" t="e">
        <f>VLOOKUP('Customer Info'!A2775,'Customer Info'!A2775:I3274,5,FALSE)</f>
        <v>#N/A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736</v>
      </c>
      <c r="R2783" s="2" t="s">
        <v>50</v>
      </c>
      <c r="S2783" s="9">
        <f t="shared" si="219"/>
        <v>0.05</v>
      </c>
    </row>
    <row r="2784" spans="1:19" x14ac:dyDescent="0.25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e">
        <f>VLOOKUP('Customer Info'!A2776,'Customer Info'!A2776:I3275,2,FALSE)</f>
        <v>#N/A</v>
      </c>
      <c r="H2784" s="6" t="e">
        <f>VLOOKUP('Customer Info'!A2776,'Customer Info'!A2776:I3276,3,FALSE)</f>
        <v>#N/A</v>
      </c>
      <c r="I2784" s="6" t="e">
        <f>VLOOKUP('Customer Info'!A2776,'Customer Info'!A2776:I3275,5,FALSE)</f>
        <v>#N/A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502</v>
      </c>
      <c r="R2784" s="2" t="s">
        <v>50</v>
      </c>
      <c r="S2784" s="9">
        <f t="shared" si="219"/>
        <v>0.05</v>
      </c>
    </row>
    <row r="2785" spans="1:19" x14ac:dyDescent="0.25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e">
        <f>VLOOKUP('Customer Info'!A2777,'Customer Info'!A2777:I3276,2,FALSE)</f>
        <v>#N/A</v>
      </c>
      <c r="H2785" s="6" t="e">
        <f>VLOOKUP('Customer Info'!A2777,'Customer Info'!A2777:I3277,3,FALSE)</f>
        <v>#N/A</v>
      </c>
      <c r="I2785" s="6" t="e">
        <f>VLOOKUP('Customer Info'!A2777,'Customer Info'!A2777:I3276,5,FALSE)</f>
        <v>#N/A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403</v>
      </c>
      <c r="R2785" s="2" t="s">
        <v>28</v>
      </c>
      <c r="S2785" s="9">
        <f t="shared" si="219"/>
        <v>0.05</v>
      </c>
    </row>
    <row r="2786" spans="1:19" x14ac:dyDescent="0.25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e">
        <f>VLOOKUP('Customer Info'!A2778,'Customer Info'!A2778:I3277,2,FALSE)</f>
        <v>#N/A</v>
      </c>
      <c r="H2786" s="6" t="e">
        <f>VLOOKUP('Customer Info'!A2778,'Customer Info'!A2778:I3278,3,FALSE)</f>
        <v>#N/A</v>
      </c>
      <c r="I2786" s="6" t="e">
        <f>VLOOKUP('Customer Info'!A2778,'Customer Info'!A2778:I3277,5,FALSE)</f>
        <v>#N/A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44</v>
      </c>
      <c r="R2786" s="2" t="s">
        <v>50</v>
      </c>
      <c r="S2786" s="9">
        <f t="shared" si="219"/>
        <v>0.02</v>
      </c>
    </row>
    <row r="2787" spans="1:19" x14ac:dyDescent="0.25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e">
        <f>VLOOKUP('Customer Info'!A2779,'Customer Info'!A2779:I3278,2,FALSE)</f>
        <v>#N/A</v>
      </c>
      <c r="H2787" s="6" t="e">
        <f>VLOOKUP('Customer Info'!A2779,'Customer Info'!A2779:I3279,3,FALSE)</f>
        <v>#N/A</v>
      </c>
      <c r="I2787" s="6" t="e">
        <f>VLOOKUP('Customer Info'!A2779,'Customer Info'!A2779:I3278,5,FALSE)</f>
        <v>#N/A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683</v>
      </c>
      <c r="R2787" s="2" t="s">
        <v>50</v>
      </c>
      <c r="S2787" s="9">
        <f t="shared" si="219"/>
        <v>0.05</v>
      </c>
    </row>
    <row r="2788" spans="1:19" x14ac:dyDescent="0.25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e">
        <f>VLOOKUP('Customer Info'!A2780,'Customer Info'!A2780:I3279,2,FALSE)</f>
        <v>#N/A</v>
      </c>
      <c r="H2788" s="6" t="e">
        <f>VLOOKUP('Customer Info'!A2780,'Customer Info'!A2780:I3280,3,FALSE)</f>
        <v>#N/A</v>
      </c>
      <c r="I2788" s="6" t="e">
        <f>VLOOKUP('Customer Info'!A2780,'Customer Info'!A2780:I3279,5,FALSE)</f>
        <v>#N/A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364</v>
      </c>
      <c r="R2788" s="2" t="s">
        <v>50</v>
      </c>
      <c r="S2788" s="9">
        <f t="shared" si="219"/>
        <v>0.02</v>
      </c>
    </row>
    <row r="2789" spans="1:19" x14ac:dyDescent="0.25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e">
        <f>VLOOKUP('Customer Info'!A2781,'Customer Info'!A2781:I3280,2,FALSE)</f>
        <v>#N/A</v>
      </c>
      <c r="H2789" s="6" t="e">
        <f>VLOOKUP('Customer Info'!A2781,'Customer Info'!A2781:I3281,3,FALSE)</f>
        <v>#N/A</v>
      </c>
      <c r="I2789" s="6" t="e">
        <f>VLOOKUP('Customer Info'!A2781,'Customer Info'!A2781:I3280,5,FALSE)</f>
        <v>#N/A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238</v>
      </c>
      <c r="R2789" s="2" t="s">
        <v>28</v>
      </c>
      <c r="S2789" s="9">
        <f t="shared" si="219"/>
        <v>0.02</v>
      </c>
    </row>
    <row r="2790" spans="1:19" x14ac:dyDescent="0.25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e">
        <f>VLOOKUP('Customer Info'!A2782,'Customer Info'!A2782:I3281,2,FALSE)</f>
        <v>#N/A</v>
      </c>
      <c r="H2790" s="6" t="e">
        <f>VLOOKUP('Customer Info'!A2782,'Customer Info'!A2782:I3282,3,FALSE)</f>
        <v>#N/A</v>
      </c>
      <c r="I2790" s="6" t="e">
        <f>VLOOKUP('Customer Info'!A2782,'Customer Info'!A2782:I3281,5,FALSE)</f>
        <v>#N/A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892</v>
      </c>
      <c r="R2790" s="2" t="s">
        <v>28</v>
      </c>
      <c r="S2790" s="9">
        <f t="shared" si="219"/>
        <v>0.05</v>
      </c>
    </row>
    <row r="2791" spans="1:19" x14ac:dyDescent="0.25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e">
        <f>VLOOKUP('Customer Info'!A2783,'Customer Info'!A2783:I3282,2,FALSE)</f>
        <v>#N/A</v>
      </c>
      <c r="H2791" s="6" t="e">
        <f>VLOOKUP('Customer Info'!A2783,'Customer Info'!A2783:I3283,3,FALSE)</f>
        <v>#N/A</v>
      </c>
      <c r="I2791" s="6" t="e">
        <f>VLOOKUP('Customer Info'!A2783,'Customer Info'!A2783:I3282,5,FALSE)</f>
        <v>#N/A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351</v>
      </c>
      <c r="R2791" s="2" t="s">
        <v>28</v>
      </c>
      <c r="S2791" s="9">
        <f t="shared" si="219"/>
        <v>0.02</v>
      </c>
    </row>
    <row r="2792" spans="1:19" x14ac:dyDescent="0.25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e">
        <f>VLOOKUP('Customer Info'!A2784,'Customer Info'!A2784:I3283,2,FALSE)</f>
        <v>#N/A</v>
      </c>
      <c r="H2792" s="6" t="e">
        <f>VLOOKUP('Customer Info'!A2784,'Customer Info'!A2784:I3284,3,FALSE)</f>
        <v>#N/A</v>
      </c>
      <c r="I2792" s="6" t="e">
        <f>VLOOKUP('Customer Info'!A2784,'Customer Info'!A2784:I3283,5,FALSE)</f>
        <v>#N/A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18</v>
      </c>
      <c r="R2792" s="2" t="s">
        <v>28</v>
      </c>
      <c r="S2792" s="9">
        <f t="shared" si="219"/>
        <v>0.02</v>
      </c>
    </row>
    <row r="2793" spans="1:19" x14ac:dyDescent="0.25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e">
        <f>VLOOKUP('Customer Info'!A2785,'Customer Info'!A2785:I3284,2,FALSE)</f>
        <v>#N/A</v>
      </c>
      <c r="H2793" s="6" t="e">
        <f>VLOOKUP('Customer Info'!A2785,'Customer Info'!A2785:I3285,3,FALSE)</f>
        <v>#N/A</v>
      </c>
      <c r="I2793" s="6" t="e">
        <f>VLOOKUP('Customer Info'!A2785,'Customer Info'!A2785:I3284,5,FALSE)</f>
        <v>#N/A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825</v>
      </c>
      <c r="R2793" s="2" t="s">
        <v>26</v>
      </c>
      <c r="S2793" s="9">
        <f t="shared" si="219"/>
        <v>0.05</v>
      </c>
    </row>
    <row r="2794" spans="1:19" x14ac:dyDescent="0.25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e">
        <f>VLOOKUP('Customer Info'!A2786,'Customer Info'!A2786:I3285,2,FALSE)</f>
        <v>#N/A</v>
      </c>
      <c r="H2794" s="6" t="e">
        <f>VLOOKUP('Customer Info'!A2786,'Customer Info'!A2786:I3286,3,FALSE)</f>
        <v>#N/A</v>
      </c>
      <c r="I2794" s="6" t="e">
        <f>VLOOKUP('Customer Info'!A2786,'Customer Info'!A2786:I3285,5,FALSE)</f>
        <v>#N/A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415</v>
      </c>
      <c r="R2794" s="2" t="s">
        <v>26</v>
      </c>
      <c r="S2794" s="9">
        <f t="shared" si="219"/>
        <v>0.05</v>
      </c>
    </row>
    <row r="2795" spans="1:19" x14ac:dyDescent="0.25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e">
        <f>VLOOKUP('Customer Info'!A2787,'Customer Info'!A2787:I3286,2,FALSE)</f>
        <v>#N/A</v>
      </c>
      <c r="H2795" s="6" t="e">
        <f>VLOOKUP('Customer Info'!A2787,'Customer Info'!A2787:I3287,3,FALSE)</f>
        <v>#N/A</v>
      </c>
      <c r="I2795" s="6" t="e">
        <f>VLOOKUP('Customer Info'!A2787,'Customer Info'!A2787:I3286,5,FALSE)</f>
        <v>#N/A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303</v>
      </c>
      <c r="R2795" s="2" t="s">
        <v>28</v>
      </c>
      <c r="S2795" s="9">
        <f t="shared" si="219"/>
        <v>0.02</v>
      </c>
    </row>
    <row r="2796" spans="1:19" x14ac:dyDescent="0.25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e">
        <f>VLOOKUP('Customer Info'!A2788,'Customer Info'!A2788:I3287,2,FALSE)</f>
        <v>#N/A</v>
      </c>
      <c r="H2796" s="6" t="e">
        <f>VLOOKUP('Customer Info'!A2788,'Customer Info'!A2788:I3288,3,FALSE)</f>
        <v>#N/A</v>
      </c>
      <c r="I2796" s="6" t="e">
        <f>VLOOKUP('Customer Info'!A2788,'Customer Info'!A2788:I3287,5,FALSE)</f>
        <v>#N/A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2475</v>
      </c>
      <c r="R2796" s="2" t="s">
        <v>28</v>
      </c>
      <c r="S2796" s="9">
        <f t="shared" si="219"/>
        <v>7.0000000000000007E-2</v>
      </c>
    </row>
    <row r="2797" spans="1:19" x14ac:dyDescent="0.25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e">
        <f>VLOOKUP('Customer Info'!A2789,'Customer Info'!A2789:I3288,2,FALSE)</f>
        <v>#N/A</v>
      </c>
      <c r="H2797" s="6" t="e">
        <f>VLOOKUP('Customer Info'!A2789,'Customer Info'!A2789:I3289,3,FALSE)</f>
        <v>#N/A</v>
      </c>
      <c r="I2797" s="6" t="e">
        <f>VLOOKUP('Customer Info'!A2789,'Customer Info'!A2789:I3288,5,FALSE)</f>
        <v>#N/A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4077</v>
      </c>
      <c r="R2797" s="2" t="s">
        <v>28</v>
      </c>
      <c r="S2797" s="9">
        <f t="shared" si="219"/>
        <v>0.09</v>
      </c>
    </row>
    <row r="2798" spans="1:19" x14ac:dyDescent="0.25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e">
        <f>VLOOKUP('Customer Info'!A2790,'Customer Info'!A2790:I3289,2,FALSE)</f>
        <v>#N/A</v>
      </c>
      <c r="H2798" s="6" t="e">
        <f>VLOOKUP('Customer Info'!A2790,'Customer Info'!A2790:I3290,3,FALSE)</f>
        <v>#N/A</v>
      </c>
      <c r="I2798" s="6" t="e">
        <f>VLOOKUP('Customer Info'!A2790,'Customer Info'!A2790:I3289,5,FALSE)</f>
        <v>#N/A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205</v>
      </c>
      <c r="R2798" s="2" t="s">
        <v>28</v>
      </c>
      <c r="S2798" s="9">
        <f t="shared" si="219"/>
        <v>0.02</v>
      </c>
    </row>
    <row r="2799" spans="1:19" x14ac:dyDescent="0.25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e">
        <f>VLOOKUP('Customer Info'!A2791,'Customer Info'!A2791:I3290,2,FALSE)</f>
        <v>#N/A</v>
      </c>
      <c r="H2799" s="6" t="e">
        <f>VLOOKUP('Customer Info'!A2791,'Customer Info'!A2791:I3291,3,FALSE)</f>
        <v>#N/A</v>
      </c>
      <c r="I2799" s="6" t="e">
        <f>VLOOKUP('Customer Info'!A2791,'Customer Info'!A2791:I3290,5,FALSE)</f>
        <v>#N/A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198</v>
      </c>
      <c r="R2799" s="2" t="s">
        <v>28</v>
      </c>
      <c r="S2799" s="9">
        <f t="shared" si="219"/>
        <v>0.02</v>
      </c>
    </row>
    <row r="2800" spans="1:19" x14ac:dyDescent="0.25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e">
        <f>VLOOKUP('Customer Info'!A2792,'Customer Info'!A2792:I3291,2,FALSE)</f>
        <v>#N/A</v>
      </c>
      <c r="H2800" s="6" t="e">
        <f>VLOOKUP('Customer Info'!A2792,'Customer Info'!A2792:I3292,3,FALSE)</f>
        <v>#N/A</v>
      </c>
      <c r="I2800" s="6" t="e">
        <f>VLOOKUP('Customer Info'!A2792,'Customer Info'!A2792:I3291,5,FALSE)</f>
        <v>#N/A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2559</v>
      </c>
      <c r="R2800" s="2" t="s">
        <v>28</v>
      </c>
      <c r="S2800" s="9">
        <f t="shared" si="219"/>
        <v>0.09</v>
      </c>
    </row>
    <row r="2801" spans="1:19" x14ac:dyDescent="0.25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e">
        <f>VLOOKUP('Customer Info'!A2793,'Customer Info'!A2793:I3292,2,FALSE)</f>
        <v>#N/A</v>
      </c>
      <c r="H2801" s="6" t="e">
        <f>VLOOKUP('Customer Info'!A2793,'Customer Info'!A2793:I3293,3,FALSE)</f>
        <v>#N/A</v>
      </c>
      <c r="I2801" s="6" t="e">
        <f>VLOOKUP('Customer Info'!A2793,'Customer Info'!A2793:I3292,5,FALSE)</f>
        <v>#N/A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533</v>
      </c>
      <c r="R2801" s="2" t="s">
        <v>28</v>
      </c>
      <c r="S2801" s="9">
        <f t="shared" si="219"/>
        <v>0.05</v>
      </c>
    </row>
    <row r="2802" spans="1:19" x14ac:dyDescent="0.25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e">
        <f>VLOOKUP('Customer Info'!A2794,'Customer Info'!A2794:I3293,2,FALSE)</f>
        <v>#N/A</v>
      </c>
      <c r="H2802" s="6" t="e">
        <f>VLOOKUP('Customer Info'!A2794,'Customer Info'!A2794:I3294,3,FALSE)</f>
        <v>#N/A</v>
      </c>
      <c r="I2802" s="6" t="e">
        <f>VLOOKUP('Customer Info'!A2794,'Customer Info'!A2794:I3293,5,FALSE)</f>
        <v>#N/A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63</v>
      </c>
      <c r="R2802" s="2" t="s">
        <v>50</v>
      </c>
      <c r="S2802" s="9">
        <f t="shared" si="219"/>
        <v>0.02</v>
      </c>
    </row>
    <row r="2803" spans="1:19" x14ac:dyDescent="0.25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e">
        <f>VLOOKUP('Customer Info'!A2795,'Customer Info'!A2795:I3294,2,FALSE)</f>
        <v>#N/A</v>
      </c>
      <c r="H2803" s="6" t="e">
        <f>VLOOKUP('Customer Info'!A2795,'Customer Info'!A2795:I3295,3,FALSE)</f>
        <v>#N/A</v>
      </c>
      <c r="I2803" s="6" t="e">
        <f>VLOOKUP('Customer Info'!A2795,'Customer Info'!A2795:I3294,5,FALSE)</f>
        <v>#N/A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682</v>
      </c>
      <c r="R2803" s="2" t="s">
        <v>28</v>
      </c>
      <c r="S2803" s="9">
        <f t="shared" si="219"/>
        <v>0.05</v>
      </c>
    </row>
    <row r="2804" spans="1:19" x14ac:dyDescent="0.25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e">
        <f>VLOOKUP('Customer Info'!A2796,'Customer Info'!A2796:I3295,2,FALSE)</f>
        <v>#N/A</v>
      </c>
      <c r="H2804" s="6" t="e">
        <f>VLOOKUP('Customer Info'!A2796,'Customer Info'!A2796:I3296,3,FALSE)</f>
        <v>#N/A</v>
      </c>
      <c r="I2804" s="6" t="e">
        <f>VLOOKUP('Customer Info'!A2796,'Customer Info'!A2796:I3295,5,FALSE)</f>
        <v>#N/A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54</v>
      </c>
      <c r="R2804" s="2" t="s">
        <v>50</v>
      </c>
      <c r="S2804" s="9">
        <f t="shared" si="219"/>
        <v>0.02</v>
      </c>
    </row>
    <row r="2805" spans="1:19" x14ac:dyDescent="0.25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e">
        <f>VLOOKUP('Customer Info'!A2797,'Customer Info'!A2797:I3296,2,FALSE)</f>
        <v>#N/A</v>
      </c>
      <c r="H2805" s="6" t="e">
        <f>VLOOKUP('Customer Info'!A2797,'Customer Info'!A2797:I3297,3,FALSE)</f>
        <v>#N/A</v>
      </c>
      <c r="I2805" s="6" t="e">
        <f>VLOOKUP('Customer Info'!A2797,'Customer Info'!A2797:I3296,5,FALSE)</f>
        <v>#N/A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206</v>
      </c>
      <c r="R2805" s="2" t="s">
        <v>28</v>
      </c>
      <c r="S2805" s="9">
        <f t="shared" si="219"/>
        <v>0.02</v>
      </c>
    </row>
    <row r="2806" spans="1:19" x14ac:dyDescent="0.25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e">
        <f>VLOOKUP('Customer Info'!A2798,'Customer Info'!A2798:I3297,2,FALSE)</f>
        <v>#N/A</v>
      </c>
      <c r="H2806" s="6" t="e">
        <f>VLOOKUP('Customer Info'!A2798,'Customer Info'!A2798:I3298,3,FALSE)</f>
        <v>#N/A</v>
      </c>
      <c r="I2806" s="6" t="e">
        <f>VLOOKUP('Customer Info'!A2798,'Customer Info'!A2798:I3297,5,FALSE)</f>
        <v>#N/A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564</v>
      </c>
      <c r="R2806" s="2" t="s">
        <v>50</v>
      </c>
      <c r="S2806" s="9">
        <f t="shared" si="219"/>
        <v>0.05</v>
      </c>
    </row>
    <row r="2807" spans="1:19" x14ac:dyDescent="0.25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e">
        <f>VLOOKUP('Customer Info'!A2799,'Customer Info'!A2799:I3298,2,FALSE)</f>
        <v>#N/A</v>
      </c>
      <c r="H2807" s="6" t="e">
        <f>VLOOKUP('Customer Info'!A2799,'Customer Info'!A2799:I3299,3,FALSE)</f>
        <v>#N/A</v>
      </c>
      <c r="I2807" s="6" t="e">
        <f>VLOOKUP('Customer Info'!A2799,'Customer Info'!A2799:I3298,5,FALSE)</f>
        <v>#N/A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386</v>
      </c>
      <c r="R2807" s="2" t="s">
        <v>28</v>
      </c>
      <c r="S2807" s="9">
        <f t="shared" si="219"/>
        <v>0.02</v>
      </c>
    </row>
    <row r="2808" spans="1:19" x14ac:dyDescent="0.25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e">
        <f>VLOOKUP('Customer Info'!A2800,'Customer Info'!A2800:I3299,2,FALSE)</f>
        <v>#N/A</v>
      </c>
      <c r="H2808" s="6" t="e">
        <f>VLOOKUP('Customer Info'!A2800,'Customer Info'!A2800:I3300,3,FALSE)</f>
        <v>#N/A</v>
      </c>
      <c r="I2808" s="6" t="e">
        <f>VLOOKUP('Customer Info'!A2800,'Customer Info'!A2800:I3299,5,FALSE)</f>
        <v>#N/A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2485</v>
      </c>
      <c r="R2808" s="2" t="s">
        <v>50</v>
      </c>
      <c r="S2808" s="9">
        <f t="shared" si="219"/>
        <v>7.0000000000000007E-2</v>
      </c>
    </row>
    <row r="2809" spans="1:19" x14ac:dyDescent="0.25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e">
        <f>VLOOKUP('Customer Info'!A2801,'Customer Info'!A2801:I3300,2,FALSE)</f>
        <v>#N/A</v>
      </c>
      <c r="H2809" s="6" t="e">
        <f>VLOOKUP('Customer Info'!A2801,'Customer Info'!A2801:I3301,3,FALSE)</f>
        <v>#N/A</v>
      </c>
      <c r="I2809" s="6" t="e">
        <f>VLOOKUP('Customer Info'!A2801,'Customer Info'!A2801:I3300,5,FALSE)</f>
        <v>#N/A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869</v>
      </c>
      <c r="R2809" s="2" t="s">
        <v>28</v>
      </c>
      <c r="S2809" s="9">
        <f t="shared" si="219"/>
        <v>0.05</v>
      </c>
    </row>
    <row r="2810" spans="1:19" x14ac:dyDescent="0.25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e">
        <f>VLOOKUP('Customer Info'!A2802,'Customer Info'!A2802:I3301,2,FALSE)</f>
        <v>#N/A</v>
      </c>
      <c r="H2810" s="6" t="e">
        <f>VLOOKUP('Customer Info'!A2802,'Customer Info'!A2802:I3302,3,FALSE)</f>
        <v>#N/A</v>
      </c>
      <c r="I2810" s="6" t="e">
        <f>VLOOKUP('Customer Info'!A2802,'Customer Info'!A2802:I3301,5,FALSE)</f>
        <v>#N/A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1953</v>
      </c>
      <c r="R2810" s="2" t="s">
        <v>26</v>
      </c>
      <c r="S2810" s="9">
        <f t="shared" si="219"/>
        <v>7.0000000000000007E-2</v>
      </c>
    </row>
    <row r="2811" spans="1:19" x14ac:dyDescent="0.25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e">
        <f>VLOOKUP('Customer Info'!A2803,'Customer Info'!A2803:I3302,2,FALSE)</f>
        <v>#N/A</v>
      </c>
      <c r="H2811" s="6" t="e">
        <f>VLOOKUP('Customer Info'!A2803,'Customer Info'!A2803:I3303,3,FALSE)</f>
        <v>#N/A</v>
      </c>
      <c r="I2811" s="6" t="e">
        <f>VLOOKUP('Customer Info'!A2803,'Customer Info'!A2803:I3302,5,FALSE)</f>
        <v>#N/A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291</v>
      </c>
      <c r="R2811" s="2" t="s">
        <v>28</v>
      </c>
      <c r="S2811" s="9">
        <f t="shared" si="219"/>
        <v>0.02</v>
      </c>
    </row>
    <row r="2812" spans="1:19" x14ac:dyDescent="0.25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e">
        <f>VLOOKUP('Customer Info'!A2804,'Customer Info'!A2804:I3303,2,FALSE)</f>
        <v>#N/A</v>
      </c>
      <c r="H2812" s="6" t="e">
        <f>VLOOKUP('Customer Info'!A2804,'Customer Info'!A2804:I3304,3,FALSE)</f>
        <v>#N/A</v>
      </c>
      <c r="I2812" s="6" t="e">
        <f>VLOOKUP('Customer Info'!A2804,'Customer Info'!A2804:I3303,5,FALSE)</f>
        <v>#N/A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194</v>
      </c>
      <c r="R2812" s="2" t="s">
        <v>28</v>
      </c>
      <c r="S2812" s="9">
        <f t="shared" si="219"/>
        <v>0.02</v>
      </c>
    </row>
    <row r="2813" spans="1:19" x14ac:dyDescent="0.25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e">
        <f>VLOOKUP('Customer Info'!A2805,'Customer Info'!A2805:I3304,2,FALSE)</f>
        <v>#N/A</v>
      </c>
      <c r="H2813" s="6" t="e">
        <f>VLOOKUP('Customer Info'!A2805,'Customer Info'!A2805:I3305,3,FALSE)</f>
        <v>#N/A</v>
      </c>
      <c r="I2813" s="6" t="e">
        <f>VLOOKUP('Customer Info'!A2805,'Customer Info'!A2805:I3304,5,FALSE)</f>
        <v>#N/A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339</v>
      </c>
      <c r="R2813" s="2" t="s">
        <v>28</v>
      </c>
      <c r="S2813" s="9">
        <f t="shared" si="219"/>
        <v>0.02</v>
      </c>
    </row>
    <row r="2814" spans="1:19" x14ac:dyDescent="0.25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e">
        <f>VLOOKUP('Customer Info'!A2806,'Customer Info'!A2806:I3305,2,FALSE)</f>
        <v>#N/A</v>
      </c>
      <c r="H2814" s="6" t="e">
        <f>VLOOKUP('Customer Info'!A2806,'Customer Info'!A2806:I3306,3,FALSE)</f>
        <v>#N/A</v>
      </c>
      <c r="I2814" s="6" t="e">
        <f>VLOOKUP('Customer Info'!A2806,'Customer Info'!A2806:I3305,5,FALSE)</f>
        <v>#N/A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12</v>
      </c>
      <c r="R2814" s="2" t="s">
        <v>28</v>
      </c>
      <c r="S2814" s="9">
        <f t="shared" si="219"/>
        <v>0.02</v>
      </c>
    </row>
    <row r="2815" spans="1:19" x14ac:dyDescent="0.25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e">
        <f>VLOOKUP('Customer Info'!A2807,'Customer Info'!A2807:I3306,2,FALSE)</f>
        <v>#N/A</v>
      </c>
      <c r="H2815" s="6" t="e">
        <f>VLOOKUP('Customer Info'!A2807,'Customer Info'!A2807:I3307,3,FALSE)</f>
        <v>#N/A</v>
      </c>
      <c r="I2815" s="6" t="e">
        <f>VLOOKUP('Customer Info'!A2807,'Customer Info'!A2807:I3306,5,FALSE)</f>
        <v>#N/A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694</v>
      </c>
      <c r="R2815" s="2" t="s">
        <v>28</v>
      </c>
      <c r="S2815" s="9">
        <f t="shared" si="219"/>
        <v>0.05</v>
      </c>
    </row>
    <row r="2816" spans="1:19" x14ac:dyDescent="0.25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e">
        <f>VLOOKUP('Customer Info'!A2808,'Customer Info'!A2808:I3307,2,FALSE)</f>
        <v>#N/A</v>
      </c>
      <c r="H2816" s="6" t="e">
        <f>VLOOKUP('Customer Info'!A2808,'Customer Info'!A2808:I3308,3,FALSE)</f>
        <v>#N/A</v>
      </c>
      <c r="I2816" s="6" t="e">
        <f>VLOOKUP('Customer Info'!A2808,'Customer Info'!A2808:I3307,5,FALSE)</f>
        <v>#N/A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1290</v>
      </c>
      <c r="R2816" s="2" t="s">
        <v>26</v>
      </c>
      <c r="S2816" s="9">
        <f t="shared" si="219"/>
        <v>0.05</v>
      </c>
    </row>
    <row r="2817" spans="1:19" x14ac:dyDescent="0.25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e">
        <f>VLOOKUP('Customer Info'!A2809,'Customer Info'!A2809:I3308,2,FALSE)</f>
        <v>#N/A</v>
      </c>
      <c r="H2817" s="6" t="e">
        <f>VLOOKUP('Customer Info'!A2809,'Customer Info'!A2809:I3309,3,FALSE)</f>
        <v>#N/A</v>
      </c>
      <c r="I2817" s="6" t="e">
        <f>VLOOKUP('Customer Info'!A2809,'Customer Info'!A2809:I3308,5,FALSE)</f>
        <v>#N/A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36</v>
      </c>
      <c r="R2817" s="2" t="s">
        <v>26</v>
      </c>
      <c r="S2817" s="9">
        <f t="shared" si="219"/>
        <v>0.02</v>
      </c>
    </row>
    <row r="2818" spans="1:19" x14ac:dyDescent="0.25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e">
        <f>VLOOKUP('Customer Info'!A2810,'Customer Info'!A2810:I3309,2,FALSE)</f>
        <v>#N/A</v>
      </c>
      <c r="H2818" s="6" t="e">
        <f>VLOOKUP('Customer Info'!A2810,'Customer Info'!A2810:I3310,3,FALSE)</f>
        <v>#N/A</v>
      </c>
      <c r="I2818" s="6" t="e">
        <f>VLOOKUP('Customer Info'!A2810,'Customer Info'!A2810:I3309,5,FALSE)</f>
        <v>#N/A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20</v>
      </c>
      <c r="R2818" s="2" t="s">
        <v>50</v>
      </c>
      <c r="S2818" s="9">
        <f t="shared" si="219"/>
        <v>0.02</v>
      </c>
    </row>
    <row r="2819" spans="1:19" x14ac:dyDescent="0.25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e">
        <f>VLOOKUP('Customer Info'!A2811,'Customer Info'!A2811:I3310,2,FALSE)</f>
        <v>#N/A</v>
      </c>
      <c r="H2819" s="6" t="e">
        <f>VLOOKUP('Customer Info'!A2811,'Customer Info'!A2811:I3311,3,FALSE)</f>
        <v>#N/A</v>
      </c>
      <c r="I2819" s="6" t="e">
        <f>VLOOKUP('Customer Info'!A2811,'Customer Info'!A2811:I3310,5,FALSE)</f>
        <v>#N/A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109</v>
      </c>
      <c r="R2819" s="2" t="s">
        <v>28</v>
      </c>
      <c r="S2819" s="9">
        <f t="shared" si="219"/>
        <v>0.02</v>
      </c>
    </row>
    <row r="2820" spans="1:19" x14ac:dyDescent="0.25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e">
        <f>VLOOKUP('Customer Info'!A2812,'Customer Info'!A2812:I3311,2,FALSE)</f>
        <v>#N/A</v>
      </c>
      <c r="H2820" s="6" t="e">
        <f>VLOOKUP('Customer Info'!A2812,'Customer Info'!A2812:I3312,3,FALSE)</f>
        <v>#N/A</v>
      </c>
      <c r="I2820" s="6" t="e">
        <f>VLOOKUP('Customer Info'!A2812,'Customer Info'!A2812:I3311,5,FALSE)</f>
        <v>#N/A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118</v>
      </c>
      <c r="R2820" s="2" t="s">
        <v>28</v>
      </c>
      <c r="S2820" s="9">
        <f t="shared" si="219"/>
        <v>0.02</v>
      </c>
    </row>
    <row r="2821" spans="1:19" x14ac:dyDescent="0.25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e">
        <f>VLOOKUP('Customer Info'!A2813,'Customer Info'!A2813:I3312,2,FALSE)</f>
        <v>#N/A</v>
      </c>
      <c r="H2821" s="6" t="e">
        <f>VLOOKUP('Customer Info'!A2813,'Customer Info'!A2813:I3313,3,FALSE)</f>
        <v>#N/A</v>
      </c>
      <c r="I2821" s="6" t="e">
        <f>VLOOKUP('Customer Info'!A2813,'Customer Info'!A2813:I3312,5,FALSE)</f>
        <v>#N/A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1650</v>
      </c>
      <c r="R2821" s="2" t="s">
        <v>28</v>
      </c>
      <c r="S2821" s="9">
        <f t="shared" si="219"/>
        <v>0.05</v>
      </c>
    </row>
    <row r="2822" spans="1:19" x14ac:dyDescent="0.25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e">
        <f>VLOOKUP('Customer Info'!A2814,'Customer Info'!A2814:I3313,2,FALSE)</f>
        <v>#N/A</v>
      </c>
      <c r="H2822" s="6" t="e">
        <f>VLOOKUP('Customer Info'!A2814,'Customer Info'!A2814:I3314,3,FALSE)</f>
        <v>#N/A</v>
      </c>
      <c r="I2822" s="6" t="e">
        <f>VLOOKUP('Customer Info'!A2814,'Customer Info'!A2814:I3313,5,FALSE)</f>
        <v>#N/A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47</v>
      </c>
      <c r="R2822" s="2" t="s">
        <v>50</v>
      </c>
      <c r="S2822" s="9">
        <f t="shared" si="219"/>
        <v>0.02</v>
      </c>
    </row>
    <row r="2823" spans="1:19" x14ac:dyDescent="0.25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e">
        <f>VLOOKUP('Customer Info'!A2815,'Customer Info'!A2815:I3314,2,FALSE)</f>
        <v>#N/A</v>
      </c>
      <c r="H2823" s="6" t="e">
        <f>VLOOKUP('Customer Info'!A2815,'Customer Info'!A2815:I3315,3,FALSE)</f>
        <v>#N/A</v>
      </c>
      <c r="I2823" s="6" t="e">
        <f>VLOOKUP('Customer Info'!A2815,'Customer Info'!A2815:I3314,5,FALSE)</f>
        <v>#N/A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293</v>
      </c>
      <c r="R2823" s="2" t="s">
        <v>28</v>
      </c>
      <c r="S2823" s="9">
        <f t="shared" si="219"/>
        <v>0.02</v>
      </c>
    </row>
    <row r="2824" spans="1:19" x14ac:dyDescent="0.25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e">
        <f>VLOOKUP('Customer Info'!A2816,'Customer Info'!A2816:I3315,2,FALSE)</f>
        <v>#N/A</v>
      </c>
      <c r="H2824" s="6" t="e">
        <f>VLOOKUP('Customer Info'!A2816,'Customer Info'!A2816:I3316,3,FALSE)</f>
        <v>#N/A</v>
      </c>
      <c r="I2824" s="6" t="e">
        <f>VLOOKUP('Customer Info'!A2816,'Customer Info'!A2816:I3315,5,FALSE)</f>
        <v>#N/A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106</v>
      </c>
      <c r="R2824" s="2" t="s">
        <v>50</v>
      </c>
      <c r="S2824" s="9">
        <f t="shared" si="219"/>
        <v>0.02</v>
      </c>
    </row>
    <row r="2825" spans="1:19" x14ac:dyDescent="0.25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e">
        <f>VLOOKUP('Customer Info'!A2817,'Customer Info'!A2817:I3316,2,FALSE)</f>
        <v>#N/A</v>
      </c>
      <c r="H2825" s="6" t="e">
        <f>VLOOKUP('Customer Info'!A2817,'Customer Info'!A2817:I3317,3,FALSE)</f>
        <v>#N/A</v>
      </c>
      <c r="I2825" s="6" t="e">
        <f>VLOOKUP('Customer Info'!A2817,'Customer Info'!A2817:I3316,5,FALSE)</f>
        <v>#N/A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117</v>
      </c>
      <c r="R2825" s="2" t="s">
        <v>50</v>
      </c>
      <c r="S2825" s="9">
        <f t="shared" si="219"/>
        <v>0.02</v>
      </c>
    </row>
    <row r="2826" spans="1:19" x14ac:dyDescent="0.25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e">
        <f>VLOOKUP('Customer Info'!A2818,'Customer Info'!A2818:I3317,2,FALSE)</f>
        <v>#N/A</v>
      </c>
      <c r="H2826" s="6" t="e">
        <f>VLOOKUP('Customer Info'!A2818,'Customer Info'!A2818:I3318,3,FALSE)</f>
        <v>#N/A</v>
      </c>
      <c r="I2826" s="6" t="e">
        <f>VLOOKUP('Customer Info'!A2818,'Customer Info'!A2818:I3317,5,FALSE)</f>
        <v>#N/A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835</v>
      </c>
      <c r="R2826" s="2" t="s">
        <v>50</v>
      </c>
      <c r="S2826" s="9">
        <f t="shared" si="219"/>
        <v>0.05</v>
      </c>
    </row>
    <row r="2827" spans="1:19" x14ac:dyDescent="0.25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e">
        <f>VLOOKUP('Customer Info'!A2819,'Customer Info'!A2819:I3318,2,FALSE)</f>
        <v>#N/A</v>
      </c>
      <c r="H2827" s="6" t="e">
        <f>VLOOKUP('Customer Info'!A2819,'Customer Info'!A2819:I3319,3,FALSE)</f>
        <v>#N/A</v>
      </c>
      <c r="I2827" s="6" t="e">
        <f>VLOOKUP('Customer Info'!A2819,'Customer Info'!A2819:I3318,5,FALSE)</f>
        <v>#N/A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8">
        <f t="shared" ref="P2827:P2890" si="222">N2827+O2827</f>
        <v>6802</v>
      </c>
      <c r="Q2827" s="8">
        <f t="shared" ref="Q2827:Q2890" si="223">P2827-M2827</f>
        <v>802</v>
      </c>
      <c r="R2827" s="2" t="s">
        <v>28</v>
      </c>
      <c r="S2827" s="9">
        <f t="shared" ref="S2827:S2890" si="224">VLOOKUP(P2827,$T$2:$U$7,2,TRUE)</f>
        <v>0.05</v>
      </c>
    </row>
    <row r="2828" spans="1:19" x14ac:dyDescent="0.25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e">
        <f>VLOOKUP('Customer Info'!A2820,'Customer Info'!A2820:I3319,2,FALSE)</f>
        <v>#N/A</v>
      </c>
      <c r="H2828" s="6" t="e">
        <f>VLOOKUP('Customer Info'!A2820,'Customer Info'!A2820:I3320,3,FALSE)</f>
        <v>#N/A</v>
      </c>
      <c r="I2828" s="6" t="e">
        <f>VLOOKUP('Customer Info'!A2820,'Customer Info'!A2820:I3319,5,FALSE)</f>
        <v>#N/A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8487</v>
      </c>
      <c r="R2828" s="2" t="s">
        <v>28</v>
      </c>
      <c r="S2828" s="9">
        <f t="shared" si="224"/>
        <v>0.12</v>
      </c>
    </row>
    <row r="2829" spans="1:19" x14ac:dyDescent="0.25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e">
        <f>VLOOKUP('Customer Info'!A2821,'Customer Info'!A2821:I3320,2,FALSE)</f>
        <v>#N/A</v>
      </c>
      <c r="H2829" s="6" t="e">
        <f>VLOOKUP('Customer Info'!A2821,'Customer Info'!A2821:I3321,3,FALSE)</f>
        <v>#N/A</v>
      </c>
      <c r="I2829" s="6" t="e">
        <f>VLOOKUP('Customer Info'!A2821,'Customer Info'!A2821:I3320,5,FALSE)</f>
        <v>#N/A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42</v>
      </c>
      <c r="R2829" s="2" t="s">
        <v>50</v>
      </c>
      <c r="S2829" s="9">
        <f t="shared" si="224"/>
        <v>0.02</v>
      </c>
    </row>
    <row r="2830" spans="1:19" x14ac:dyDescent="0.25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e">
        <f>VLOOKUP('Customer Info'!A2822,'Customer Info'!A2822:I3321,2,FALSE)</f>
        <v>#N/A</v>
      </c>
      <c r="H2830" s="6" t="e">
        <f>VLOOKUP('Customer Info'!A2822,'Customer Info'!A2822:I3322,3,FALSE)</f>
        <v>#N/A</v>
      </c>
      <c r="I2830" s="6" t="e">
        <f>VLOOKUP('Customer Info'!A2822,'Customer Info'!A2822:I3321,5,FALSE)</f>
        <v>#N/A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278</v>
      </c>
      <c r="R2830" s="2" t="s">
        <v>50</v>
      </c>
      <c r="S2830" s="9">
        <f t="shared" si="224"/>
        <v>0.02</v>
      </c>
    </row>
    <row r="2831" spans="1:19" x14ac:dyDescent="0.25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e">
        <f>VLOOKUP('Customer Info'!A2823,'Customer Info'!A2823:I3322,2,FALSE)</f>
        <v>#N/A</v>
      </c>
      <c r="H2831" s="6" t="e">
        <f>VLOOKUP('Customer Info'!A2823,'Customer Info'!A2823:I3323,3,FALSE)</f>
        <v>#N/A</v>
      </c>
      <c r="I2831" s="6" t="e">
        <f>VLOOKUP('Customer Info'!A2823,'Customer Info'!A2823:I3322,5,FALSE)</f>
        <v>#N/A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383</v>
      </c>
      <c r="R2831" s="2" t="s">
        <v>28</v>
      </c>
      <c r="S2831" s="9">
        <f t="shared" si="224"/>
        <v>0.02</v>
      </c>
    </row>
    <row r="2832" spans="1:19" x14ac:dyDescent="0.25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e">
        <f>VLOOKUP('Customer Info'!A2824,'Customer Info'!A2824:I3323,2,FALSE)</f>
        <v>#N/A</v>
      </c>
      <c r="H2832" s="6" t="e">
        <f>VLOOKUP('Customer Info'!A2824,'Customer Info'!A2824:I3324,3,FALSE)</f>
        <v>#N/A</v>
      </c>
      <c r="I2832" s="6" t="e">
        <f>VLOOKUP('Customer Info'!A2824,'Customer Info'!A2824:I3323,5,FALSE)</f>
        <v>#N/A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219</v>
      </c>
      <c r="R2832" s="2" t="s">
        <v>28</v>
      </c>
      <c r="S2832" s="9">
        <f t="shared" si="224"/>
        <v>0.02</v>
      </c>
    </row>
    <row r="2833" spans="1:19" x14ac:dyDescent="0.25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e">
        <f>VLOOKUP('Customer Info'!A2825,'Customer Info'!A2825:I3324,2,FALSE)</f>
        <v>#N/A</v>
      </c>
      <c r="H2833" s="6" t="e">
        <f>VLOOKUP('Customer Info'!A2825,'Customer Info'!A2825:I3325,3,FALSE)</f>
        <v>#N/A</v>
      </c>
      <c r="I2833" s="6" t="e">
        <f>VLOOKUP('Customer Info'!A2825,'Customer Info'!A2825:I3324,5,FALSE)</f>
        <v>#N/A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210</v>
      </c>
      <c r="R2833" s="2" t="s">
        <v>28</v>
      </c>
      <c r="S2833" s="9">
        <f t="shared" si="224"/>
        <v>0.02</v>
      </c>
    </row>
    <row r="2834" spans="1:19" x14ac:dyDescent="0.25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e">
        <f>VLOOKUP('Customer Info'!A2826,'Customer Info'!A2826:I3325,2,FALSE)</f>
        <v>#N/A</v>
      </c>
      <c r="H2834" s="6" t="e">
        <f>VLOOKUP('Customer Info'!A2826,'Customer Info'!A2826:I3326,3,FALSE)</f>
        <v>#N/A</v>
      </c>
      <c r="I2834" s="6" t="e">
        <f>VLOOKUP('Customer Info'!A2826,'Customer Info'!A2826:I3325,5,FALSE)</f>
        <v>#N/A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1767</v>
      </c>
      <c r="R2834" s="2" t="s">
        <v>28</v>
      </c>
      <c r="S2834" s="9">
        <f t="shared" si="224"/>
        <v>0.05</v>
      </c>
    </row>
    <row r="2835" spans="1:19" x14ac:dyDescent="0.25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e">
        <f>VLOOKUP('Customer Info'!A2827,'Customer Info'!A2827:I3326,2,FALSE)</f>
        <v>#N/A</v>
      </c>
      <c r="H2835" s="6" t="e">
        <f>VLOOKUP('Customer Info'!A2827,'Customer Info'!A2827:I3327,3,FALSE)</f>
        <v>#N/A</v>
      </c>
      <c r="I2835" s="6" t="e">
        <f>VLOOKUP('Customer Info'!A2827,'Customer Info'!A2827:I3326,5,FALSE)</f>
        <v>#N/A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422</v>
      </c>
      <c r="R2835" s="2" t="s">
        <v>28</v>
      </c>
      <c r="S2835" s="9">
        <f t="shared" si="224"/>
        <v>0.05</v>
      </c>
    </row>
    <row r="2836" spans="1:19" x14ac:dyDescent="0.25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e">
        <f>VLOOKUP('Customer Info'!A2828,'Customer Info'!A2828:I3327,2,FALSE)</f>
        <v>#N/A</v>
      </c>
      <c r="H2836" s="6" t="e">
        <f>VLOOKUP('Customer Info'!A2828,'Customer Info'!A2828:I3328,3,FALSE)</f>
        <v>#N/A</v>
      </c>
      <c r="I2836" s="6" t="e">
        <f>VLOOKUP('Customer Info'!A2828,'Customer Info'!A2828:I3327,5,FALSE)</f>
        <v>#N/A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701</v>
      </c>
      <c r="R2836" s="2" t="s">
        <v>50</v>
      </c>
      <c r="S2836" s="9">
        <f t="shared" si="224"/>
        <v>0.05</v>
      </c>
    </row>
    <row r="2837" spans="1:19" x14ac:dyDescent="0.25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e">
        <f>VLOOKUP('Customer Info'!A2829,'Customer Info'!A2829:I3328,2,FALSE)</f>
        <v>#N/A</v>
      </c>
      <c r="H2837" s="6" t="e">
        <f>VLOOKUP('Customer Info'!A2829,'Customer Info'!A2829:I3329,3,FALSE)</f>
        <v>#N/A</v>
      </c>
      <c r="I2837" s="6" t="e">
        <f>VLOOKUP('Customer Info'!A2829,'Customer Info'!A2829:I3328,5,FALSE)</f>
        <v>#N/A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54</v>
      </c>
      <c r="R2837" s="2" t="s">
        <v>50</v>
      </c>
      <c r="S2837" s="9">
        <f t="shared" si="224"/>
        <v>0.02</v>
      </c>
    </row>
    <row r="2838" spans="1:19" x14ac:dyDescent="0.25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e">
        <f>VLOOKUP('Customer Info'!A2830,'Customer Info'!A2830:I3329,2,FALSE)</f>
        <v>#N/A</v>
      </c>
      <c r="H2838" s="6" t="e">
        <f>VLOOKUP('Customer Info'!A2830,'Customer Info'!A2830:I3330,3,FALSE)</f>
        <v>#N/A</v>
      </c>
      <c r="I2838" s="6" t="e">
        <f>VLOOKUP('Customer Info'!A2830,'Customer Info'!A2830:I3329,5,FALSE)</f>
        <v>#N/A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2595</v>
      </c>
      <c r="R2838" s="2" t="s">
        <v>28</v>
      </c>
      <c r="S2838" s="9">
        <f t="shared" si="224"/>
        <v>0.09</v>
      </c>
    </row>
    <row r="2839" spans="1:19" x14ac:dyDescent="0.25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e">
        <f>VLOOKUP('Customer Info'!A2831,'Customer Info'!A2831:I3330,2,FALSE)</f>
        <v>#N/A</v>
      </c>
      <c r="H2839" s="6" t="e">
        <f>VLOOKUP('Customer Info'!A2831,'Customer Info'!A2831:I3331,3,FALSE)</f>
        <v>#N/A</v>
      </c>
      <c r="I2839" s="6" t="e">
        <f>VLOOKUP('Customer Info'!A2831,'Customer Info'!A2831:I3330,5,FALSE)</f>
        <v>#N/A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408</v>
      </c>
      <c r="R2839" s="2" t="s">
        <v>28</v>
      </c>
      <c r="S2839" s="9">
        <f t="shared" si="224"/>
        <v>0.05</v>
      </c>
    </row>
    <row r="2840" spans="1:19" x14ac:dyDescent="0.25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e">
        <f>VLOOKUP('Customer Info'!A2832,'Customer Info'!A2832:I3331,2,FALSE)</f>
        <v>#N/A</v>
      </c>
      <c r="H2840" s="6" t="e">
        <f>VLOOKUP('Customer Info'!A2832,'Customer Info'!A2832:I3332,3,FALSE)</f>
        <v>#N/A</v>
      </c>
      <c r="I2840" s="6" t="e">
        <f>VLOOKUP('Customer Info'!A2832,'Customer Info'!A2832:I3331,5,FALSE)</f>
        <v>#N/A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355</v>
      </c>
      <c r="R2840" s="2" t="s">
        <v>28</v>
      </c>
      <c r="S2840" s="9">
        <f t="shared" si="224"/>
        <v>0.05</v>
      </c>
    </row>
    <row r="2841" spans="1:19" x14ac:dyDescent="0.25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e">
        <f>VLOOKUP('Customer Info'!A2833,'Customer Info'!A2833:I3332,2,FALSE)</f>
        <v>#N/A</v>
      </c>
      <c r="H2841" s="6" t="e">
        <f>VLOOKUP('Customer Info'!A2833,'Customer Info'!A2833:I3333,3,FALSE)</f>
        <v>#N/A</v>
      </c>
      <c r="I2841" s="6" t="e">
        <f>VLOOKUP('Customer Info'!A2833,'Customer Info'!A2833:I3332,5,FALSE)</f>
        <v>#N/A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471</v>
      </c>
      <c r="R2841" s="2" t="s">
        <v>26</v>
      </c>
      <c r="S2841" s="9">
        <f t="shared" si="224"/>
        <v>0.05</v>
      </c>
    </row>
    <row r="2842" spans="1:19" x14ac:dyDescent="0.25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e">
        <f>VLOOKUP('Customer Info'!A2834,'Customer Info'!A2834:I3333,2,FALSE)</f>
        <v>#N/A</v>
      </c>
      <c r="H2842" s="6" t="e">
        <f>VLOOKUP('Customer Info'!A2834,'Customer Info'!A2834:I3334,3,FALSE)</f>
        <v>#N/A</v>
      </c>
      <c r="I2842" s="6" t="e">
        <f>VLOOKUP('Customer Info'!A2834,'Customer Info'!A2834:I3333,5,FALSE)</f>
        <v>#N/A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143</v>
      </c>
      <c r="R2842" s="2" t="s">
        <v>28</v>
      </c>
      <c r="S2842" s="9">
        <f t="shared" si="224"/>
        <v>0.02</v>
      </c>
    </row>
    <row r="2843" spans="1:19" x14ac:dyDescent="0.25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e">
        <f>VLOOKUP('Customer Info'!A2835,'Customer Info'!A2835:I3334,2,FALSE)</f>
        <v>#N/A</v>
      </c>
      <c r="H2843" s="6" t="e">
        <f>VLOOKUP('Customer Info'!A2835,'Customer Info'!A2835:I3335,3,FALSE)</f>
        <v>#N/A</v>
      </c>
      <c r="I2843" s="6" t="e">
        <f>VLOOKUP('Customer Info'!A2835,'Customer Info'!A2835:I3334,5,FALSE)</f>
        <v>#N/A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90</v>
      </c>
      <c r="R2843" s="2" t="s">
        <v>50</v>
      </c>
      <c r="S2843" s="9">
        <f t="shared" si="224"/>
        <v>0.02</v>
      </c>
    </row>
    <row r="2844" spans="1:19" x14ac:dyDescent="0.25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e">
        <f>VLOOKUP('Customer Info'!A2836,'Customer Info'!A2836:I3335,2,FALSE)</f>
        <v>#N/A</v>
      </c>
      <c r="H2844" s="6" t="e">
        <f>VLOOKUP('Customer Info'!A2836,'Customer Info'!A2836:I3336,3,FALSE)</f>
        <v>#N/A</v>
      </c>
      <c r="I2844" s="6" t="e">
        <f>VLOOKUP('Customer Info'!A2836,'Customer Info'!A2836:I3335,5,FALSE)</f>
        <v>#N/A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1675</v>
      </c>
      <c r="R2844" s="2" t="s">
        <v>28</v>
      </c>
      <c r="S2844" s="9">
        <f t="shared" si="224"/>
        <v>0.05</v>
      </c>
    </row>
    <row r="2845" spans="1:19" x14ac:dyDescent="0.25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e">
        <f>VLOOKUP('Customer Info'!A2837,'Customer Info'!A2837:I3336,2,FALSE)</f>
        <v>#N/A</v>
      </c>
      <c r="H2845" s="6" t="e">
        <f>VLOOKUP('Customer Info'!A2837,'Customer Info'!A2837:I3337,3,FALSE)</f>
        <v>#N/A</v>
      </c>
      <c r="I2845" s="6" t="e">
        <f>VLOOKUP('Customer Info'!A2837,'Customer Info'!A2837:I3336,5,FALSE)</f>
        <v>#N/A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290</v>
      </c>
      <c r="R2845" s="2" t="s">
        <v>28</v>
      </c>
      <c r="S2845" s="9">
        <f t="shared" si="224"/>
        <v>0.02</v>
      </c>
    </row>
    <row r="2846" spans="1:19" x14ac:dyDescent="0.25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e">
        <f>VLOOKUP('Customer Info'!A2838,'Customer Info'!A2838:I3337,2,FALSE)</f>
        <v>#N/A</v>
      </c>
      <c r="H2846" s="6" t="e">
        <f>VLOOKUP('Customer Info'!A2838,'Customer Info'!A2838:I3338,3,FALSE)</f>
        <v>#N/A</v>
      </c>
      <c r="I2846" s="6" t="e">
        <f>VLOOKUP('Customer Info'!A2838,'Customer Info'!A2838:I3337,5,FALSE)</f>
        <v>#N/A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195</v>
      </c>
      <c r="R2846" s="2" t="s">
        <v>50</v>
      </c>
      <c r="S2846" s="9">
        <f t="shared" si="224"/>
        <v>0.02</v>
      </c>
    </row>
    <row r="2847" spans="1:19" x14ac:dyDescent="0.25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e">
        <f>VLOOKUP('Customer Info'!A2839,'Customer Info'!A2839:I3338,2,FALSE)</f>
        <v>#N/A</v>
      </c>
      <c r="H2847" s="6" t="e">
        <f>VLOOKUP('Customer Info'!A2839,'Customer Info'!A2839:I3339,3,FALSE)</f>
        <v>#N/A</v>
      </c>
      <c r="I2847" s="6" t="e">
        <f>VLOOKUP('Customer Info'!A2839,'Customer Info'!A2839:I3338,5,FALSE)</f>
        <v>#N/A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1740</v>
      </c>
      <c r="R2847" s="2" t="s">
        <v>50</v>
      </c>
      <c r="S2847" s="9">
        <f t="shared" si="224"/>
        <v>0.05</v>
      </c>
    </row>
    <row r="2848" spans="1:19" x14ac:dyDescent="0.25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e">
        <f>VLOOKUP('Customer Info'!A2840,'Customer Info'!A2840:I3339,2,FALSE)</f>
        <v>#N/A</v>
      </c>
      <c r="H2848" s="6" t="e">
        <f>VLOOKUP('Customer Info'!A2840,'Customer Info'!A2840:I3340,3,FALSE)</f>
        <v>#N/A</v>
      </c>
      <c r="I2848" s="6" t="e">
        <f>VLOOKUP('Customer Info'!A2840,'Customer Info'!A2840:I3339,5,FALSE)</f>
        <v>#N/A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179</v>
      </c>
      <c r="R2848" s="2" t="s">
        <v>28</v>
      </c>
      <c r="S2848" s="9">
        <f t="shared" si="224"/>
        <v>0.02</v>
      </c>
    </row>
    <row r="2849" spans="1:19" x14ac:dyDescent="0.25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e">
        <f>VLOOKUP('Customer Info'!A2841,'Customer Info'!A2841:I3340,2,FALSE)</f>
        <v>#N/A</v>
      </c>
      <c r="H2849" s="6" t="e">
        <f>VLOOKUP('Customer Info'!A2841,'Customer Info'!A2841:I3341,3,FALSE)</f>
        <v>#N/A</v>
      </c>
      <c r="I2849" s="6" t="e">
        <f>VLOOKUP('Customer Info'!A2841,'Customer Info'!A2841:I3340,5,FALSE)</f>
        <v>#N/A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952</v>
      </c>
      <c r="R2849" s="2" t="s">
        <v>28</v>
      </c>
      <c r="S2849" s="9">
        <f t="shared" si="224"/>
        <v>0.05</v>
      </c>
    </row>
    <row r="2850" spans="1:19" x14ac:dyDescent="0.25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e">
        <f>VLOOKUP('Customer Info'!A2842,'Customer Info'!A2842:I3341,2,FALSE)</f>
        <v>#N/A</v>
      </c>
      <c r="H2850" s="6" t="e">
        <f>VLOOKUP('Customer Info'!A2842,'Customer Info'!A2842:I3342,3,FALSE)</f>
        <v>#N/A</v>
      </c>
      <c r="I2850" s="6" t="e">
        <f>VLOOKUP('Customer Info'!A2842,'Customer Info'!A2842:I3341,5,FALSE)</f>
        <v>#N/A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805</v>
      </c>
      <c r="R2850" s="2" t="s">
        <v>28</v>
      </c>
      <c r="S2850" s="9">
        <f t="shared" si="224"/>
        <v>0.05</v>
      </c>
    </row>
    <row r="2851" spans="1:19" x14ac:dyDescent="0.25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e">
        <f>VLOOKUP('Customer Info'!A2843,'Customer Info'!A2843:I3342,2,FALSE)</f>
        <v>#N/A</v>
      </c>
      <c r="H2851" s="6" t="e">
        <f>VLOOKUP('Customer Info'!A2843,'Customer Info'!A2843:I3343,3,FALSE)</f>
        <v>#N/A</v>
      </c>
      <c r="I2851" s="6" t="e">
        <f>VLOOKUP('Customer Info'!A2843,'Customer Info'!A2843:I3342,5,FALSE)</f>
        <v>#N/A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1301</v>
      </c>
      <c r="R2851" s="2" t="s">
        <v>28</v>
      </c>
      <c r="S2851" s="9">
        <f t="shared" si="224"/>
        <v>0.05</v>
      </c>
    </row>
    <row r="2852" spans="1:19" x14ac:dyDescent="0.25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e">
        <f>VLOOKUP('Customer Info'!A2844,'Customer Info'!A2844:I3343,2,FALSE)</f>
        <v>#N/A</v>
      </c>
      <c r="H2852" s="6" t="e">
        <f>VLOOKUP('Customer Info'!A2844,'Customer Info'!A2844:I3344,3,FALSE)</f>
        <v>#N/A</v>
      </c>
      <c r="I2852" s="6" t="e">
        <f>VLOOKUP('Customer Info'!A2844,'Customer Info'!A2844:I3343,5,FALSE)</f>
        <v>#N/A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15</v>
      </c>
      <c r="R2852" s="2" t="s">
        <v>50</v>
      </c>
      <c r="S2852" s="9">
        <f t="shared" si="224"/>
        <v>0.02</v>
      </c>
    </row>
    <row r="2853" spans="1:19" x14ac:dyDescent="0.25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e">
        <f>VLOOKUP('Customer Info'!A2845,'Customer Info'!A2845:I3344,2,FALSE)</f>
        <v>#N/A</v>
      </c>
      <c r="H2853" s="6" t="e">
        <f>VLOOKUP('Customer Info'!A2845,'Customer Info'!A2845:I3345,3,FALSE)</f>
        <v>#N/A</v>
      </c>
      <c r="I2853" s="6" t="e">
        <f>VLOOKUP('Customer Info'!A2845,'Customer Info'!A2845:I3344,5,FALSE)</f>
        <v>#N/A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38</v>
      </c>
      <c r="R2853" s="2" t="s">
        <v>50</v>
      </c>
      <c r="S2853" s="9">
        <f t="shared" si="224"/>
        <v>0.02</v>
      </c>
    </row>
    <row r="2854" spans="1:19" x14ac:dyDescent="0.25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e">
        <f>VLOOKUP('Customer Info'!A2846,'Customer Info'!A2846:I3345,2,FALSE)</f>
        <v>#N/A</v>
      </c>
      <c r="H2854" s="6" t="e">
        <f>VLOOKUP('Customer Info'!A2846,'Customer Info'!A2846:I3346,3,FALSE)</f>
        <v>#N/A</v>
      </c>
      <c r="I2854" s="6" t="e">
        <f>VLOOKUP('Customer Info'!A2846,'Customer Info'!A2846:I3345,5,FALSE)</f>
        <v>#N/A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233</v>
      </c>
      <c r="R2854" s="2" t="s">
        <v>28</v>
      </c>
      <c r="S2854" s="9">
        <f t="shared" si="224"/>
        <v>0.02</v>
      </c>
    </row>
    <row r="2855" spans="1:19" x14ac:dyDescent="0.25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e">
        <f>VLOOKUP('Customer Info'!A2847,'Customer Info'!A2847:I3346,2,FALSE)</f>
        <v>#N/A</v>
      </c>
      <c r="H2855" s="6" t="e">
        <f>VLOOKUP('Customer Info'!A2847,'Customer Info'!A2847:I3347,3,FALSE)</f>
        <v>#N/A</v>
      </c>
      <c r="I2855" s="6" t="e">
        <f>VLOOKUP('Customer Info'!A2847,'Customer Info'!A2847:I3346,5,FALSE)</f>
        <v>#N/A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57</v>
      </c>
      <c r="R2855" s="2" t="s">
        <v>26</v>
      </c>
      <c r="S2855" s="9">
        <f t="shared" si="224"/>
        <v>0.02</v>
      </c>
    </row>
    <row r="2856" spans="1:19" x14ac:dyDescent="0.25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e">
        <f>VLOOKUP('Customer Info'!A2848,'Customer Info'!A2848:I3347,2,FALSE)</f>
        <v>#N/A</v>
      </c>
      <c r="H2856" s="6" t="e">
        <f>VLOOKUP('Customer Info'!A2848,'Customer Info'!A2848:I3348,3,FALSE)</f>
        <v>#N/A</v>
      </c>
      <c r="I2856" s="6" t="e">
        <f>VLOOKUP('Customer Info'!A2848,'Customer Info'!A2848:I3347,5,FALSE)</f>
        <v>#N/A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287</v>
      </c>
      <c r="R2856" s="2" t="s">
        <v>50</v>
      </c>
      <c r="S2856" s="9">
        <f t="shared" si="224"/>
        <v>0.02</v>
      </c>
    </row>
    <row r="2857" spans="1:19" x14ac:dyDescent="0.25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e">
        <f>VLOOKUP('Customer Info'!A2849,'Customer Info'!A2849:I3348,2,FALSE)</f>
        <v>#N/A</v>
      </c>
      <c r="H2857" s="6" t="e">
        <f>VLOOKUP('Customer Info'!A2849,'Customer Info'!A2849:I3349,3,FALSE)</f>
        <v>#N/A</v>
      </c>
      <c r="I2857" s="6" t="e">
        <f>VLOOKUP('Customer Info'!A2849,'Customer Info'!A2849:I3348,5,FALSE)</f>
        <v>#N/A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2713</v>
      </c>
      <c r="R2857" s="2" t="s">
        <v>50</v>
      </c>
      <c r="S2857" s="9">
        <f t="shared" si="224"/>
        <v>7.0000000000000007E-2</v>
      </c>
    </row>
    <row r="2858" spans="1:19" x14ac:dyDescent="0.25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e">
        <f>VLOOKUP('Customer Info'!A2850,'Customer Info'!A2850:I3349,2,FALSE)</f>
        <v>#N/A</v>
      </c>
      <c r="H2858" s="6" t="e">
        <f>VLOOKUP('Customer Info'!A2850,'Customer Info'!A2850:I3350,3,FALSE)</f>
        <v>#N/A</v>
      </c>
      <c r="I2858" s="6" t="e">
        <f>VLOOKUP('Customer Info'!A2850,'Customer Info'!A2850:I3349,5,FALSE)</f>
        <v>#N/A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557</v>
      </c>
      <c r="R2858" s="2" t="s">
        <v>50</v>
      </c>
      <c r="S2858" s="9">
        <f t="shared" si="224"/>
        <v>0.05</v>
      </c>
    </row>
    <row r="2859" spans="1:19" x14ac:dyDescent="0.25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e">
        <f>VLOOKUP('Customer Info'!A2851,'Customer Info'!A2851:I3350,2,FALSE)</f>
        <v>#N/A</v>
      </c>
      <c r="H2859" s="6" t="e">
        <f>VLOOKUP('Customer Info'!A2851,'Customer Info'!A2851:I3351,3,FALSE)</f>
        <v>#N/A</v>
      </c>
      <c r="I2859" s="6" t="e">
        <f>VLOOKUP('Customer Info'!A2851,'Customer Info'!A2851:I3350,5,FALSE)</f>
        <v>#N/A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87</v>
      </c>
      <c r="R2859" s="2" t="s">
        <v>28</v>
      </c>
      <c r="S2859" s="9">
        <f t="shared" si="224"/>
        <v>0.02</v>
      </c>
    </row>
    <row r="2860" spans="1:19" x14ac:dyDescent="0.25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e">
        <f>VLOOKUP('Customer Info'!A2852,'Customer Info'!A2852:I3351,2,FALSE)</f>
        <v>#N/A</v>
      </c>
      <c r="H2860" s="6" t="e">
        <f>VLOOKUP('Customer Info'!A2852,'Customer Info'!A2852:I3352,3,FALSE)</f>
        <v>#N/A</v>
      </c>
      <c r="I2860" s="6" t="e">
        <f>VLOOKUP('Customer Info'!A2852,'Customer Info'!A2852:I3351,5,FALSE)</f>
        <v>#N/A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28</v>
      </c>
      <c r="R2860" s="2" t="s">
        <v>50</v>
      </c>
      <c r="S2860" s="9">
        <f t="shared" si="224"/>
        <v>0.02</v>
      </c>
    </row>
    <row r="2861" spans="1:19" x14ac:dyDescent="0.25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e">
        <f>VLOOKUP('Customer Info'!A2853,'Customer Info'!A2853:I3352,2,FALSE)</f>
        <v>#N/A</v>
      </c>
      <c r="H2861" s="6" t="e">
        <f>VLOOKUP('Customer Info'!A2853,'Customer Info'!A2853:I3353,3,FALSE)</f>
        <v>#N/A</v>
      </c>
      <c r="I2861" s="6" t="e">
        <f>VLOOKUP('Customer Info'!A2853,'Customer Info'!A2853:I3352,5,FALSE)</f>
        <v>#N/A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1610</v>
      </c>
      <c r="R2861" s="2" t="s">
        <v>50</v>
      </c>
      <c r="S2861" s="9">
        <f t="shared" si="224"/>
        <v>0.09</v>
      </c>
    </row>
    <row r="2862" spans="1:19" x14ac:dyDescent="0.25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e">
        <f>VLOOKUP('Customer Info'!A2854,'Customer Info'!A2854:I3353,2,FALSE)</f>
        <v>#N/A</v>
      </c>
      <c r="H2862" s="6" t="e">
        <f>VLOOKUP('Customer Info'!A2854,'Customer Info'!A2854:I3354,3,FALSE)</f>
        <v>#N/A</v>
      </c>
      <c r="I2862" s="6" t="e">
        <f>VLOOKUP('Customer Info'!A2854,'Customer Info'!A2854:I3353,5,FALSE)</f>
        <v>#N/A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100</v>
      </c>
      <c r="R2862" s="2" t="s">
        <v>28</v>
      </c>
      <c r="S2862" s="9">
        <f t="shared" si="224"/>
        <v>0.02</v>
      </c>
    </row>
    <row r="2863" spans="1:19" x14ac:dyDescent="0.25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e">
        <f>VLOOKUP('Customer Info'!A2855,'Customer Info'!A2855:I3354,2,FALSE)</f>
        <v>#N/A</v>
      </c>
      <c r="H2863" s="6" t="e">
        <f>VLOOKUP('Customer Info'!A2855,'Customer Info'!A2855:I3355,3,FALSE)</f>
        <v>#N/A</v>
      </c>
      <c r="I2863" s="6" t="e">
        <f>VLOOKUP('Customer Info'!A2855,'Customer Info'!A2855:I3354,5,FALSE)</f>
        <v>#N/A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342</v>
      </c>
      <c r="R2863" s="2" t="s">
        <v>50</v>
      </c>
      <c r="S2863" s="9">
        <f t="shared" si="224"/>
        <v>0.02</v>
      </c>
    </row>
    <row r="2864" spans="1:19" x14ac:dyDescent="0.25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e">
        <f>VLOOKUP('Customer Info'!A2856,'Customer Info'!A2856:I3355,2,FALSE)</f>
        <v>#N/A</v>
      </c>
      <c r="H2864" s="6" t="e">
        <f>VLOOKUP('Customer Info'!A2856,'Customer Info'!A2856:I3356,3,FALSE)</f>
        <v>#N/A</v>
      </c>
      <c r="I2864" s="6" t="e">
        <f>VLOOKUP('Customer Info'!A2856,'Customer Info'!A2856:I3355,5,FALSE)</f>
        <v>#N/A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223</v>
      </c>
      <c r="R2864" s="2" t="s">
        <v>28</v>
      </c>
      <c r="S2864" s="9">
        <f t="shared" si="224"/>
        <v>0.02</v>
      </c>
    </row>
    <row r="2865" spans="1:19" x14ac:dyDescent="0.25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e">
        <f>VLOOKUP('Customer Info'!A2857,'Customer Info'!A2857:I3356,2,FALSE)</f>
        <v>#N/A</v>
      </c>
      <c r="H2865" s="6" t="e">
        <f>VLOOKUP('Customer Info'!A2857,'Customer Info'!A2857:I3357,3,FALSE)</f>
        <v>#N/A</v>
      </c>
      <c r="I2865" s="6" t="e">
        <f>VLOOKUP('Customer Info'!A2857,'Customer Info'!A2857:I3356,5,FALSE)</f>
        <v>#N/A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1257</v>
      </c>
      <c r="R2865" s="2" t="s">
        <v>28</v>
      </c>
      <c r="S2865" s="9">
        <f t="shared" si="224"/>
        <v>0.05</v>
      </c>
    </row>
    <row r="2866" spans="1:19" x14ac:dyDescent="0.25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e">
        <f>VLOOKUP('Customer Info'!A2858,'Customer Info'!A2858:I3357,2,FALSE)</f>
        <v>#N/A</v>
      </c>
      <c r="H2866" s="6" t="e">
        <f>VLOOKUP('Customer Info'!A2858,'Customer Info'!A2858:I3358,3,FALSE)</f>
        <v>#N/A</v>
      </c>
      <c r="I2866" s="6" t="e">
        <f>VLOOKUP('Customer Info'!A2858,'Customer Info'!A2858:I3357,5,FALSE)</f>
        <v>#N/A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30</v>
      </c>
      <c r="R2866" s="2" t="s">
        <v>50</v>
      </c>
      <c r="S2866" s="9">
        <f t="shared" si="224"/>
        <v>0.02</v>
      </c>
    </row>
    <row r="2867" spans="1:19" x14ac:dyDescent="0.25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e">
        <f>VLOOKUP('Customer Info'!A2859,'Customer Info'!A2859:I3358,2,FALSE)</f>
        <v>#N/A</v>
      </c>
      <c r="H2867" s="6" t="e">
        <f>VLOOKUP('Customer Info'!A2859,'Customer Info'!A2859:I3359,3,FALSE)</f>
        <v>#N/A</v>
      </c>
      <c r="I2867" s="6" t="e">
        <f>VLOOKUP('Customer Info'!A2859,'Customer Info'!A2859:I3358,5,FALSE)</f>
        <v>#N/A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1323</v>
      </c>
      <c r="R2867" s="2" t="s">
        <v>28</v>
      </c>
      <c r="S2867" s="9">
        <f t="shared" si="224"/>
        <v>0.05</v>
      </c>
    </row>
    <row r="2868" spans="1:19" x14ac:dyDescent="0.25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e">
        <f>VLOOKUP('Customer Info'!A2860,'Customer Info'!A2860:I3359,2,FALSE)</f>
        <v>#N/A</v>
      </c>
      <c r="H2868" s="6" t="e">
        <f>VLOOKUP('Customer Info'!A2860,'Customer Info'!A2860:I3360,3,FALSE)</f>
        <v>#N/A</v>
      </c>
      <c r="I2868" s="6" t="e">
        <f>VLOOKUP('Customer Info'!A2860,'Customer Info'!A2860:I3359,5,FALSE)</f>
        <v>#N/A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75</v>
      </c>
      <c r="R2868" s="2" t="s">
        <v>50</v>
      </c>
      <c r="S2868" s="9">
        <f t="shared" si="224"/>
        <v>0.02</v>
      </c>
    </row>
    <row r="2869" spans="1:19" x14ac:dyDescent="0.25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e">
        <f>VLOOKUP('Customer Info'!A2861,'Customer Info'!A2861:I3360,2,FALSE)</f>
        <v>#N/A</v>
      </c>
      <c r="H2869" s="6" t="e">
        <f>VLOOKUP('Customer Info'!A2861,'Customer Info'!A2861:I3361,3,FALSE)</f>
        <v>#N/A</v>
      </c>
      <c r="I2869" s="6" t="e">
        <f>VLOOKUP('Customer Info'!A2861,'Customer Info'!A2861:I3360,5,FALSE)</f>
        <v>#N/A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58</v>
      </c>
      <c r="R2869" s="2" t="s">
        <v>28</v>
      </c>
      <c r="S2869" s="9">
        <f t="shared" si="224"/>
        <v>0.02</v>
      </c>
    </row>
    <row r="2870" spans="1:19" x14ac:dyDescent="0.25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e">
        <f>VLOOKUP('Customer Info'!A2862,'Customer Info'!A2862:I3361,2,FALSE)</f>
        <v>#N/A</v>
      </c>
      <c r="H2870" s="6" t="e">
        <f>VLOOKUP('Customer Info'!A2862,'Customer Info'!A2862:I3362,3,FALSE)</f>
        <v>#N/A</v>
      </c>
      <c r="I2870" s="6" t="e">
        <f>VLOOKUP('Customer Info'!A2862,'Customer Info'!A2862:I3361,5,FALSE)</f>
        <v>#N/A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1449</v>
      </c>
      <c r="R2870" s="2" t="s">
        <v>28</v>
      </c>
      <c r="S2870" s="9">
        <f t="shared" si="224"/>
        <v>0.05</v>
      </c>
    </row>
    <row r="2871" spans="1:19" x14ac:dyDescent="0.25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e">
        <f>VLOOKUP('Customer Info'!A2863,'Customer Info'!A2863:I3362,2,FALSE)</f>
        <v>#N/A</v>
      </c>
      <c r="H2871" s="6" t="e">
        <f>VLOOKUP('Customer Info'!A2863,'Customer Info'!A2863:I3363,3,FALSE)</f>
        <v>#N/A</v>
      </c>
      <c r="I2871" s="6" t="e">
        <f>VLOOKUP('Customer Info'!A2863,'Customer Info'!A2863:I3362,5,FALSE)</f>
        <v>#N/A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2005</v>
      </c>
      <c r="R2871" s="2" t="s">
        <v>28</v>
      </c>
      <c r="S2871" s="9">
        <f t="shared" si="224"/>
        <v>0.09</v>
      </c>
    </row>
    <row r="2872" spans="1:19" x14ac:dyDescent="0.25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e">
        <f>VLOOKUP('Customer Info'!A2864,'Customer Info'!A2864:I3363,2,FALSE)</f>
        <v>#N/A</v>
      </c>
      <c r="H2872" s="6" t="e">
        <f>VLOOKUP('Customer Info'!A2864,'Customer Info'!A2864:I3364,3,FALSE)</f>
        <v>#N/A</v>
      </c>
      <c r="I2872" s="6" t="e">
        <f>VLOOKUP('Customer Info'!A2864,'Customer Info'!A2864:I3363,5,FALSE)</f>
        <v>#N/A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96</v>
      </c>
      <c r="R2872" s="2" t="s">
        <v>26</v>
      </c>
      <c r="S2872" s="9">
        <f t="shared" si="224"/>
        <v>0.02</v>
      </c>
    </row>
    <row r="2873" spans="1:19" x14ac:dyDescent="0.25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e">
        <f>VLOOKUP('Customer Info'!A2865,'Customer Info'!A2865:I3364,2,FALSE)</f>
        <v>#N/A</v>
      </c>
      <c r="H2873" s="6" t="e">
        <f>VLOOKUP('Customer Info'!A2865,'Customer Info'!A2865:I3365,3,FALSE)</f>
        <v>#N/A</v>
      </c>
      <c r="I2873" s="6" t="e">
        <f>VLOOKUP('Customer Info'!A2865,'Customer Info'!A2865:I3364,5,FALSE)</f>
        <v>#N/A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624</v>
      </c>
      <c r="R2873" s="2" t="s">
        <v>50</v>
      </c>
      <c r="S2873" s="9">
        <f t="shared" si="224"/>
        <v>0.05</v>
      </c>
    </row>
    <row r="2874" spans="1:19" x14ac:dyDescent="0.25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e">
        <f>VLOOKUP('Customer Info'!A2866,'Customer Info'!A2866:I3365,2,FALSE)</f>
        <v>#N/A</v>
      </c>
      <c r="H2874" s="6" t="e">
        <f>VLOOKUP('Customer Info'!A2866,'Customer Info'!A2866:I3366,3,FALSE)</f>
        <v>#N/A</v>
      </c>
      <c r="I2874" s="6" t="e">
        <f>VLOOKUP('Customer Info'!A2866,'Customer Info'!A2866:I3365,5,FALSE)</f>
        <v>#N/A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400</v>
      </c>
      <c r="R2874" s="2" t="s">
        <v>50</v>
      </c>
      <c r="S2874" s="9">
        <f t="shared" si="224"/>
        <v>0.02</v>
      </c>
    </row>
    <row r="2875" spans="1:19" x14ac:dyDescent="0.25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e">
        <f>VLOOKUP('Customer Info'!A2867,'Customer Info'!A2867:I3366,2,FALSE)</f>
        <v>#N/A</v>
      </c>
      <c r="H2875" s="6" t="e">
        <f>VLOOKUP('Customer Info'!A2867,'Customer Info'!A2867:I3367,3,FALSE)</f>
        <v>#N/A</v>
      </c>
      <c r="I2875" s="6" t="e">
        <f>VLOOKUP('Customer Info'!A2867,'Customer Info'!A2867:I3366,5,FALSE)</f>
        <v>#N/A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138</v>
      </c>
      <c r="R2875" s="2" t="s">
        <v>28</v>
      </c>
      <c r="S2875" s="9">
        <f t="shared" si="224"/>
        <v>0.02</v>
      </c>
    </row>
    <row r="2876" spans="1:19" x14ac:dyDescent="0.25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e">
        <f>VLOOKUP('Customer Info'!A2868,'Customer Info'!A2868:I3367,2,FALSE)</f>
        <v>#N/A</v>
      </c>
      <c r="H2876" s="6" t="e">
        <f>VLOOKUP('Customer Info'!A2868,'Customer Info'!A2868:I3368,3,FALSE)</f>
        <v>#N/A</v>
      </c>
      <c r="I2876" s="6" t="e">
        <f>VLOOKUP('Customer Info'!A2868,'Customer Info'!A2868:I3367,5,FALSE)</f>
        <v>#N/A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961</v>
      </c>
      <c r="R2876" s="2" t="s">
        <v>50</v>
      </c>
      <c r="S2876" s="9">
        <f t="shared" si="224"/>
        <v>0.05</v>
      </c>
    </row>
    <row r="2877" spans="1:19" x14ac:dyDescent="0.25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e">
        <f>VLOOKUP('Customer Info'!A2869,'Customer Info'!A2869:I3368,2,FALSE)</f>
        <v>#N/A</v>
      </c>
      <c r="H2877" s="6" t="e">
        <f>VLOOKUP('Customer Info'!A2869,'Customer Info'!A2869:I3369,3,FALSE)</f>
        <v>#N/A</v>
      </c>
      <c r="I2877" s="6" t="e">
        <f>VLOOKUP('Customer Info'!A2869,'Customer Info'!A2869:I3368,5,FALSE)</f>
        <v>#N/A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151</v>
      </c>
      <c r="R2877" s="2" t="s">
        <v>28</v>
      </c>
      <c r="S2877" s="9">
        <f t="shared" si="224"/>
        <v>0.02</v>
      </c>
    </row>
    <row r="2878" spans="1:19" x14ac:dyDescent="0.25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e">
        <f>VLOOKUP('Customer Info'!A2870,'Customer Info'!A2870:I3369,2,FALSE)</f>
        <v>#N/A</v>
      </c>
      <c r="H2878" s="6" t="e">
        <f>VLOOKUP('Customer Info'!A2870,'Customer Info'!A2870:I3370,3,FALSE)</f>
        <v>#N/A</v>
      </c>
      <c r="I2878" s="6" t="e">
        <f>VLOOKUP('Customer Info'!A2870,'Customer Info'!A2870:I3369,5,FALSE)</f>
        <v>#N/A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1957</v>
      </c>
      <c r="R2878" s="2" t="s">
        <v>50</v>
      </c>
      <c r="S2878" s="9">
        <f t="shared" si="224"/>
        <v>0.05</v>
      </c>
    </row>
    <row r="2879" spans="1:19" x14ac:dyDescent="0.25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e">
        <f>VLOOKUP('Customer Info'!A2871,'Customer Info'!A2871:I3370,2,FALSE)</f>
        <v>#N/A</v>
      </c>
      <c r="H2879" s="6" t="e">
        <f>VLOOKUP('Customer Info'!A2871,'Customer Info'!A2871:I3371,3,FALSE)</f>
        <v>#N/A</v>
      </c>
      <c r="I2879" s="6" t="e">
        <f>VLOOKUP('Customer Info'!A2871,'Customer Info'!A2871:I3370,5,FALSE)</f>
        <v>#N/A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2591</v>
      </c>
      <c r="R2879" s="2" t="s">
        <v>26</v>
      </c>
      <c r="S2879" s="9">
        <f t="shared" si="224"/>
        <v>7.0000000000000007E-2</v>
      </c>
    </row>
    <row r="2880" spans="1:19" x14ac:dyDescent="0.25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e">
        <f>VLOOKUP('Customer Info'!A2872,'Customer Info'!A2872:I3371,2,FALSE)</f>
        <v>#N/A</v>
      </c>
      <c r="H2880" s="6" t="e">
        <f>VLOOKUP('Customer Info'!A2872,'Customer Info'!A2872:I3372,3,FALSE)</f>
        <v>#N/A</v>
      </c>
      <c r="I2880" s="6" t="e">
        <f>VLOOKUP('Customer Info'!A2872,'Customer Info'!A2872:I3371,5,FALSE)</f>
        <v>#N/A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17</v>
      </c>
      <c r="R2880" s="2" t="s">
        <v>56</v>
      </c>
      <c r="S2880" s="9">
        <f t="shared" si="224"/>
        <v>0.02</v>
      </c>
    </row>
    <row r="2881" spans="1:19" x14ac:dyDescent="0.25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e">
        <f>VLOOKUP('Customer Info'!A2873,'Customer Info'!A2873:I3372,2,FALSE)</f>
        <v>#N/A</v>
      </c>
      <c r="H2881" s="6" t="e">
        <f>VLOOKUP('Customer Info'!A2873,'Customer Info'!A2873:I3373,3,FALSE)</f>
        <v>#N/A</v>
      </c>
      <c r="I2881" s="6" t="e">
        <f>VLOOKUP('Customer Info'!A2873,'Customer Info'!A2873:I3372,5,FALSE)</f>
        <v>#N/A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975</v>
      </c>
      <c r="R2881" s="2" t="s">
        <v>28</v>
      </c>
      <c r="S2881" s="9">
        <f t="shared" si="224"/>
        <v>0.05</v>
      </c>
    </row>
    <row r="2882" spans="1:19" x14ac:dyDescent="0.25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e">
        <f>VLOOKUP('Customer Info'!A2874,'Customer Info'!A2874:I3373,2,FALSE)</f>
        <v>#N/A</v>
      </c>
      <c r="H2882" s="6" t="e">
        <f>VLOOKUP('Customer Info'!A2874,'Customer Info'!A2874:I3374,3,FALSE)</f>
        <v>#N/A</v>
      </c>
      <c r="I2882" s="6" t="e">
        <f>VLOOKUP('Customer Info'!A2874,'Customer Info'!A2874:I3373,5,FALSE)</f>
        <v>#N/A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198</v>
      </c>
      <c r="R2882" s="2" t="s">
        <v>28</v>
      </c>
      <c r="S2882" s="9">
        <f t="shared" si="224"/>
        <v>0.02</v>
      </c>
    </row>
    <row r="2883" spans="1:19" x14ac:dyDescent="0.25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e">
        <f>VLOOKUP('Customer Info'!A2875,'Customer Info'!A2875:I3374,2,FALSE)</f>
        <v>#N/A</v>
      </c>
      <c r="H2883" s="6" t="e">
        <f>VLOOKUP('Customer Info'!A2875,'Customer Info'!A2875:I3375,3,FALSE)</f>
        <v>#N/A</v>
      </c>
      <c r="I2883" s="6" t="e">
        <f>VLOOKUP('Customer Info'!A2875,'Customer Info'!A2875:I3374,5,FALSE)</f>
        <v>#N/A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366</v>
      </c>
      <c r="R2883" s="2" t="s">
        <v>26</v>
      </c>
      <c r="S2883" s="9">
        <f t="shared" si="224"/>
        <v>0.02</v>
      </c>
    </row>
    <row r="2884" spans="1:19" x14ac:dyDescent="0.25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e">
        <f>VLOOKUP('Customer Info'!A2876,'Customer Info'!A2876:I3375,2,FALSE)</f>
        <v>#N/A</v>
      </c>
      <c r="H2884" s="6" t="e">
        <f>VLOOKUP('Customer Info'!A2876,'Customer Info'!A2876:I3376,3,FALSE)</f>
        <v>#N/A</v>
      </c>
      <c r="I2884" s="6" t="e">
        <f>VLOOKUP('Customer Info'!A2876,'Customer Info'!A2876:I3375,5,FALSE)</f>
        <v>#N/A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944</v>
      </c>
      <c r="R2884" s="2" t="s">
        <v>28</v>
      </c>
      <c r="S2884" s="9">
        <f t="shared" si="224"/>
        <v>0.05</v>
      </c>
    </row>
    <row r="2885" spans="1:19" x14ac:dyDescent="0.25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e">
        <f>VLOOKUP('Customer Info'!A2877,'Customer Info'!A2877:I3376,2,FALSE)</f>
        <v>#N/A</v>
      </c>
      <c r="H2885" s="6" t="e">
        <f>VLOOKUP('Customer Info'!A2877,'Customer Info'!A2877:I3377,3,FALSE)</f>
        <v>#N/A</v>
      </c>
      <c r="I2885" s="6" t="e">
        <f>VLOOKUP('Customer Info'!A2877,'Customer Info'!A2877:I3376,5,FALSE)</f>
        <v>#N/A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797</v>
      </c>
      <c r="R2885" s="2" t="s">
        <v>56</v>
      </c>
      <c r="S2885" s="9">
        <f t="shared" si="224"/>
        <v>0.05</v>
      </c>
    </row>
    <row r="2886" spans="1:19" x14ac:dyDescent="0.25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e">
        <f>VLOOKUP('Customer Info'!A2878,'Customer Info'!A2878:I3377,2,FALSE)</f>
        <v>#N/A</v>
      </c>
      <c r="H2886" s="6" t="e">
        <f>VLOOKUP('Customer Info'!A2878,'Customer Info'!A2878:I3378,3,FALSE)</f>
        <v>#N/A</v>
      </c>
      <c r="I2886" s="6" t="e">
        <f>VLOOKUP('Customer Info'!A2878,'Customer Info'!A2878:I3377,5,FALSE)</f>
        <v>#N/A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707</v>
      </c>
      <c r="R2886" s="2" t="s">
        <v>28</v>
      </c>
      <c r="S2886" s="9">
        <f t="shared" si="224"/>
        <v>0.05</v>
      </c>
    </row>
    <row r="2887" spans="1:19" x14ac:dyDescent="0.25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e">
        <f>VLOOKUP('Customer Info'!A2879,'Customer Info'!A2879:I3378,2,FALSE)</f>
        <v>#N/A</v>
      </c>
      <c r="H2887" s="6" t="e">
        <f>VLOOKUP('Customer Info'!A2879,'Customer Info'!A2879:I3379,3,FALSE)</f>
        <v>#N/A</v>
      </c>
      <c r="I2887" s="6" t="e">
        <f>VLOOKUP('Customer Info'!A2879,'Customer Info'!A2879:I3378,5,FALSE)</f>
        <v>#N/A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11291</v>
      </c>
      <c r="R2887" s="2" t="s">
        <v>28</v>
      </c>
      <c r="S2887" s="9">
        <f t="shared" si="224"/>
        <v>0.12</v>
      </c>
    </row>
    <row r="2888" spans="1:19" x14ac:dyDescent="0.25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e">
        <f>VLOOKUP('Customer Info'!A2880,'Customer Info'!A2880:I3379,2,FALSE)</f>
        <v>#N/A</v>
      </c>
      <c r="H2888" s="6" t="e">
        <f>VLOOKUP('Customer Info'!A2880,'Customer Info'!A2880:I3380,3,FALSE)</f>
        <v>#N/A</v>
      </c>
      <c r="I2888" s="6" t="e">
        <f>VLOOKUP('Customer Info'!A2880,'Customer Info'!A2880:I3379,5,FALSE)</f>
        <v>#N/A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202</v>
      </c>
      <c r="R2888" s="2" t="s">
        <v>28</v>
      </c>
      <c r="S2888" s="9">
        <f t="shared" si="224"/>
        <v>0.02</v>
      </c>
    </row>
    <row r="2889" spans="1:19" x14ac:dyDescent="0.25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e">
        <f>VLOOKUP('Customer Info'!A2881,'Customer Info'!A2881:I3380,2,FALSE)</f>
        <v>#N/A</v>
      </c>
      <c r="H2889" s="6" t="e">
        <f>VLOOKUP('Customer Info'!A2881,'Customer Info'!A2881:I3381,3,FALSE)</f>
        <v>#N/A</v>
      </c>
      <c r="I2889" s="6" t="e">
        <f>VLOOKUP('Customer Info'!A2881,'Customer Info'!A2881:I3380,5,FALSE)</f>
        <v>#N/A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249</v>
      </c>
      <c r="R2889" s="2" t="s">
        <v>28</v>
      </c>
      <c r="S2889" s="9">
        <f t="shared" si="224"/>
        <v>0.02</v>
      </c>
    </row>
    <row r="2890" spans="1:19" x14ac:dyDescent="0.25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e">
        <f>VLOOKUP('Customer Info'!A2882,'Customer Info'!A2882:I3381,2,FALSE)</f>
        <v>#N/A</v>
      </c>
      <c r="H2890" s="6" t="e">
        <f>VLOOKUP('Customer Info'!A2882,'Customer Info'!A2882:I3382,3,FALSE)</f>
        <v>#N/A</v>
      </c>
      <c r="I2890" s="6" t="e">
        <f>VLOOKUP('Customer Info'!A2882,'Customer Info'!A2882:I3381,5,FALSE)</f>
        <v>#N/A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31</v>
      </c>
      <c r="R2890" s="2" t="s">
        <v>28</v>
      </c>
      <c r="S2890" s="9">
        <f t="shared" si="224"/>
        <v>0.02</v>
      </c>
    </row>
    <row r="2891" spans="1:19" x14ac:dyDescent="0.25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e">
        <f>VLOOKUP('Customer Info'!A2883,'Customer Info'!A2883:I3382,2,FALSE)</f>
        <v>#N/A</v>
      </c>
      <c r="H2891" s="6" t="e">
        <f>VLOOKUP('Customer Info'!A2883,'Customer Info'!A2883:I3383,3,FALSE)</f>
        <v>#N/A</v>
      </c>
      <c r="I2891" s="6" t="e">
        <f>VLOOKUP('Customer Info'!A2883,'Customer Info'!A2883:I3382,5,FALSE)</f>
        <v>#N/A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8">
        <f t="shared" ref="P2891:P2954" si="227">N2891+O2891</f>
        <v>25919</v>
      </c>
      <c r="Q2891" s="8">
        <f t="shared" ref="Q2891:Q2954" si="228">P2891-M2891</f>
        <v>2219</v>
      </c>
      <c r="R2891" s="2" t="s">
        <v>28</v>
      </c>
      <c r="S2891" s="9">
        <f t="shared" ref="S2891:S2954" si="229">VLOOKUP(P2891,$T$2:$U$7,2,TRUE)</f>
        <v>7.0000000000000007E-2</v>
      </c>
    </row>
    <row r="2892" spans="1:19" x14ac:dyDescent="0.25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e">
        <f>VLOOKUP('Customer Info'!A2884,'Customer Info'!A2884:I3383,2,FALSE)</f>
        <v>#N/A</v>
      </c>
      <c r="H2892" s="6" t="e">
        <f>VLOOKUP('Customer Info'!A2884,'Customer Info'!A2884:I3384,3,FALSE)</f>
        <v>#N/A</v>
      </c>
      <c r="I2892" s="6" t="e">
        <f>VLOOKUP('Customer Info'!A2884,'Customer Info'!A2884:I3383,5,FALSE)</f>
        <v>#N/A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36</v>
      </c>
      <c r="R2892" s="2" t="s">
        <v>28</v>
      </c>
      <c r="S2892" s="9">
        <f t="shared" si="229"/>
        <v>0.02</v>
      </c>
    </row>
    <row r="2893" spans="1:19" x14ac:dyDescent="0.25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e">
        <f>VLOOKUP('Customer Info'!A2885,'Customer Info'!A2885:I3384,2,FALSE)</f>
        <v>#N/A</v>
      </c>
      <c r="H2893" s="6" t="e">
        <f>VLOOKUP('Customer Info'!A2885,'Customer Info'!A2885:I3385,3,FALSE)</f>
        <v>#N/A</v>
      </c>
      <c r="I2893" s="6" t="e">
        <f>VLOOKUP('Customer Info'!A2885,'Customer Info'!A2885:I3384,5,FALSE)</f>
        <v>#N/A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694</v>
      </c>
      <c r="R2893" s="2" t="s">
        <v>26</v>
      </c>
      <c r="S2893" s="9">
        <f t="shared" si="229"/>
        <v>0.05</v>
      </c>
    </row>
    <row r="2894" spans="1:19" x14ac:dyDescent="0.25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e">
        <f>VLOOKUP('Customer Info'!A2886,'Customer Info'!A2886:I3385,2,FALSE)</f>
        <v>#N/A</v>
      </c>
      <c r="H2894" s="6" t="e">
        <f>VLOOKUP('Customer Info'!A2886,'Customer Info'!A2886:I3386,3,FALSE)</f>
        <v>#N/A</v>
      </c>
      <c r="I2894" s="6" t="e">
        <f>VLOOKUP('Customer Info'!A2886,'Customer Info'!A2886:I3385,5,FALSE)</f>
        <v>#N/A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151</v>
      </c>
      <c r="R2894" s="2" t="s">
        <v>50</v>
      </c>
      <c r="S2894" s="9">
        <f t="shared" si="229"/>
        <v>0.02</v>
      </c>
    </row>
    <row r="2895" spans="1:19" x14ac:dyDescent="0.25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e">
        <f>VLOOKUP('Customer Info'!A2887,'Customer Info'!A2887:I3386,2,FALSE)</f>
        <v>#N/A</v>
      </c>
      <c r="H2895" s="6" t="e">
        <f>VLOOKUP('Customer Info'!A2887,'Customer Info'!A2887:I3387,3,FALSE)</f>
        <v>#N/A</v>
      </c>
      <c r="I2895" s="6" t="e">
        <f>VLOOKUP('Customer Info'!A2887,'Customer Info'!A2887:I3386,5,FALSE)</f>
        <v>#N/A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16</v>
      </c>
      <c r="R2895" s="2" t="s">
        <v>26</v>
      </c>
      <c r="S2895" s="9">
        <f t="shared" si="229"/>
        <v>0.02</v>
      </c>
    </row>
    <row r="2896" spans="1:19" x14ac:dyDescent="0.25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e">
        <f>VLOOKUP('Customer Info'!A2888,'Customer Info'!A2888:I3387,2,FALSE)</f>
        <v>#N/A</v>
      </c>
      <c r="H2896" s="6" t="e">
        <f>VLOOKUP('Customer Info'!A2888,'Customer Info'!A2888:I3388,3,FALSE)</f>
        <v>#N/A</v>
      </c>
      <c r="I2896" s="6" t="e">
        <f>VLOOKUP('Customer Info'!A2888,'Customer Info'!A2888:I3387,5,FALSE)</f>
        <v>#N/A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219</v>
      </c>
      <c r="R2896" s="2" t="s">
        <v>50</v>
      </c>
      <c r="S2896" s="9">
        <f t="shared" si="229"/>
        <v>0.02</v>
      </c>
    </row>
    <row r="2897" spans="1:19" x14ac:dyDescent="0.25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e">
        <f>VLOOKUP('Customer Info'!A2889,'Customer Info'!A2889:I3388,2,FALSE)</f>
        <v>#N/A</v>
      </c>
      <c r="H2897" s="6" t="e">
        <f>VLOOKUP('Customer Info'!A2889,'Customer Info'!A2889:I3389,3,FALSE)</f>
        <v>#N/A</v>
      </c>
      <c r="I2897" s="6" t="e">
        <f>VLOOKUP('Customer Info'!A2889,'Customer Info'!A2889:I3388,5,FALSE)</f>
        <v>#N/A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458</v>
      </c>
      <c r="R2897" s="2" t="s">
        <v>28</v>
      </c>
      <c r="S2897" s="9">
        <f t="shared" si="229"/>
        <v>0.05</v>
      </c>
    </row>
    <row r="2898" spans="1:19" x14ac:dyDescent="0.25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e">
        <f>VLOOKUP('Customer Info'!A2890,'Customer Info'!A2890:I3389,2,FALSE)</f>
        <v>#N/A</v>
      </c>
      <c r="H2898" s="6" t="e">
        <f>VLOOKUP('Customer Info'!A2890,'Customer Info'!A2890:I3390,3,FALSE)</f>
        <v>#N/A</v>
      </c>
      <c r="I2898" s="6" t="e">
        <f>VLOOKUP('Customer Info'!A2890,'Customer Info'!A2890:I3389,5,FALSE)</f>
        <v>#N/A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305</v>
      </c>
      <c r="R2898" s="2" t="s">
        <v>28</v>
      </c>
      <c r="S2898" s="9">
        <f t="shared" si="229"/>
        <v>0.02</v>
      </c>
    </row>
    <row r="2899" spans="1:19" x14ac:dyDescent="0.25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e">
        <f>VLOOKUP('Customer Info'!A2891,'Customer Info'!A2891:I3390,2,FALSE)</f>
        <v>#N/A</v>
      </c>
      <c r="H2899" s="6" t="e">
        <f>VLOOKUP('Customer Info'!A2891,'Customer Info'!A2891:I3391,3,FALSE)</f>
        <v>#N/A</v>
      </c>
      <c r="I2899" s="6" t="e">
        <f>VLOOKUP('Customer Info'!A2891,'Customer Info'!A2891:I3390,5,FALSE)</f>
        <v>#N/A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524</v>
      </c>
      <c r="R2899" s="2" t="s">
        <v>28</v>
      </c>
      <c r="S2899" s="9">
        <f t="shared" si="229"/>
        <v>0.05</v>
      </c>
    </row>
    <row r="2900" spans="1:19" x14ac:dyDescent="0.25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e">
        <f>VLOOKUP('Customer Info'!A2892,'Customer Info'!A2892:I3391,2,FALSE)</f>
        <v>#N/A</v>
      </c>
      <c r="H2900" s="6" t="e">
        <f>VLOOKUP('Customer Info'!A2892,'Customer Info'!A2892:I3392,3,FALSE)</f>
        <v>#N/A</v>
      </c>
      <c r="I2900" s="6" t="e">
        <f>VLOOKUP('Customer Info'!A2892,'Customer Info'!A2892:I3391,5,FALSE)</f>
        <v>#N/A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159</v>
      </c>
      <c r="R2900" s="2" t="s">
        <v>28</v>
      </c>
      <c r="S2900" s="9">
        <f t="shared" si="229"/>
        <v>0.02</v>
      </c>
    </row>
    <row r="2901" spans="1:19" x14ac:dyDescent="0.25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e">
        <f>VLOOKUP('Customer Info'!A2893,'Customer Info'!A2893:I3392,2,FALSE)</f>
        <v>#N/A</v>
      </c>
      <c r="H2901" s="6" t="e">
        <f>VLOOKUP('Customer Info'!A2893,'Customer Info'!A2893:I3393,3,FALSE)</f>
        <v>#N/A</v>
      </c>
      <c r="I2901" s="6" t="e">
        <f>VLOOKUP('Customer Info'!A2893,'Customer Info'!A2893:I3392,5,FALSE)</f>
        <v>#N/A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24</v>
      </c>
      <c r="R2901" s="2" t="s">
        <v>26</v>
      </c>
      <c r="S2901" s="9">
        <f t="shared" si="229"/>
        <v>0.02</v>
      </c>
    </row>
    <row r="2902" spans="1:19" x14ac:dyDescent="0.25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e">
        <f>VLOOKUP('Customer Info'!A2894,'Customer Info'!A2894:I3393,2,FALSE)</f>
        <v>#N/A</v>
      </c>
      <c r="H2902" s="6" t="e">
        <f>VLOOKUP('Customer Info'!A2894,'Customer Info'!A2894:I3394,3,FALSE)</f>
        <v>#N/A</v>
      </c>
      <c r="I2902" s="6" t="e">
        <f>VLOOKUP('Customer Info'!A2894,'Customer Info'!A2894:I3393,5,FALSE)</f>
        <v>#N/A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84</v>
      </c>
      <c r="R2902" s="2" t="s">
        <v>28</v>
      </c>
      <c r="S2902" s="9">
        <f t="shared" si="229"/>
        <v>0.02</v>
      </c>
    </row>
    <row r="2903" spans="1:19" x14ac:dyDescent="0.25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e">
        <f>VLOOKUP('Customer Info'!A2895,'Customer Info'!A2895:I3394,2,FALSE)</f>
        <v>#N/A</v>
      </c>
      <c r="H2903" s="6" t="e">
        <f>VLOOKUP('Customer Info'!A2895,'Customer Info'!A2895:I3395,3,FALSE)</f>
        <v>#N/A</v>
      </c>
      <c r="I2903" s="6" t="e">
        <f>VLOOKUP('Customer Info'!A2895,'Customer Info'!A2895:I3394,5,FALSE)</f>
        <v>#N/A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767</v>
      </c>
      <c r="R2903" s="2" t="s">
        <v>28</v>
      </c>
      <c r="S2903" s="9">
        <f t="shared" si="229"/>
        <v>0.05</v>
      </c>
    </row>
    <row r="2904" spans="1:19" x14ac:dyDescent="0.25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e">
        <f>VLOOKUP('Customer Info'!A2896,'Customer Info'!A2896:I3395,2,FALSE)</f>
        <v>#N/A</v>
      </c>
      <c r="H2904" s="6" t="e">
        <f>VLOOKUP('Customer Info'!A2896,'Customer Info'!A2896:I3396,3,FALSE)</f>
        <v>#N/A</v>
      </c>
      <c r="I2904" s="6" t="e">
        <f>VLOOKUP('Customer Info'!A2896,'Customer Info'!A2896:I3395,5,FALSE)</f>
        <v>#N/A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157</v>
      </c>
      <c r="R2904" s="2" t="s">
        <v>26</v>
      </c>
      <c r="S2904" s="9">
        <f t="shared" si="229"/>
        <v>0.05</v>
      </c>
    </row>
    <row r="2905" spans="1:19" x14ac:dyDescent="0.25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e">
        <f>VLOOKUP('Customer Info'!A2897,'Customer Info'!A2897:I3396,2,FALSE)</f>
        <v>#N/A</v>
      </c>
      <c r="H2905" s="6" t="e">
        <f>VLOOKUP('Customer Info'!A2897,'Customer Info'!A2897:I3397,3,FALSE)</f>
        <v>#N/A</v>
      </c>
      <c r="I2905" s="6" t="e">
        <f>VLOOKUP('Customer Info'!A2897,'Customer Info'!A2897:I3396,5,FALSE)</f>
        <v>#N/A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75</v>
      </c>
      <c r="R2905" s="2" t="s">
        <v>28</v>
      </c>
      <c r="S2905" s="9">
        <f t="shared" si="229"/>
        <v>0.02</v>
      </c>
    </row>
    <row r="2906" spans="1:19" x14ac:dyDescent="0.25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e">
        <f>VLOOKUP('Customer Info'!A2898,'Customer Info'!A2898:I3397,2,FALSE)</f>
        <v>#N/A</v>
      </c>
      <c r="H2906" s="6" t="e">
        <f>VLOOKUP('Customer Info'!A2898,'Customer Info'!A2898:I3398,3,FALSE)</f>
        <v>#N/A</v>
      </c>
      <c r="I2906" s="6" t="e">
        <f>VLOOKUP('Customer Info'!A2898,'Customer Info'!A2898:I3397,5,FALSE)</f>
        <v>#N/A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2145</v>
      </c>
      <c r="R2906" s="2" t="s">
        <v>28</v>
      </c>
      <c r="S2906" s="9">
        <f t="shared" si="229"/>
        <v>7.0000000000000007E-2</v>
      </c>
    </row>
    <row r="2907" spans="1:19" x14ac:dyDescent="0.25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e">
        <f>VLOOKUP('Customer Info'!A2899,'Customer Info'!A2899:I3398,2,FALSE)</f>
        <v>#N/A</v>
      </c>
      <c r="H2907" s="6" t="e">
        <f>VLOOKUP('Customer Info'!A2899,'Customer Info'!A2899:I3399,3,FALSE)</f>
        <v>#N/A</v>
      </c>
      <c r="I2907" s="6" t="e">
        <f>VLOOKUP('Customer Info'!A2899,'Customer Info'!A2899:I3398,5,FALSE)</f>
        <v>#N/A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285</v>
      </c>
      <c r="R2907" s="2" t="s">
        <v>28</v>
      </c>
      <c r="S2907" s="9">
        <f t="shared" si="229"/>
        <v>0.02</v>
      </c>
    </row>
    <row r="2908" spans="1:19" x14ac:dyDescent="0.25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e">
        <f>VLOOKUP('Customer Info'!A2900,'Customer Info'!A2900:I3399,2,FALSE)</f>
        <v>#N/A</v>
      </c>
      <c r="H2908" s="6" t="e">
        <f>VLOOKUP('Customer Info'!A2900,'Customer Info'!A2900:I3400,3,FALSE)</f>
        <v>#N/A</v>
      </c>
      <c r="I2908" s="6" t="e">
        <f>VLOOKUP('Customer Info'!A2900,'Customer Info'!A2900:I3399,5,FALSE)</f>
        <v>#N/A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314</v>
      </c>
      <c r="R2908" s="2" t="s">
        <v>28</v>
      </c>
      <c r="S2908" s="9">
        <f t="shared" si="229"/>
        <v>0.05</v>
      </c>
    </row>
    <row r="2909" spans="1:19" x14ac:dyDescent="0.25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e">
        <f>VLOOKUP('Customer Info'!A2901,'Customer Info'!A2901:I3400,2,FALSE)</f>
        <v>#N/A</v>
      </c>
      <c r="H2909" s="6" t="e">
        <f>VLOOKUP('Customer Info'!A2901,'Customer Info'!A2901:I3401,3,FALSE)</f>
        <v>#N/A</v>
      </c>
      <c r="I2909" s="6" t="e">
        <f>VLOOKUP('Customer Info'!A2901,'Customer Info'!A2901:I3400,5,FALSE)</f>
        <v>#N/A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230</v>
      </c>
      <c r="R2909" s="2" t="s">
        <v>56</v>
      </c>
      <c r="S2909" s="9">
        <f t="shared" si="229"/>
        <v>0.02</v>
      </c>
    </row>
    <row r="2910" spans="1:19" x14ac:dyDescent="0.25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e">
        <f>VLOOKUP('Customer Info'!A2902,'Customer Info'!A2902:I3401,2,FALSE)</f>
        <v>#N/A</v>
      </c>
      <c r="H2910" s="6" t="e">
        <f>VLOOKUP('Customer Info'!A2902,'Customer Info'!A2902:I3402,3,FALSE)</f>
        <v>#N/A</v>
      </c>
      <c r="I2910" s="6" t="e">
        <f>VLOOKUP('Customer Info'!A2902,'Customer Info'!A2902:I3401,5,FALSE)</f>
        <v>#N/A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496</v>
      </c>
      <c r="R2910" s="2" t="s">
        <v>50</v>
      </c>
      <c r="S2910" s="9">
        <f t="shared" si="229"/>
        <v>0.05</v>
      </c>
    </row>
    <row r="2911" spans="1:19" x14ac:dyDescent="0.25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e">
        <f>VLOOKUP('Customer Info'!A2903,'Customer Info'!A2903:I3402,2,FALSE)</f>
        <v>#N/A</v>
      </c>
      <c r="H2911" s="6" t="e">
        <f>VLOOKUP('Customer Info'!A2903,'Customer Info'!A2903:I3403,3,FALSE)</f>
        <v>#N/A</v>
      </c>
      <c r="I2911" s="6" t="e">
        <f>VLOOKUP('Customer Info'!A2903,'Customer Info'!A2903:I3402,5,FALSE)</f>
        <v>#N/A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181</v>
      </c>
      <c r="R2911" s="2" t="s">
        <v>50</v>
      </c>
      <c r="S2911" s="9">
        <f t="shared" si="229"/>
        <v>0.02</v>
      </c>
    </row>
    <row r="2912" spans="1:19" x14ac:dyDescent="0.25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e">
        <f>VLOOKUP('Customer Info'!A2904,'Customer Info'!A2904:I3403,2,FALSE)</f>
        <v>#N/A</v>
      </c>
      <c r="H2912" s="6" t="e">
        <f>VLOOKUP('Customer Info'!A2904,'Customer Info'!A2904:I3404,3,FALSE)</f>
        <v>#N/A</v>
      </c>
      <c r="I2912" s="6" t="e">
        <f>VLOOKUP('Customer Info'!A2904,'Customer Info'!A2904:I3403,5,FALSE)</f>
        <v>#N/A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383</v>
      </c>
      <c r="R2912" s="2" t="s">
        <v>26</v>
      </c>
      <c r="S2912" s="9">
        <f t="shared" si="229"/>
        <v>0.05</v>
      </c>
    </row>
    <row r="2913" spans="1:19" x14ac:dyDescent="0.25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e">
        <f>VLOOKUP('Customer Info'!A2905,'Customer Info'!A2905:I3404,2,FALSE)</f>
        <v>#N/A</v>
      </c>
      <c r="H2913" s="6" t="e">
        <f>VLOOKUP('Customer Info'!A2905,'Customer Info'!A2905:I3405,3,FALSE)</f>
        <v>#N/A</v>
      </c>
      <c r="I2913" s="6" t="e">
        <f>VLOOKUP('Customer Info'!A2905,'Customer Info'!A2905:I3404,5,FALSE)</f>
        <v>#N/A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908</v>
      </c>
      <c r="R2913" s="2" t="s">
        <v>50</v>
      </c>
      <c r="S2913" s="9">
        <f t="shared" si="229"/>
        <v>0.05</v>
      </c>
    </row>
    <row r="2914" spans="1:19" x14ac:dyDescent="0.25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e">
        <f>VLOOKUP('Customer Info'!A2906,'Customer Info'!A2906:I3405,2,FALSE)</f>
        <v>#N/A</v>
      </c>
      <c r="H2914" s="6" t="e">
        <f>VLOOKUP('Customer Info'!A2906,'Customer Info'!A2906:I3406,3,FALSE)</f>
        <v>#N/A</v>
      </c>
      <c r="I2914" s="6" t="e">
        <f>VLOOKUP('Customer Info'!A2906,'Customer Info'!A2906:I3405,5,FALSE)</f>
        <v>#N/A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222</v>
      </c>
      <c r="R2914" s="2" t="s">
        <v>28</v>
      </c>
      <c r="S2914" s="9">
        <f t="shared" si="229"/>
        <v>0.02</v>
      </c>
    </row>
    <row r="2915" spans="1:19" x14ac:dyDescent="0.25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e">
        <f>VLOOKUP('Customer Info'!A2907,'Customer Info'!A2907:I3406,2,FALSE)</f>
        <v>#N/A</v>
      </c>
      <c r="H2915" s="6" t="e">
        <f>VLOOKUP('Customer Info'!A2907,'Customer Info'!A2907:I3407,3,FALSE)</f>
        <v>#N/A</v>
      </c>
      <c r="I2915" s="6" t="e">
        <f>VLOOKUP('Customer Info'!A2907,'Customer Info'!A2907:I3406,5,FALSE)</f>
        <v>#N/A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1881</v>
      </c>
      <c r="R2915" s="2" t="s">
        <v>50</v>
      </c>
      <c r="S2915" s="9">
        <f t="shared" si="229"/>
        <v>7.0000000000000007E-2</v>
      </c>
    </row>
    <row r="2916" spans="1:19" x14ac:dyDescent="0.25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e">
        <f>VLOOKUP('Customer Info'!A2908,'Customer Info'!A2908:I3407,2,FALSE)</f>
        <v>#N/A</v>
      </c>
      <c r="H2916" s="6" t="e">
        <f>VLOOKUP('Customer Info'!A2908,'Customer Info'!A2908:I3408,3,FALSE)</f>
        <v>#N/A</v>
      </c>
      <c r="I2916" s="6" t="e">
        <f>VLOOKUP('Customer Info'!A2908,'Customer Info'!A2908:I3407,5,FALSE)</f>
        <v>#N/A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54</v>
      </c>
      <c r="R2916" s="2" t="s">
        <v>56</v>
      </c>
      <c r="S2916" s="9">
        <f t="shared" si="229"/>
        <v>0.02</v>
      </c>
    </row>
    <row r="2917" spans="1:19" x14ac:dyDescent="0.25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e">
        <f>VLOOKUP('Customer Info'!A2909,'Customer Info'!A2909:I3408,2,FALSE)</f>
        <v>#N/A</v>
      </c>
      <c r="H2917" s="6" t="e">
        <f>VLOOKUP('Customer Info'!A2909,'Customer Info'!A2909:I3409,3,FALSE)</f>
        <v>#N/A</v>
      </c>
      <c r="I2917" s="6" t="e">
        <f>VLOOKUP('Customer Info'!A2909,'Customer Info'!A2909:I3408,5,FALSE)</f>
        <v>#N/A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320</v>
      </c>
      <c r="R2917" s="2" t="s">
        <v>28</v>
      </c>
      <c r="S2917" s="9">
        <f t="shared" si="229"/>
        <v>0.02</v>
      </c>
    </row>
    <row r="2918" spans="1:19" x14ac:dyDescent="0.25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e">
        <f>VLOOKUP('Customer Info'!A2910,'Customer Info'!A2910:I3409,2,FALSE)</f>
        <v>#N/A</v>
      </c>
      <c r="H2918" s="6" t="e">
        <f>VLOOKUP('Customer Info'!A2910,'Customer Info'!A2910:I3410,3,FALSE)</f>
        <v>#N/A</v>
      </c>
      <c r="I2918" s="6" t="e">
        <f>VLOOKUP('Customer Info'!A2910,'Customer Info'!A2910:I3409,5,FALSE)</f>
        <v>#N/A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661</v>
      </c>
      <c r="R2918" s="2" t="s">
        <v>28</v>
      </c>
      <c r="S2918" s="9">
        <f t="shared" si="229"/>
        <v>0.05</v>
      </c>
    </row>
    <row r="2919" spans="1:19" x14ac:dyDescent="0.25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e">
        <f>VLOOKUP('Customer Info'!A2911,'Customer Info'!A2911:I3410,2,FALSE)</f>
        <v>#N/A</v>
      </c>
      <c r="H2919" s="6" t="e">
        <f>VLOOKUP('Customer Info'!A2911,'Customer Info'!A2911:I3411,3,FALSE)</f>
        <v>#N/A</v>
      </c>
      <c r="I2919" s="6" t="e">
        <f>VLOOKUP('Customer Info'!A2911,'Customer Info'!A2911:I3410,5,FALSE)</f>
        <v>#N/A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982</v>
      </c>
      <c r="R2919" s="2" t="s">
        <v>50</v>
      </c>
      <c r="S2919" s="9">
        <f t="shared" si="229"/>
        <v>0.05</v>
      </c>
    </row>
    <row r="2920" spans="1:19" x14ac:dyDescent="0.25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e">
        <f>VLOOKUP('Customer Info'!A2912,'Customer Info'!A2912:I3411,2,FALSE)</f>
        <v>#N/A</v>
      </c>
      <c r="H2920" s="6" t="e">
        <f>VLOOKUP('Customer Info'!A2912,'Customer Info'!A2912:I3412,3,FALSE)</f>
        <v>#N/A</v>
      </c>
      <c r="I2920" s="6" t="e">
        <f>VLOOKUP('Customer Info'!A2912,'Customer Info'!A2912:I3411,5,FALSE)</f>
        <v>#N/A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34</v>
      </c>
      <c r="R2920" s="2" t="s">
        <v>28</v>
      </c>
      <c r="S2920" s="9">
        <f t="shared" si="229"/>
        <v>0.02</v>
      </c>
    </row>
    <row r="2921" spans="1:19" x14ac:dyDescent="0.25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e">
        <f>VLOOKUP('Customer Info'!A2913,'Customer Info'!A2913:I3412,2,FALSE)</f>
        <v>#N/A</v>
      </c>
      <c r="H2921" s="6" t="e">
        <f>VLOOKUP('Customer Info'!A2913,'Customer Info'!A2913:I3413,3,FALSE)</f>
        <v>#N/A</v>
      </c>
      <c r="I2921" s="6" t="e">
        <f>VLOOKUP('Customer Info'!A2913,'Customer Info'!A2913:I3412,5,FALSE)</f>
        <v>#N/A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803</v>
      </c>
      <c r="R2921" s="2" t="s">
        <v>28</v>
      </c>
      <c r="S2921" s="9">
        <f t="shared" si="229"/>
        <v>0.05</v>
      </c>
    </row>
    <row r="2922" spans="1:19" x14ac:dyDescent="0.25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e">
        <f>VLOOKUP('Customer Info'!A2914,'Customer Info'!A2914:I3413,2,FALSE)</f>
        <v>#N/A</v>
      </c>
      <c r="H2922" s="6" t="e">
        <f>VLOOKUP('Customer Info'!A2914,'Customer Info'!A2914:I3414,3,FALSE)</f>
        <v>#N/A</v>
      </c>
      <c r="I2922" s="6" t="e">
        <f>VLOOKUP('Customer Info'!A2914,'Customer Info'!A2914:I3413,5,FALSE)</f>
        <v>#N/A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139</v>
      </c>
      <c r="R2922" s="2" t="s">
        <v>28</v>
      </c>
      <c r="S2922" s="9">
        <f t="shared" si="229"/>
        <v>0.02</v>
      </c>
    </row>
    <row r="2923" spans="1:19" x14ac:dyDescent="0.25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e">
        <f>VLOOKUP('Customer Info'!A2915,'Customer Info'!A2915:I3414,2,FALSE)</f>
        <v>#N/A</v>
      </c>
      <c r="H2923" s="6" t="e">
        <f>VLOOKUP('Customer Info'!A2915,'Customer Info'!A2915:I3415,3,FALSE)</f>
        <v>#N/A</v>
      </c>
      <c r="I2923" s="6" t="e">
        <f>VLOOKUP('Customer Info'!A2915,'Customer Info'!A2915:I3414,5,FALSE)</f>
        <v>#N/A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245</v>
      </c>
      <c r="R2923" s="2" t="s">
        <v>28</v>
      </c>
      <c r="S2923" s="9">
        <f t="shared" si="229"/>
        <v>0.05</v>
      </c>
    </row>
    <row r="2924" spans="1:19" x14ac:dyDescent="0.25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e">
        <f>VLOOKUP('Customer Info'!A2916,'Customer Info'!A2916:I3415,2,FALSE)</f>
        <v>#N/A</v>
      </c>
      <c r="H2924" s="6" t="e">
        <f>VLOOKUP('Customer Info'!A2916,'Customer Info'!A2916:I3416,3,FALSE)</f>
        <v>#N/A</v>
      </c>
      <c r="I2924" s="6" t="e">
        <f>VLOOKUP('Customer Info'!A2916,'Customer Info'!A2916:I3415,5,FALSE)</f>
        <v>#N/A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320</v>
      </c>
      <c r="R2924" s="2" t="s">
        <v>26</v>
      </c>
      <c r="S2924" s="9">
        <f t="shared" si="229"/>
        <v>0.02</v>
      </c>
    </row>
    <row r="2925" spans="1:19" x14ac:dyDescent="0.25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e">
        <f>VLOOKUP('Customer Info'!A2917,'Customer Info'!A2917:I3416,2,FALSE)</f>
        <v>#N/A</v>
      </c>
      <c r="H2925" s="6" t="e">
        <f>VLOOKUP('Customer Info'!A2917,'Customer Info'!A2917:I3417,3,FALSE)</f>
        <v>#N/A</v>
      </c>
      <c r="I2925" s="6" t="e">
        <f>VLOOKUP('Customer Info'!A2917,'Customer Info'!A2917:I3416,5,FALSE)</f>
        <v>#N/A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1191</v>
      </c>
      <c r="R2925" s="2" t="s">
        <v>50</v>
      </c>
      <c r="S2925" s="9">
        <f t="shared" si="229"/>
        <v>0.05</v>
      </c>
    </row>
    <row r="2926" spans="1:19" x14ac:dyDescent="0.25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e">
        <f>VLOOKUP('Customer Info'!A2918,'Customer Info'!A2918:I3417,2,FALSE)</f>
        <v>#N/A</v>
      </c>
      <c r="H2926" s="6" t="e">
        <f>VLOOKUP('Customer Info'!A2918,'Customer Info'!A2918:I3418,3,FALSE)</f>
        <v>#N/A</v>
      </c>
      <c r="I2926" s="6" t="e">
        <f>VLOOKUP('Customer Info'!A2918,'Customer Info'!A2918:I3417,5,FALSE)</f>
        <v>#N/A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212</v>
      </c>
      <c r="R2926" s="2" t="s">
        <v>50</v>
      </c>
      <c r="S2926" s="9">
        <f t="shared" si="229"/>
        <v>0.02</v>
      </c>
    </row>
    <row r="2927" spans="1:19" x14ac:dyDescent="0.25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e">
        <f>VLOOKUP('Customer Info'!A2919,'Customer Info'!A2919:I3418,2,FALSE)</f>
        <v>#N/A</v>
      </c>
      <c r="H2927" s="6" t="e">
        <f>VLOOKUP('Customer Info'!A2919,'Customer Info'!A2919:I3419,3,FALSE)</f>
        <v>#N/A</v>
      </c>
      <c r="I2927" s="6" t="e">
        <f>VLOOKUP('Customer Info'!A2919,'Customer Info'!A2919:I3418,5,FALSE)</f>
        <v>#N/A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387</v>
      </c>
      <c r="R2927" s="2" t="s">
        <v>28</v>
      </c>
      <c r="S2927" s="9">
        <f t="shared" si="229"/>
        <v>0.05</v>
      </c>
    </row>
    <row r="2928" spans="1:19" x14ac:dyDescent="0.25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e">
        <f>VLOOKUP('Customer Info'!A2920,'Customer Info'!A2920:I3419,2,FALSE)</f>
        <v>#N/A</v>
      </c>
      <c r="H2928" s="6" t="e">
        <f>VLOOKUP('Customer Info'!A2920,'Customer Info'!A2920:I3420,3,FALSE)</f>
        <v>#N/A</v>
      </c>
      <c r="I2928" s="6" t="e">
        <f>VLOOKUP('Customer Info'!A2920,'Customer Info'!A2920:I3419,5,FALSE)</f>
        <v>#N/A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66</v>
      </c>
      <c r="R2928" s="2" t="s">
        <v>50</v>
      </c>
      <c r="S2928" s="9">
        <f t="shared" si="229"/>
        <v>0.02</v>
      </c>
    </row>
    <row r="2929" spans="1:19" x14ac:dyDescent="0.25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e">
        <f>VLOOKUP('Customer Info'!A2921,'Customer Info'!A2921:I3420,2,FALSE)</f>
        <v>#N/A</v>
      </c>
      <c r="H2929" s="6" t="e">
        <f>VLOOKUP('Customer Info'!A2921,'Customer Info'!A2921:I3421,3,FALSE)</f>
        <v>#N/A</v>
      </c>
      <c r="I2929" s="6" t="e">
        <f>VLOOKUP('Customer Info'!A2921,'Customer Info'!A2921:I3420,5,FALSE)</f>
        <v>#N/A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263</v>
      </c>
      <c r="R2929" s="2" t="s">
        <v>50</v>
      </c>
      <c r="S2929" s="9">
        <f t="shared" si="229"/>
        <v>0.02</v>
      </c>
    </row>
    <row r="2930" spans="1:19" x14ac:dyDescent="0.25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e">
        <f>VLOOKUP('Customer Info'!A2922,'Customer Info'!A2922:I3421,2,FALSE)</f>
        <v>#N/A</v>
      </c>
      <c r="H2930" s="6" t="e">
        <f>VLOOKUP('Customer Info'!A2922,'Customer Info'!A2922:I3422,3,FALSE)</f>
        <v>#N/A</v>
      </c>
      <c r="I2930" s="6" t="e">
        <f>VLOOKUP('Customer Info'!A2922,'Customer Info'!A2922:I3421,5,FALSE)</f>
        <v>#N/A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172</v>
      </c>
      <c r="R2930" s="2" t="s">
        <v>28</v>
      </c>
      <c r="S2930" s="9">
        <f t="shared" si="229"/>
        <v>0.02</v>
      </c>
    </row>
    <row r="2931" spans="1:19" x14ac:dyDescent="0.25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e">
        <f>VLOOKUP('Customer Info'!A2923,'Customer Info'!A2923:I3422,2,FALSE)</f>
        <v>#N/A</v>
      </c>
      <c r="H2931" s="6" t="e">
        <f>VLOOKUP('Customer Info'!A2923,'Customer Info'!A2923:I3423,3,FALSE)</f>
        <v>#N/A</v>
      </c>
      <c r="I2931" s="6" t="e">
        <f>VLOOKUP('Customer Info'!A2923,'Customer Info'!A2923:I3422,5,FALSE)</f>
        <v>#N/A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63</v>
      </c>
      <c r="R2931" s="2" t="s">
        <v>28</v>
      </c>
      <c r="S2931" s="9">
        <f t="shared" si="229"/>
        <v>0.02</v>
      </c>
    </row>
    <row r="2932" spans="1:19" x14ac:dyDescent="0.25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e">
        <f>VLOOKUP('Customer Info'!A2924,'Customer Info'!A2924:I3423,2,FALSE)</f>
        <v>#N/A</v>
      </c>
      <c r="H2932" s="6" t="e">
        <f>VLOOKUP('Customer Info'!A2924,'Customer Info'!A2924:I3424,3,FALSE)</f>
        <v>#N/A</v>
      </c>
      <c r="I2932" s="6" t="e">
        <f>VLOOKUP('Customer Info'!A2924,'Customer Info'!A2924:I3423,5,FALSE)</f>
        <v>#N/A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384</v>
      </c>
      <c r="R2932" s="2" t="s">
        <v>50</v>
      </c>
      <c r="S2932" s="9">
        <f t="shared" si="229"/>
        <v>0.02</v>
      </c>
    </row>
    <row r="2933" spans="1:19" x14ac:dyDescent="0.25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e">
        <f>VLOOKUP('Customer Info'!A2925,'Customer Info'!A2925:I3424,2,FALSE)</f>
        <v>#N/A</v>
      </c>
      <c r="H2933" s="6" t="e">
        <f>VLOOKUP('Customer Info'!A2925,'Customer Info'!A2925:I3425,3,FALSE)</f>
        <v>#N/A</v>
      </c>
      <c r="I2933" s="6" t="e">
        <f>VLOOKUP('Customer Info'!A2925,'Customer Info'!A2925:I3424,5,FALSE)</f>
        <v>#N/A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1757</v>
      </c>
      <c r="R2933" s="2" t="s">
        <v>28</v>
      </c>
      <c r="S2933" s="9">
        <f t="shared" si="229"/>
        <v>7.0000000000000007E-2</v>
      </c>
    </row>
    <row r="2934" spans="1:19" x14ac:dyDescent="0.25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e">
        <f>VLOOKUP('Customer Info'!A2926,'Customer Info'!A2926:I3425,2,FALSE)</f>
        <v>#N/A</v>
      </c>
      <c r="H2934" s="6" t="e">
        <f>VLOOKUP('Customer Info'!A2926,'Customer Info'!A2926:I3426,3,FALSE)</f>
        <v>#N/A</v>
      </c>
      <c r="I2934" s="6" t="e">
        <f>VLOOKUP('Customer Info'!A2926,'Customer Info'!A2926:I3425,5,FALSE)</f>
        <v>#N/A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198</v>
      </c>
      <c r="R2934" s="2" t="s">
        <v>56</v>
      </c>
      <c r="S2934" s="9">
        <f t="shared" si="229"/>
        <v>0.05</v>
      </c>
    </row>
    <row r="2935" spans="1:19" x14ac:dyDescent="0.25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e">
        <f>VLOOKUP('Customer Info'!A2927,'Customer Info'!A2927:I3426,2,FALSE)</f>
        <v>#N/A</v>
      </c>
      <c r="H2935" s="6" t="e">
        <f>VLOOKUP('Customer Info'!A2927,'Customer Info'!A2927:I3427,3,FALSE)</f>
        <v>#N/A</v>
      </c>
      <c r="I2935" s="6" t="e">
        <f>VLOOKUP('Customer Info'!A2927,'Customer Info'!A2927:I3426,5,FALSE)</f>
        <v>#N/A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117</v>
      </c>
      <c r="R2935" s="2" t="s">
        <v>28</v>
      </c>
      <c r="S2935" s="9">
        <f t="shared" si="229"/>
        <v>0.02</v>
      </c>
    </row>
    <row r="2936" spans="1:19" x14ac:dyDescent="0.25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e">
        <f>VLOOKUP('Customer Info'!A2928,'Customer Info'!A2928:I3427,2,FALSE)</f>
        <v>#N/A</v>
      </c>
      <c r="H2936" s="6" t="e">
        <f>VLOOKUP('Customer Info'!A2928,'Customer Info'!A2928:I3428,3,FALSE)</f>
        <v>#N/A</v>
      </c>
      <c r="I2936" s="6" t="e">
        <f>VLOOKUP('Customer Info'!A2928,'Customer Info'!A2928:I3427,5,FALSE)</f>
        <v>#N/A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1993</v>
      </c>
      <c r="R2936" s="2" t="s">
        <v>56</v>
      </c>
      <c r="S2936" s="9">
        <f t="shared" si="229"/>
        <v>7.0000000000000007E-2</v>
      </c>
    </row>
    <row r="2937" spans="1:19" x14ac:dyDescent="0.25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e">
        <f>VLOOKUP('Customer Info'!A2929,'Customer Info'!A2929:I3428,2,FALSE)</f>
        <v>#N/A</v>
      </c>
      <c r="H2937" s="6" t="e">
        <f>VLOOKUP('Customer Info'!A2929,'Customer Info'!A2929:I3429,3,FALSE)</f>
        <v>#N/A</v>
      </c>
      <c r="I2937" s="6" t="e">
        <f>VLOOKUP('Customer Info'!A2929,'Customer Info'!A2929:I3428,5,FALSE)</f>
        <v>#N/A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645</v>
      </c>
      <c r="R2937" s="2" t="s">
        <v>28</v>
      </c>
      <c r="S2937" s="9">
        <f t="shared" si="229"/>
        <v>0.05</v>
      </c>
    </row>
    <row r="2938" spans="1:19" x14ac:dyDescent="0.25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e">
        <f>VLOOKUP('Customer Info'!A2930,'Customer Info'!A2930:I3429,2,FALSE)</f>
        <v>#N/A</v>
      </c>
      <c r="H2938" s="6" t="e">
        <f>VLOOKUP('Customer Info'!A2930,'Customer Info'!A2930:I3430,3,FALSE)</f>
        <v>#N/A</v>
      </c>
      <c r="I2938" s="6" t="e">
        <f>VLOOKUP('Customer Info'!A2930,'Customer Info'!A2930:I3429,5,FALSE)</f>
        <v>#N/A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521</v>
      </c>
      <c r="R2938" s="2" t="s">
        <v>28</v>
      </c>
      <c r="S2938" s="9">
        <f t="shared" si="229"/>
        <v>0.05</v>
      </c>
    </row>
    <row r="2939" spans="1:19" x14ac:dyDescent="0.25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e">
        <f>VLOOKUP('Customer Info'!A2931,'Customer Info'!A2931:I3430,2,FALSE)</f>
        <v>#N/A</v>
      </c>
      <c r="H2939" s="6" t="e">
        <f>VLOOKUP('Customer Info'!A2931,'Customer Info'!A2931:I3431,3,FALSE)</f>
        <v>#N/A</v>
      </c>
      <c r="I2939" s="6" t="e">
        <f>VLOOKUP('Customer Info'!A2931,'Customer Info'!A2931:I3430,5,FALSE)</f>
        <v>#N/A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567</v>
      </c>
      <c r="R2939" s="2" t="s">
        <v>28</v>
      </c>
      <c r="S2939" s="9">
        <f t="shared" si="229"/>
        <v>0.02</v>
      </c>
    </row>
    <row r="2940" spans="1:19" x14ac:dyDescent="0.25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e">
        <f>VLOOKUP('Customer Info'!A2932,'Customer Info'!A2932:I3431,2,FALSE)</f>
        <v>#N/A</v>
      </c>
      <c r="H2940" s="6" t="e">
        <f>VLOOKUP('Customer Info'!A2932,'Customer Info'!A2932:I3432,3,FALSE)</f>
        <v>#N/A</v>
      </c>
      <c r="I2940" s="6" t="e">
        <f>VLOOKUP('Customer Info'!A2932,'Customer Info'!A2932:I3431,5,FALSE)</f>
        <v>#N/A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922</v>
      </c>
      <c r="R2940" s="2" t="s">
        <v>28</v>
      </c>
      <c r="S2940" s="9">
        <f t="shared" si="229"/>
        <v>0.05</v>
      </c>
    </row>
    <row r="2941" spans="1:19" x14ac:dyDescent="0.25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e">
        <f>VLOOKUP('Customer Info'!A2933,'Customer Info'!A2933:I3432,2,FALSE)</f>
        <v>#N/A</v>
      </c>
      <c r="H2941" s="6" t="e">
        <f>VLOOKUP('Customer Info'!A2933,'Customer Info'!A2933:I3433,3,FALSE)</f>
        <v>#N/A</v>
      </c>
      <c r="I2941" s="6" t="e">
        <f>VLOOKUP('Customer Info'!A2933,'Customer Info'!A2933:I3432,5,FALSE)</f>
        <v>#N/A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296</v>
      </c>
      <c r="R2941" s="2" t="s">
        <v>26</v>
      </c>
      <c r="S2941" s="9">
        <f t="shared" si="229"/>
        <v>0.05</v>
      </c>
    </row>
    <row r="2942" spans="1:19" x14ac:dyDescent="0.25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e">
        <f>VLOOKUP('Customer Info'!A2934,'Customer Info'!A2934:I3433,2,FALSE)</f>
        <v>#N/A</v>
      </c>
      <c r="H2942" s="6" t="e">
        <f>VLOOKUP('Customer Info'!A2934,'Customer Info'!A2934:I3434,3,FALSE)</f>
        <v>#N/A</v>
      </c>
      <c r="I2942" s="6" t="e">
        <f>VLOOKUP('Customer Info'!A2934,'Customer Info'!A2934:I3433,5,FALSE)</f>
        <v>#N/A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946</v>
      </c>
      <c r="R2942" s="2" t="s">
        <v>28</v>
      </c>
      <c r="S2942" s="9">
        <f t="shared" si="229"/>
        <v>0.05</v>
      </c>
    </row>
    <row r="2943" spans="1:19" x14ac:dyDescent="0.25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e">
        <f>VLOOKUP('Customer Info'!A2935,'Customer Info'!A2935:I3434,2,FALSE)</f>
        <v>#N/A</v>
      </c>
      <c r="H2943" s="6" t="e">
        <f>VLOOKUP('Customer Info'!A2935,'Customer Info'!A2935:I3435,3,FALSE)</f>
        <v>#N/A</v>
      </c>
      <c r="I2943" s="6" t="e">
        <f>VLOOKUP('Customer Info'!A2935,'Customer Info'!A2935:I3434,5,FALSE)</f>
        <v>#N/A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44</v>
      </c>
      <c r="R2943" s="2" t="s">
        <v>28</v>
      </c>
      <c r="S2943" s="9">
        <f t="shared" si="229"/>
        <v>0.02</v>
      </c>
    </row>
    <row r="2944" spans="1:19" x14ac:dyDescent="0.25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e">
        <f>VLOOKUP('Customer Info'!A2936,'Customer Info'!A2936:I3435,2,FALSE)</f>
        <v>#N/A</v>
      </c>
      <c r="H2944" s="6" t="e">
        <f>VLOOKUP('Customer Info'!A2936,'Customer Info'!A2936:I3436,3,FALSE)</f>
        <v>#N/A</v>
      </c>
      <c r="I2944" s="6" t="e">
        <f>VLOOKUP('Customer Info'!A2936,'Customer Info'!A2936:I3435,5,FALSE)</f>
        <v>#N/A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119</v>
      </c>
      <c r="R2944" s="2" t="s">
        <v>26</v>
      </c>
      <c r="S2944" s="9">
        <f t="shared" si="229"/>
        <v>0.02</v>
      </c>
    </row>
    <row r="2945" spans="1:19" x14ac:dyDescent="0.25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e">
        <f>VLOOKUP('Customer Info'!A2937,'Customer Info'!A2937:I3436,2,FALSE)</f>
        <v>#N/A</v>
      </c>
      <c r="H2945" s="6" t="e">
        <f>VLOOKUP('Customer Info'!A2937,'Customer Info'!A2937:I3437,3,FALSE)</f>
        <v>#N/A</v>
      </c>
      <c r="I2945" s="6" t="e">
        <f>VLOOKUP('Customer Info'!A2937,'Customer Info'!A2937:I3436,5,FALSE)</f>
        <v>#N/A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995</v>
      </c>
      <c r="R2945" s="2" t="s">
        <v>28</v>
      </c>
      <c r="S2945" s="9">
        <f t="shared" si="229"/>
        <v>0.05</v>
      </c>
    </row>
    <row r="2946" spans="1:19" x14ac:dyDescent="0.25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e">
        <f>VLOOKUP('Customer Info'!A2938,'Customer Info'!A2938:I3437,2,FALSE)</f>
        <v>#N/A</v>
      </c>
      <c r="H2946" s="6" t="e">
        <f>VLOOKUP('Customer Info'!A2938,'Customer Info'!A2938:I3438,3,FALSE)</f>
        <v>#N/A</v>
      </c>
      <c r="I2946" s="6" t="e">
        <f>VLOOKUP('Customer Info'!A2938,'Customer Info'!A2938:I3437,5,FALSE)</f>
        <v>#N/A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217</v>
      </c>
      <c r="R2946" s="2" t="s">
        <v>50</v>
      </c>
      <c r="S2946" s="9">
        <f t="shared" si="229"/>
        <v>0.05</v>
      </c>
    </row>
    <row r="2947" spans="1:19" x14ac:dyDescent="0.25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e">
        <f>VLOOKUP('Customer Info'!A2939,'Customer Info'!A2939:I3438,2,FALSE)</f>
        <v>#N/A</v>
      </c>
      <c r="H2947" s="6" t="e">
        <f>VLOOKUP('Customer Info'!A2939,'Customer Info'!A2939:I3439,3,FALSE)</f>
        <v>#N/A</v>
      </c>
      <c r="I2947" s="6" t="e">
        <f>VLOOKUP('Customer Info'!A2939,'Customer Info'!A2939:I3438,5,FALSE)</f>
        <v>#N/A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942</v>
      </c>
      <c r="R2947" s="2" t="s">
        <v>26</v>
      </c>
      <c r="S2947" s="9">
        <f t="shared" si="229"/>
        <v>0.05</v>
      </c>
    </row>
    <row r="2948" spans="1:19" x14ac:dyDescent="0.25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e">
        <f>VLOOKUP('Customer Info'!A2940,'Customer Info'!A2940:I3439,2,FALSE)</f>
        <v>#N/A</v>
      </c>
      <c r="H2948" s="6" t="e">
        <f>VLOOKUP('Customer Info'!A2940,'Customer Info'!A2940:I3440,3,FALSE)</f>
        <v>#N/A</v>
      </c>
      <c r="I2948" s="6" t="e">
        <f>VLOOKUP('Customer Info'!A2940,'Customer Info'!A2940:I3439,5,FALSE)</f>
        <v>#N/A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118</v>
      </c>
      <c r="R2948" s="2" t="s">
        <v>28</v>
      </c>
      <c r="S2948" s="9">
        <f t="shared" si="229"/>
        <v>0.02</v>
      </c>
    </row>
    <row r="2949" spans="1:19" x14ac:dyDescent="0.25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e">
        <f>VLOOKUP('Customer Info'!A2941,'Customer Info'!A2941:I3440,2,FALSE)</f>
        <v>#N/A</v>
      </c>
      <c r="H2949" s="6" t="e">
        <f>VLOOKUP('Customer Info'!A2941,'Customer Info'!A2941:I3441,3,FALSE)</f>
        <v>#N/A</v>
      </c>
      <c r="I2949" s="6" t="e">
        <f>VLOOKUP('Customer Info'!A2941,'Customer Info'!A2941:I3440,5,FALSE)</f>
        <v>#N/A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1281</v>
      </c>
      <c r="R2949" s="2" t="s">
        <v>28</v>
      </c>
      <c r="S2949" s="9">
        <f t="shared" si="229"/>
        <v>0.05</v>
      </c>
    </row>
    <row r="2950" spans="1:19" x14ac:dyDescent="0.25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e">
        <f>VLOOKUP('Customer Info'!A2942,'Customer Info'!A2942:I3441,2,FALSE)</f>
        <v>#N/A</v>
      </c>
      <c r="H2950" s="6" t="e">
        <f>VLOOKUP('Customer Info'!A2942,'Customer Info'!A2942:I3442,3,FALSE)</f>
        <v>#N/A</v>
      </c>
      <c r="I2950" s="6" t="e">
        <f>VLOOKUP('Customer Info'!A2942,'Customer Info'!A2942:I3441,5,FALSE)</f>
        <v>#N/A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20</v>
      </c>
      <c r="R2950" s="2" t="s">
        <v>28</v>
      </c>
      <c r="S2950" s="9">
        <f t="shared" si="229"/>
        <v>0.02</v>
      </c>
    </row>
    <row r="2951" spans="1:19" x14ac:dyDescent="0.25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e">
        <f>VLOOKUP('Customer Info'!A2943,'Customer Info'!A2943:I3442,2,FALSE)</f>
        <v>#N/A</v>
      </c>
      <c r="H2951" s="6" t="e">
        <f>VLOOKUP('Customer Info'!A2943,'Customer Info'!A2943:I3443,3,FALSE)</f>
        <v>#N/A</v>
      </c>
      <c r="I2951" s="6" t="e">
        <f>VLOOKUP('Customer Info'!A2943,'Customer Info'!A2943:I3442,5,FALSE)</f>
        <v>#N/A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161</v>
      </c>
      <c r="R2951" s="2" t="s">
        <v>28</v>
      </c>
      <c r="S2951" s="9">
        <f t="shared" si="229"/>
        <v>0.02</v>
      </c>
    </row>
    <row r="2952" spans="1:19" x14ac:dyDescent="0.25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e">
        <f>VLOOKUP('Customer Info'!A2944,'Customer Info'!A2944:I3443,2,FALSE)</f>
        <v>#N/A</v>
      </c>
      <c r="H2952" s="6" t="e">
        <f>VLOOKUP('Customer Info'!A2944,'Customer Info'!A2944:I3444,3,FALSE)</f>
        <v>#N/A</v>
      </c>
      <c r="I2952" s="6" t="e">
        <f>VLOOKUP('Customer Info'!A2944,'Customer Info'!A2944:I3443,5,FALSE)</f>
        <v>#N/A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25</v>
      </c>
      <c r="R2952" s="2" t="s">
        <v>26</v>
      </c>
      <c r="S2952" s="9">
        <f t="shared" si="229"/>
        <v>0.02</v>
      </c>
    </row>
    <row r="2953" spans="1:19" x14ac:dyDescent="0.25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e">
        <f>VLOOKUP('Customer Info'!A2945,'Customer Info'!A2945:I3444,2,FALSE)</f>
        <v>#N/A</v>
      </c>
      <c r="H2953" s="6" t="e">
        <f>VLOOKUP('Customer Info'!A2945,'Customer Info'!A2945:I3445,3,FALSE)</f>
        <v>#N/A</v>
      </c>
      <c r="I2953" s="6" t="e">
        <f>VLOOKUP('Customer Info'!A2945,'Customer Info'!A2945:I3444,5,FALSE)</f>
        <v>#N/A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30</v>
      </c>
      <c r="R2953" s="2" t="s">
        <v>50</v>
      </c>
      <c r="S2953" s="9">
        <f t="shared" si="229"/>
        <v>0.02</v>
      </c>
    </row>
    <row r="2954" spans="1:19" x14ac:dyDescent="0.25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e">
        <f>VLOOKUP('Customer Info'!A2946,'Customer Info'!A2946:I3445,2,FALSE)</f>
        <v>#N/A</v>
      </c>
      <c r="H2954" s="6" t="e">
        <f>VLOOKUP('Customer Info'!A2946,'Customer Info'!A2946:I3446,3,FALSE)</f>
        <v>#N/A</v>
      </c>
      <c r="I2954" s="6" t="e">
        <f>VLOOKUP('Customer Info'!A2946,'Customer Info'!A2946:I3445,5,FALSE)</f>
        <v>#N/A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157</v>
      </c>
      <c r="R2954" s="2" t="s">
        <v>50</v>
      </c>
      <c r="S2954" s="9">
        <f t="shared" si="229"/>
        <v>0.02</v>
      </c>
    </row>
    <row r="2955" spans="1:19" x14ac:dyDescent="0.25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e">
        <f>VLOOKUP('Customer Info'!A2947,'Customer Info'!A2947:I3446,2,FALSE)</f>
        <v>#N/A</v>
      </c>
      <c r="H2955" s="6" t="e">
        <f>VLOOKUP('Customer Info'!A2947,'Customer Info'!A2947:I3447,3,FALSE)</f>
        <v>#N/A</v>
      </c>
      <c r="I2955" s="6" t="e">
        <f>VLOOKUP('Customer Info'!A2947,'Customer Info'!A2947:I3446,5,FALSE)</f>
        <v>#N/A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8">
        <f t="shared" ref="P2955:P3018" si="232">N2955+O2955</f>
        <v>2152</v>
      </c>
      <c r="Q2955" s="8">
        <f t="shared" ref="Q2955:Q3018" si="233">P2955-M2955</f>
        <v>244</v>
      </c>
      <c r="R2955" s="2" t="s">
        <v>50</v>
      </c>
      <c r="S2955" s="9">
        <f t="shared" ref="S2955:S3018" si="234">VLOOKUP(P2955,$T$2:$U$7,2,TRUE)</f>
        <v>0.02</v>
      </c>
    </row>
    <row r="2956" spans="1:19" x14ac:dyDescent="0.25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e">
        <f>VLOOKUP('Customer Info'!A2948,'Customer Info'!A2948:I3447,2,FALSE)</f>
        <v>#N/A</v>
      </c>
      <c r="H2956" s="6" t="e">
        <f>VLOOKUP('Customer Info'!A2948,'Customer Info'!A2948:I3448,3,FALSE)</f>
        <v>#N/A</v>
      </c>
      <c r="I2956" s="6" t="e">
        <f>VLOOKUP('Customer Info'!A2948,'Customer Info'!A2948:I3447,5,FALSE)</f>
        <v>#N/A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930</v>
      </c>
      <c r="R2956" s="2" t="s">
        <v>28</v>
      </c>
      <c r="S2956" s="9">
        <f t="shared" si="234"/>
        <v>0.05</v>
      </c>
    </row>
    <row r="2957" spans="1:19" x14ac:dyDescent="0.25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e">
        <f>VLOOKUP('Customer Info'!A2949,'Customer Info'!A2949:I3448,2,FALSE)</f>
        <v>#N/A</v>
      </c>
      <c r="H2957" s="6" t="e">
        <f>VLOOKUP('Customer Info'!A2949,'Customer Info'!A2949:I3449,3,FALSE)</f>
        <v>#N/A</v>
      </c>
      <c r="I2957" s="6" t="e">
        <f>VLOOKUP('Customer Info'!A2949,'Customer Info'!A2949:I3448,5,FALSE)</f>
        <v>#N/A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1758</v>
      </c>
      <c r="R2957" s="2" t="s">
        <v>56</v>
      </c>
      <c r="S2957" s="9">
        <f t="shared" si="234"/>
        <v>0.05</v>
      </c>
    </row>
    <row r="2958" spans="1:19" x14ac:dyDescent="0.25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e">
        <f>VLOOKUP('Customer Info'!A2950,'Customer Info'!A2950:I3449,2,FALSE)</f>
        <v>#N/A</v>
      </c>
      <c r="H2958" s="6" t="e">
        <f>VLOOKUP('Customer Info'!A2950,'Customer Info'!A2950:I3450,3,FALSE)</f>
        <v>#N/A</v>
      </c>
      <c r="I2958" s="6" t="e">
        <f>VLOOKUP('Customer Info'!A2950,'Customer Info'!A2950:I3449,5,FALSE)</f>
        <v>#N/A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903</v>
      </c>
      <c r="R2958" s="2" t="s">
        <v>50</v>
      </c>
      <c r="S2958" s="9">
        <f t="shared" si="234"/>
        <v>0.05</v>
      </c>
    </row>
    <row r="2959" spans="1:19" x14ac:dyDescent="0.25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e">
        <f>VLOOKUP('Customer Info'!A2951,'Customer Info'!A2951:I3450,2,FALSE)</f>
        <v>#N/A</v>
      </c>
      <c r="H2959" s="6" t="e">
        <f>VLOOKUP('Customer Info'!A2951,'Customer Info'!A2951:I3451,3,FALSE)</f>
        <v>#N/A</v>
      </c>
      <c r="I2959" s="6" t="e">
        <f>VLOOKUP('Customer Info'!A2951,'Customer Info'!A2951:I3450,5,FALSE)</f>
        <v>#N/A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125</v>
      </c>
      <c r="R2959" s="2" t="s">
        <v>50</v>
      </c>
      <c r="S2959" s="9">
        <f t="shared" si="234"/>
        <v>0.02</v>
      </c>
    </row>
    <row r="2960" spans="1:19" x14ac:dyDescent="0.25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e">
        <f>VLOOKUP('Customer Info'!A2952,'Customer Info'!A2952:I3451,2,FALSE)</f>
        <v>#N/A</v>
      </c>
      <c r="H2960" s="6" t="e">
        <f>VLOOKUP('Customer Info'!A2952,'Customer Info'!A2952:I3452,3,FALSE)</f>
        <v>#N/A</v>
      </c>
      <c r="I2960" s="6" t="e">
        <f>VLOOKUP('Customer Info'!A2952,'Customer Info'!A2952:I3451,5,FALSE)</f>
        <v>#N/A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54</v>
      </c>
      <c r="R2960" s="2" t="s">
        <v>50</v>
      </c>
      <c r="S2960" s="9">
        <f t="shared" si="234"/>
        <v>0.02</v>
      </c>
    </row>
    <row r="2961" spans="1:19" x14ac:dyDescent="0.25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e">
        <f>VLOOKUP('Customer Info'!A2953,'Customer Info'!A2953:I3452,2,FALSE)</f>
        <v>#N/A</v>
      </c>
      <c r="H2961" s="6" t="e">
        <f>VLOOKUP('Customer Info'!A2953,'Customer Info'!A2953:I3453,3,FALSE)</f>
        <v>#N/A</v>
      </c>
      <c r="I2961" s="6" t="e">
        <f>VLOOKUP('Customer Info'!A2953,'Customer Info'!A2953:I3452,5,FALSE)</f>
        <v>#N/A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670</v>
      </c>
      <c r="R2961" s="2" t="s">
        <v>28</v>
      </c>
      <c r="S2961" s="9">
        <f t="shared" si="234"/>
        <v>0.05</v>
      </c>
    </row>
    <row r="2962" spans="1:19" x14ac:dyDescent="0.25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e">
        <f>VLOOKUP('Customer Info'!A2954,'Customer Info'!A2954:I3453,2,FALSE)</f>
        <v>#N/A</v>
      </c>
      <c r="H2962" s="6" t="e">
        <f>VLOOKUP('Customer Info'!A2954,'Customer Info'!A2954:I3454,3,FALSE)</f>
        <v>#N/A</v>
      </c>
      <c r="I2962" s="6" t="e">
        <f>VLOOKUP('Customer Info'!A2954,'Customer Info'!A2954:I3453,5,FALSE)</f>
        <v>#N/A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1104</v>
      </c>
      <c r="R2962" s="2" t="s">
        <v>50</v>
      </c>
      <c r="S2962" s="9">
        <f t="shared" si="234"/>
        <v>0.05</v>
      </c>
    </row>
    <row r="2963" spans="1:19" x14ac:dyDescent="0.25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e">
        <f>VLOOKUP('Customer Info'!A2955,'Customer Info'!A2955:I3454,2,FALSE)</f>
        <v>#N/A</v>
      </c>
      <c r="H2963" s="6" t="e">
        <f>VLOOKUP('Customer Info'!A2955,'Customer Info'!A2955:I3455,3,FALSE)</f>
        <v>#N/A</v>
      </c>
      <c r="I2963" s="6" t="e">
        <f>VLOOKUP('Customer Info'!A2955,'Customer Info'!A2955:I3454,5,FALSE)</f>
        <v>#N/A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346</v>
      </c>
      <c r="R2963" s="2" t="s">
        <v>28</v>
      </c>
      <c r="S2963" s="9">
        <f t="shared" si="234"/>
        <v>0.02</v>
      </c>
    </row>
    <row r="2964" spans="1:19" x14ac:dyDescent="0.25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e">
        <f>VLOOKUP('Customer Info'!A2956,'Customer Info'!A2956:I3455,2,FALSE)</f>
        <v>#N/A</v>
      </c>
      <c r="H2964" s="6" t="e">
        <f>VLOOKUP('Customer Info'!A2956,'Customer Info'!A2956:I3456,3,FALSE)</f>
        <v>#N/A</v>
      </c>
      <c r="I2964" s="6" t="e">
        <f>VLOOKUP('Customer Info'!A2956,'Customer Info'!A2956:I3455,5,FALSE)</f>
        <v>#N/A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86</v>
      </c>
      <c r="R2964" s="2" t="s">
        <v>56</v>
      </c>
      <c r="S2964" s="9">
        <f t="shared" si="234"/>
        <v>0.02</v>
      </c>
    </row>
    <row r="2965" spans="1:19" x14ac:dyDescent="0.25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e">
        <f>VLOOKUP('Customer Info'!A2957,'Customer Info'!A2957:I3456,2,FALSE)</f>
        <v>#N/A</v>
      </c>
      <c r="H2965" s="6" t="e">
        <f>VLOOKUP('Customer Info'!A2957,'Customer Info'!A2957:I3457,3,FALSE)</f>
        <v>#N/A</v>
      </c>
      <c r="I2965" s="6" t="e">
        <f>VLOOKUP('Customer Info'!A2957,'Customer Info'!A2957:I3456,5,FALSE)</f>
        <v>#N/A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18761</v>
      </c>
      <c r="R2965" s="2" t="s">
        <v>28</v>
      </c>
      <c r="S2965" s="9">
        <f t="shared" si="234"/>
        <v>0.12</v>
      </c>
    </row>
    <row r="2966" spans="1:19" x14ac:dyDescent="0.25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e">
        <f>VLOOKUP('Customer Info'!A2958,'Customer Info'!A2958:I3457,2,FALSE)</f>
        <v>#N/A</v>
      </c>
      <c r="H2966" s="6" t="e">
        <f>VLOOKUP('Customer Info'!A2958,'Customer Info'!A2958:I3458,3,FALSE)</f>
        <v>#N/A</v>
      </c>
      <c r="I2966" s="6" t="e">
        <f>VLOOKUP('Customer Info'!A2958,'Customer Info'!A2958:I3457,5,FALSE)</f>
        <v>#N/A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616</v>
      </c>
      <c r="R2966" s="2" t="s">
        <v>28</v>
      </c>
      <c r="S2966" s="9">
        <f t="shared" si="234"/>
        <v>0.05</v>
      </c>
    </row>
    <row r="2967" spans="1:19" x14ac:dyDescent="0.25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e">
        <f>VLOOKUP('Customer Info'!A2959,'Customer Info'!A2959:I3458,2,FALSE)</f>
        <v>#N/A</v>
      </c>
      <c r="H2967" s="6" t="e">
        <f>VLOOKUP('Customer Info'!A2959,'Customer Info'!A2959:I3459,3,FALSE)</f>
        <v>#N/A</v>
      </c>
      <c r="I2967" s="6" t="e">
        <f>VLOOKUP('Customer Info'!A2959,'Customer Info'!A2959:I3458,5,FALSE)</f>
        <v>#N/A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492</v>
      </c>
      <c r="R2967" s="2" t="s">
        <v>50</v>
      </c>
      <c r="S2967" s="9">
        <f t="shared" si="234"/>
        <v>0.05</v>
      </c>
    </row>
    <row r="2968" spans="1:19" x14ac:dyDescent="0.25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e">
        <f>VLOOKUP('Customer Info'!A2960,'Customer Info'!A2960:I3459,2,FALSE)</f>
        <v>#N/A</v>
      </c>
      <c r="H2968" s="6" t="e">
        <f>VLOOKUP('Customer Info'!A2960,'Customer Info'!A2960:I3460,3,FALSE)</f>
        <v>#N/A</v>
      </c>
      <c r="I2968" s="6" t="e">
        <f>VLOOKUP('Customer Info'!A2960,'Customer Info'!A2960:I3459,5,FALSE)</f>
        <v>#N/A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1027</v>
      </c>
      <c r="R2968" s="2" t="s">
        <v>28</v>
      </c>
      <c r="S2968" s="9">
        <f t="shared" si="234"/>
        <v>0.05</v>
      </c>
    </row>
    <row r="2969" spans="1:19" x14ac:dyDescent="0.25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e">
        <f>VLOOKUP('Customer Info'!A2961,'Customer Info'!A2961:I3460,2,FALSE)</f>
        <v>#N/A</v>
      </c>
      <c r="H2969" s="6" t="e">
        <f>VLOOKUP('Customer Info'!A2961,'Customer Info'!A2961:I3461,3,FALSE)</f>
        <v>#N/A</v>
      </c>
      <c r="I2969" s="6" t="e">
        <f>VLOOKUP('Customer Info'!A2961,'Customer Info'!A2961:I3460,5,FALSE)</f>
        <v>#N/A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195</v>
      </c>
      <c r="R2969" s="2" t="s">
        <v>28</v>
      </c>
      <c r="S2969" s="9">
        <f t="shared" si="234"/>
        <v>0.02</v>
      </c>
    </row>
    <row r="2970" spans="1:19" x14ac:dyDescent="0.25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e">
        <f>VLOOKUP('Customer Info'!A2962,'Customer Info'!A2962:I3461,2,FALSE)</f>
        <v>#N/A</v>
      </c>
      <c r="H2970" s="6" t="e">
        <f>VLOOKUP('Customer Info'!A2962,'Customer Info'!A2962:I3462,3,FALSE)</f>
        <v>#N/A</v>
      </c>
      <c r="I2970" s="6" t="e">
        <f>VLOOKUP('Customer Info'!A2962,'Customer Info'!A2962:I3461,5,FALSE)</f>
        <v>#N/A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684</v>
      </c>
      <c r="R2970" s="2" t="s">
        <v>50</v>
      </c>
      <c r="S2970" s="9">
        <f t="shared" si="234"/>
        <v>0.05</v>
      </c>
    </row>
    <row r="2971" spans="1:19" x14ac:dyDescent="0.25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e">
        <f>VLOOKUP('Customer Info'!A2963,'Customer Info'!A2963:I3462,2,FALSE)</f>
        <v>#N/A</v>
      </c>
      <c r="H2971" s="6" t="e">
        <f>VLOOKUP('Customer Info'!A2963,'Customer Info'!A2963:I3463,3,FALSE)</f>
        <v>#N/A</v>
      </c>
      <c r="I2971" s="6" t="e">
        <f>VLOOKUP('Customer Info'!A2963,'Customer Info'!A2963:I3462,5,FALSE)</f>
        <v>#N/A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15</v>
      </c>
      <c r="R2971" s="2" t="s">
        <v>28</v>
      </c>
      <c r="S2971" s="9">
        <f t="shared" si="234"/>
        <v>0.02</v>
      </c>
    </row>
    <row r="2972" spans="1:19" x14ac:dyDescent="0.25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e">
        <f>VLOOKUP('Customer Info'!A2964,'Customer Info'!A2964:I3463,2,FALSE)</f>
        <v>#N/A</v>
      </c>
      <c r="H2972" s="6" t="e">
        <f>VLOOKUP('Customer Info'!A2964,'Customer Info'!A2964:I3464,3,FALSE)</f>
        <v>#N/A</v>
      </c>
      <c r="I2972" s="6" t="e">
        <f>VLOOKUP('Customer Info'!A2964,'Customer Info'!A2964:I3463,5,FALSE)</f>
        <v>#N/A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690</v>
      </c>
      <c r="R2972" s="2" t="s">
        <v>26</v>
      </c>
      <c r="S2972" s="9">
        <f t="shared" si="234"/>
        <v>0.05</v>
      </c>
    </row>
    <row r="2973" spans="1:19" x14ac:dyDescent="0.25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e">
        <f>VLOOKUP('Customer Info'!A2965,'Customer Info'!A2965:I3464,2,FALSE)</f>
        <v>#N/A</v>
      </c>
      <c r="H2973" s="6" t="e">
        <f>VLOOKUP('Customer Info'!A2965,'Customer Info'!A2965:I3465,3,FALSE)</f>
        <v>#N/A</v>
      </c>
      <c r="I2973" s="6" t="e">
        <f>VLOOKUP('Customer Info'!A2965,'Customer Info'!A2965:I3464,5,FALSE)</f>
        <v>#N/A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695</v>
      </c>
      <c r="R2973" s="2" t="s">
        <v>50</v>
      </c>
      <c r="S2973" s="9">
        <f t="shared" si="234"/>
        <v>0.05</v>
      </c>
    </row>
    <row r="2974" spans="1:19" x14ac:dyDescent="0.25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e">
        <f>VLOOKUP('Customer Info'!A2966,'Customer Info'!A2966:I3465,2,FALSE)</f>
        <v>#N/A</v>
      </c>
      <c r="H2974" s="6" t="e">
        <f>VLOOKUP('Customer Info'!A2966,'Customer Info'!A2966:I3466,3,FALSE)</f>
        <v>#N/A</v>
      </c>
      <c r="I2974" s="6" t="e">
        <f>VLOOKUP('Customer Info'!A2966,'Customer Info'!A2966:I3465,5,FALSE)</f>
        <v>#N/A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39</v>
      </c>
      <c r="R2974" s="2" t="s">
        <v>50</v>
      </c>
      <c r="S2974" s="9">
        <f t="shared" si="234"/>
        <v>0.02</v>
      </c>
    </row>
    <row r="2975" spans="1:19" x14ac:dyDescent="0.25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e">
        <f>VLOOKUP('Customer Info'!A2967,'Customer Info'!A2967:I3466,2,FALSE)</f>
        <v>#N/A</v>
      </c>
      <c r="H2975" s="6" t="e">
        <f>VLOOKUP('Customer Info'!A2967,'Customer Info'!A2967:I3467,3,FALSE)</f>
        <v>#N/A</v>
      </c>
      <c r="I2975" s="6" t="e">
        <f>VLOOKUP('Customer Info'!A2967,'Customer Info'!A2967:I3466,5,FALSE)</f>
        <v>#N/A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288</v>
      </c>
      <c r="R2975" s="2" t="s">
        <v>50</v>
      </c>
      <c r="S2975" s="9">
        <f t="shared" si="234"/>
        <v>0.02</v>
      </c>
    </row>
    <row r="2976" spans="1:19" x14ac:dyDescent="0.25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e">
        <f>VLOOKUP('Customer Info'!A2968,'Customer Info'!A2968:I3467,2,FALSE)</f>
        <v>#N/A</v>
      </c>
      <c r="H2976" s="6" t="e">
        <f>VLOOKUP('Customer Info'!A2968,'Customer Info'!A2968:I3468,3,FALSE)</f>
        <v>#N/A</v>
      </c>
      <c r="I2976" s="6" t="e">
        <f>VLOOKUP('Customer Info'!A2968,'Customer Info'!A2968:I3467,5,FALSE)</f>
        <v>#N/A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54</v>
      </c>
      <c r="R2976" s="2" t="s">
        <v>28</v>
      </c>
      <c r="S2976" s="9">
        <f t="shared" si="234"/>
        <v>0.02</v>
      </c>
    </row>
    <row r="2977" spans="1:19" x14ac:dyDescent="0.25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e">
        <f>VLOOKUP('Customer Info'!A2969,'Customer Info'!A2969:I3468,2,FALSE)</f>
        <v>#N/A</v>
      </c>
      <c r="H2977" s="6" t="e">
        <f>VLOOKUP('Customer Info'!A2969,'Customer Info'!A2969:I3469,3,FALSE)</f>
        <v>#N/A</v>
      </c>
      <c r="I2977" s="6" t="e">
        <f>VLOOKUP('Customer Info'!A2969,'Customer Info'!A2969:I3468,5,FALSE)</f>
        <v>#N/A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190</v>
      </c>
      <c r="R2977" s="2" t="s">
        <v>50</v>
      </c>
      <c r="S2977" s="9">
        <f t="shared" si="234"/>
        <v>0.02</v>
      </c>
    </row>
    <row r="2978" spans="1:19" x14ac:dyDescent="0.25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e">
        <f>VLOOKUP('Customer Info'!A2970,'Customer Info'!A2970:I3469,2,FALSE)</f>
        <v>#N/A</v>
      </c>
      <c r="H2978" s="6" t="e">
        <f>VLOOKUP('Customer Info'!A2970,'Customer Info'!A2970:I3470,3,FALSE)</f>
        <v>#N/A</v>
      </c>
      <c r="I2978" s="6" t="e">
        <f>VLOOKUP('Customer Info'!A2970,'Customer Info'!A2970:I3469,5,FALSE)</f>
        <v>#N/A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311</v>
      </c>
      <c r="R2978" s="2" t="s">
        <v>26</v>
      </c>
      <c r="S2978" s="9">
        <f t="shared" si="234"/>
        <v>0.05</v>
      </c>
    </row>
    <row r="2979" spans="1:19" x14ac:dyDescent="0.25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e">
        <f>VLOOKUP('Customer Info'!A2971,'Customer Info'!A2971:I3470,2,FALSE)</f>
        <v>#N/A</v>
      </c>
      <c r="H2979" s="6" t="e">
        <f>VLOOKUP('Customer Info'!A2971,'Customer Info'!A2971:I3471,3,FALSE)</f>
        <v>#N/A</v>
      </c>
      <c r="I2979" s="6" t="e">
        <f>VLOOKUP('Customer Info'!A2971,'Customer Info'!A2971:I3470,5,FALSE)</f>
        <v>#N/A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1449</v>
      </c>
      <c r="R2979" s="2" t="s">
        <v>28</v>
      </c>
      <c r="S2979" s="9">
        <f t="shared" si="234"/>
        <v>0.05</v>
      </c>
    </row>
    <row r="2980" spans="1:19" x14ac:dyDescent="0.25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e">
        <f>VLOOKUP('Customer Info'!A2972,'Customer Info'!A2972:I3471,2,FALSE)</f>
        <v>#N/A</v>
      </c>
      <c r="H2980" s="6" t="e">
        <f>VLOOKUP('Customer Info'!A2972,'Customer Info'!A2972:I3472,3,FALSE)</f>
        <v>#N/A</v>
      </c>
      <c r="I2980" s="6" t="e">
        <f>VLOOKUP('Customer Info'!A2972,'Customer Info'!A2972:I3471,5,FALSE)</f>
        <v>#N/A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38</v>
      </c>
      <c r="R2980" s="2" t="s">
        <v>50</v>
      </c>
      <c r="S2980" s="9">
        <f t="shared" si="234"/>
        <v>0.02</v>
      </c>
    </row>
    <row r="2981" spans="1:19" x14ac:dyDescent="0.25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e">
        <f>VLOOKUP('Customer Info'!A2973,'Customer Info'!A2973:I3472,2,FALSE)</f>
        <v>#N/A</v>
      </c>
      <c r="H2981" s="6" t="e">
        <f>VLOOKUP('Customer Info'!A2973,'Customer Info'!A2973:I3473,3,FALSE)</f>
        <v>#N/A</v>
      </c>
      <c r="I2981" s="6" t="e">
        <f>VLOOKUP('Customer Info'!A2973,'Customer Info'!A2973:I3472,5,FALSE)</f>
        <v>#N/A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2614</v>
      </c>
      <c r="R2981" s="2" t="s">
        <v>26</v>
      </c>
      <c r="S2981" s="9">
        <f t="shared" si="234"/>
        <v>7.0000000000000007E-2</v>
      </c>
    </row>
    <row r="2982" spans="1:19" x14ac:dyDescent="0.25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e">
        <f>VLOOKUP('Customer Info'!A2974,'Customer Info'!A2974:I3473,2,FALSE)</f>
        <v>#N/A</v>
      </c>
      <c r="H2982" s="6" t="e">
        <f>VLOOKUP('Customer Info'!A2974,'Customer Info'!A2974:I3474,3,FALSE)</f>
        <v>#N/A</v>
      </c>
      <c r="I2982" s="6" t="e">
        <f>VLOOKUP('Customer Info'!A2974,'Customer Info'!A2974:I3473,5,FALSE)</f>
        <v>#N/A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385</v>
      </c>
      <c r="R2982" s="2" t="s">
        <v>50</v>
      </c>
      <c r="S2982" s="9">
        <f t="shared" si="234"/>
        <v>0.05</v>
      </c>
    </row>
    <row r="2983" spans="1:19" x14ac:dyDescent="0.25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e">
        <f>VLOOKUP('Customer Info'!A2975,'Customer Info'!A2975:I3474,2,FALSE)</f>
        <v>#N/A</v>
      </c>
      <c r="H2983" s="6" t="e">
        <f>VLOOKUP('Customer Info'!A2975,'Customer Info'!A2975:I3475,3,FALSE)</f>
        <v>#N/A</v>
      </c>
      <c r="I2983" s="6" t="e">
        <f>VLOOKUP('Customer Info'!A2975,'Customer Info'!A2975:I3474,5,FALSE)</f>
        <v>#N/A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60</v>
      </c>
      <c r="R2983" s="2" t="s">
        <v>56</v>
      </c>
      <c r="S2983" s="9">
        <f t="shared" si="234"/>
        <v>0.02</v>
      </c>
    </row>
    <row r="2984" spans="1:19" x14ac:dyDescent="0.25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e">
        <f>VLOOKUP('Customer Info'!A2976,'Customer Info'!A2976:I3475,2,FALSE)</f>
        <v>#N/A</v>
      </c>
      <c r="H2984" s="6" t="e">
        <f>VLOOKUP('Customer Info'!A2976,'Customer Info'!A2976:I3476,3,FALSE)</f>
        <v>#N/A</v>
      </c>
      <c r="I2984" s="6" t="e">
        <f>VLOOKUP('Customer Info'!A2976,'Customer Info'!A2976:I3475,5,FALSE)</f>
        <v>#N/A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442</v>
      </c>
      <c r="R2984" s="2" t="s">
        <v>50</v>
      </c>
      <c r="S2984" s="9">
        <f t="shared" si="234"/>
        <v>0.05</v>
      </c>
    </row>
    <row r="2985" spans="1:19" x14ac:dyDescent="0.25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e">
        <f>VLOOKUP('Customer Info'!A2977,'Customer Info'!A2977:I3476,2,FALSE)</f>
        <v>#N/A</v>
      </c>
      <c r="H2985" s="6" t="e">
        <f>VLOOKUP('Customer Info'!A2977,'Customer Info'!A2977:I3477,3,FALSE)</f>
        <v>#N/A</v>
      </c>
      <c r="I2985" s="6" t="e">
        <f>VLOOKUP('Customer Info'!A2977,'Customer Info'!A2977:I3476,5,FALSE)</f>
        <v>#N/A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1121</v>
      </c>
      <c r="R2985" s="2" t="s">
        <v>28</v>
      </c>
      <c r="S2985" s="9">
        <f t="shared" si="234"/>
        <v>0.05</v>
      </c>
    </row>
    <row r="2986" spans="1:19" x14ac:dyDescent="0.25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e">
        <f>VLOOKUP('Customer Info'!A2978,'Customer Info'!A2978:I3477,2,FALSE)</f>
        <v>#N/A</v>
      </c>
      <c r="H2986" s="6" t="e">
        <f>VLOOKUP('Customer Info'!A2978,'Customer Info'!A2978:I3478,3,FALSE)</f>
        <v>#N/A</v>
      </c>
      <c r="I2986" s="6" t="e">
        <f>VLOOKUP('Customer Info'!A2978,'Customer Info'!A2978:I3477,5,FALSE)</f>
        <v>#N/A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391</v>
      </c>
      <c r="R2986" s="2" t="s">
        <v>50</v>
      </c>
      <c r="S2986" s="9">
        <f t="shared" si="234"/>
        <v>0.02</v>
      </c>
    </row>
    <row r="2987" spans="1:19" x14ac:dyDescent="0.25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e">
        <f>VLOOKUP('Customer Info'!A2979,'Customer Info'!A2979:I3478,2,FALSE)</f>
        <v>#N/A</v>
      </c>
      <c r="H2987" s="6" t="e">
        <f>VLOOKUP('Customer Info'!A2979,'Customer Info'!A2979:I3479,3,FALSE)</f>
        <v>#N/A</v>
      </c>
      <c r="I2987" s="6" t="e">
        <f>VLOOKUP('Customer Info'!A2979,'Customer Info'!A2979:I3478,5,FALSE)</f>
        <v>#N/A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85</v>
      </c>
      <c r="R2987" s="2" t="s">
        <v>28</v>
      </c>
      <c r="S2987" s="9">
        <f t="shared" si="234"/>
        <v>0.02</v>
      </c>
    </row>
    <row r="2988" spans="1:19" x14ac:dyDescent="0.25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e">
        <f>VLOOKUP('Customer Info'!A2980,'Customer Info'!A2980:I3479,2,FALSE)</f>
        <v>#N/A</v>
      </c>
      <c r="H2988" s="6" t="e">
        <f>VLOOKUP('Customer Info'!A2980,'Customer Info'!A2980:I3480,3,FALSE)</f>
        <v>#N/A</v>
      </c>
      <c r="I2988" s="6" t="e">
        <f>VLOOKUP('Customer Info'!A2980,'Customer Info'!A2980:I3479,5,FALSE)</f>
        <v>#N/A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1149</v>
      </c>
      <c r="R2988" s="2" t="s">
        <v>28</v>
      </c>
      <c r="S2988" s="9">
        <f t="shared" si="234"/>
        <v>0.05</v>
      </c>
    </row>
    <row r="2989" spans="1:19" x14ac:dyDescent="0.25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e">
        <f>VLOOKUP('Customer Info'!A2981,'Customer Info'!A2981:I3480,2,FALSE)</f>
        <v>#N/A</v>
      </c>
      <c r="H2989" s="6" t="e">
        <f>VLOOKUP('Customer Info'!A2981,'Customer Info'!A2981:I3481,3,FALSE)</f>
        <v>#N/A</v>
      </c>
      <c r="I2989" s="6" t="e">
        <f>VLOOKUP('Customer Info'!A2981,'Customer Info'!A2981:I3480,5,FALSE)</f>
        <v>#N/A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93</v>
      </c>
      <c r="R2989" s="2" t="s">
        <v>26</v>
      </c>
      <c r="S2989" s="9">
        <f t="shared" si="234"/>
        <v>0.02</v>
      </c>
    </row>
    <row r="2990" spans="1:19" x14ac:dyDescent="0.25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e">
        <f>VLOOKUP('Customer Info'!A2982,'Customer Info'!A2982:I3481,2,FALSE)</f>
        <v>#N/A</v>
      </c>
      <c r="H2990" s="6" t="e">
        <f>VLOOKUP('Customer Info'!A2982,'Customer Info'!A2982:I3482,3,FALSE)</f>
        <v>#N/A</v>
      </c>
      <c r="I2990" s="6" t="e">
        <f>VLOOKUP('Customer Info'!A2982,'Customer Info'!A2982:I3481,5,FALSE)</f>
        <v>#N/A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10073</v>
      </c>
      <c r="R2990" s="2" t="s">
        <v>50</v>
      </c>
      <c r="S2990" s="9">
        <f t="shared" si="234"/>
        <v>0.12</v>
      </c>
    </row>
    <row r="2991" spans="1:19" x14ac:dyDescent="0.25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e">
        <f>VLOOKUP('Customer Info'!A2983,'Customer Info'!A2983:I3482,2,FALSE)</f>
        <v>#N/A</v>
      </c>
      <c r="H2991" s="6" t="e">
        <f>VLOOKUP('Customer Info'!A2983,'Customer Info'!A2983:I3483,3,FALSE)</f>
        <v>#N/A</v>
      </c>
      <c r="I2991" s="6" t="e">
        <f>VLOOKUP('Customer Info'!A2983,'Customer Info'!A2983:I3482,5,FALSE)</f>
        <v>#N/A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185</v>
      </c>
      <c r="R2991" s="2" t="s">
        <v>28</v>
      </c>
      <c r="S2991" s="9">
        <f t="shared" si="234"/>
        <v>0.02</v>
      </c>
    </row>
    <row r="2992" spans="1:19" x14ac:dyDescent="0.25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e">
        <f>VLOOKUP('Customer Info'!A2984,'Customer Info'!A2984:I3483,2,FALSE)</f>
        <v>#N/A</v>
      </c>
      <c r="H2992" s="6" t="e">
        <f>VLOOKUP('Customer Info'!A2984,'Customer Info'!A2984:I3484,3,FALSE)</f>
        <v>#N/A</v>
      </c>
      <c r="I2992" s="6" t="e">
        <f>VLOOKUP('Customer Info'!A2984,'Customer Info'!A2984:I3483,5,FALSE)</f>
        <v>#N/A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686</v>
      </c>
      <c r="R2992" s="2" t="s">
        <v>50</v>
      </c>
      <c r="S2992" s="9">
        <f t="shared" si="234"/>
        <v>0.05</v>
      </c>
    </row>
    <row r="2993" spans="1:19" x14ac:dyDescent="0.25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e">
        <f>VLOOKUP('Customer Info'!A2985,'Customer Info'!A2985:I3484,2,FALSE)</f>
        <v>#N/A</v>
      </c>
      <c r="H2993" s="6" t="e">
        <f>VLOOKUP('Customer Info'!A2985,'Customer Info'!A2985:I3485,3,FALSE)</f>
        <v>#N/A</v>
      </c>
      <c r="I2993" s="6" t="e">
        <f>VLOOKUP('Customer Info'!A2985,'Customer Info'!A2985:I3484,5,FALSE)</f>
        <v>#N/A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273</v>
      </c>
      <c r="R2993" s="2" t="s">
        <v>28</v>
      </c>
      <c r="S2993" s="9">
        <f t="shared" si="234"/>
        <v>0.02</v>
      </c>
    </row>
    <row r="2994" spans="1:19" x14ac:dyDescent="0.25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e">
        <f>VLOOKUP('Customer Info'!A2986,'Customer Info'!A2986:I3485,2,FALSE)</f>
        <v>#N/A</v>
      </c>
      <c r="H2994" s="6" t="e">
        <f>VLOOKUP('Customer Info'!A2986,'Customer Info'!A2986:I3486,3,FALSE)</f>
        <v>#N/A</v>
      </c>
      <c r="I2994" s="6" t="e">
        <f>VLOOKUP('Customer Info'!A2986,'Customer Info'!A2986:I3485,5,FALSE)</f>
        <v>#N/A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529</v>
      </c>
      <c r="R2994" s="2" t="s">
        <v>28</v>
      </c>
      <c r="S2994" s="9">
        <f t="shared" si="234"/>
        <v>0.05</v>
      </c>
    </row>
    <row r="2995" spans="1:19" x14ac:dyDescent="0.25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e">
        <f>VLOOKUP('Customer Info'!A2987,'Customer Info'!A2987:I3486,2,FALSE)</f>
        <v>#N/A</v>
      </c>
      <c r="H2995" s="6" t="e">
        <f>VLOOKUP('Customer Info'!A2987,'Customer Info'!A2987:I3487,3,FALSE)</f>
        <v>#N/A</v>
      </c>
      <c r="I2995" s="6" t="e">
        <f>VLOOKUP('Customer Info'!A2987,'Customer Info'!A2987:I3486,5,FALSE)</f>
        <v>#N/A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701</v>
      </c>
      <c r="R2995" s="2" t="s">
        <v>28</v>
      </c>
      <c r="S2995" s="9">
        <f t="shared" si="234"/>
        <v>0.05</v>
      </c>
    </row>
    <row r="2996" spans="1:19" x14ac:dyDescent="0.25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e">
        <f>VLOOKUP('Customer Info'!A2988,'Customer Info'!A2988:I3487,2,FALSE)</f>
        <v>#N/A</v>
      </c>
      <c r="H2996" s="6" t="e">
        <f>VLOOKUP('Customer Info'!A2988,'Customer Info'!A2988:I3488,3,FALSE)</f>
        <v>#N/A</v>
      </c>
      <c r="I2996" s="6" t="e">
        <f>VLOOKUP('Customer Info'!A2988,'Customer Info'!A2988:I3487,5,FALSE)</f>
        <v>#N/A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22</v>
      </c>
      <c r="R2996" s="2" t="s">
        <v>28</v>
      </c>
      <c r="S2996" s="9">
        <f t="shared" si="234"/>
        <v>0.02</v>
      </c>
    </row>
    <row r="2997" spans="1:19" x14ac:dyDescent="0.25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e">
        <f>VLOOKUP('Customer Info'!A2989,'Customer Info'!A2989:I3488,2,FALSE)</f>
        <v>#N/A</v>
      </c>
      <c r="H2997" s="6" t="e">
        <f>VLOOKUP('Customer Info'!A2989,'Customer Info'!A2989:I3489,3,FALSE)</f>
        <v>#N/A</v>
      </c>
      <c r="I2997" s="6" t="e">
        <f>VLOOKUP('Customer Info'!A2989,'Customer Info'!A2989:I3488,5,FALSE)</f>
        <v>#N/A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514</v>
      </c>
      <c r="R2997" s="2" t="s">
        <v>28</v>
      </c>
      <c r="S2997" s="9">
        <f t="shared" si="234"/>
        <v>0.05</v>
      </c>
    </row>
    <row r="2998" spans="1:19" x14ac:dyDescent="0.25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e">
        <f>VLOOKUP('Customer Info'!A2990,'Customer Info'!A2990:I3489,2,FALSE)</f>
        <v>#N/A</v>
      </c>
      <c r="H2998" s="6" t="e">
        <f>VLOOKUP('Customer Info'!A2990,'Customer Info'!A2990:I3490,3,FALSE)</f>
        <v>#N/A</v>
      </c>
      <c r="I2998" s="6" t="e">
        <f>VLOOKUP('Customer Info'!A2990,'Customer Info'!A2990:I3489,5,FALSE)</f>
        <v>#N/A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54</v>
      </c>
      <c r="R2998" s="2" t="s">
        <v>50</v>
      </c>
      <c r="S2998" s="9">
        <f t="shared" si="234"/>
        <v>0.02</v>
      </c>
    </row>
    <row r="2999" spans="1:19" x14ac:dyDescent="0.25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e">
        <f>VLOOKUP('Customer Info'!A2991,'Customer Info'!A2991:I3490,2,FALSE)</f>
        <v>#N/A</v>
      </c>
      <c r="H2999" s="6" t="e">
        <f>VLOOKUP('Customer Info'!A2991,'Customer Info'!A2991:I3491,3,FALSE)</f>
        <v>#N/A</v>
      </c>
      <c r="I2999" s="6" t="e">
        <f>VLOOKUP('Customer Info'!A2991,'Customer Info'!A2991:I3490,5,FALSE)</f>
        <v>#N/A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2385</v>
      </c>
      <c r="R2999" s="2" t="s">
        <v>28</v>
      </c>
      <c r="S2999" s="9">
        <f t="shared" si="234"/>
        <v>7.0000000000000007E-2</v>
      </c>
    </row>
    <row r="3000" spans="1:19" x14ac:dyDescent="0.25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e">
        <f>VLOOKUP('Customer Info'!A2992,'Customer Info'!A2992:I3491,2,FALSE)</f>
        <v>#N/A</v>
      </c>
      <c r="H3000" s="6" t="e">
        <f>VLOOKUP('Customer Info'!A2992,'Customer Info'!A2992:I3492,3,FALSE)</f>
        <v>#N/A</v>
      </c>
      <c r="I3000" s="6" t="e">
        <f>VLOOKUP('Customer Info'!A2992,'Customer Info'!A2992:I3491,5,FALSE)</f>
        <v>#N/A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736</v>
      </c>
      <c r="R3000" s="2" t="s">
        <v>28</v>
      </c>
      <c r="S3000" s="9">
        <f t="shared" si="234"/>
        <v>0.05</v>
      </c>
    </row>
    <row r="3001" spans="1:19" x14ac:dyDescent="0.25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e">
        <f>VLOOKUP('Customer Info'!A2993,'Customer Info'!A2993:I3492,2,FALSE)</f>
        <v>#N/A</v>
      </c>
      <c r="H3001" s="6" t="e">
        <f>VLOOKUP('Customer Info'!A2993,'Customer Info'!A2993:I3493,3,FALSE)</f>
        <v>#N/A</v>
      </c>
      <c r="I3001" s="6" t="e">
        <f>VLOOKUP('Customer Info'!A2993,'Customer Info'!A2993:I3492,5,FALSE)</f>
        <v>#N/A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475</v>
      </c>
      <c r="R3001" s="2" t="s">
        <v>26</v>
      </c>
      <c r="S3001" s="9">
        <f t="shared" si="234"/>
        <v>0.05</v>
      </c>
    </row>
    <row r="3002" spans="1:19" x14ac:dyDescent="0.25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e">
        <f>VLOOKUP('Customer Info'!A2994,'Customer Info'!A2994:I3493,2,FALSE)</f>
        <v>#N/A</v>
      </c>
      <c r="H3002" s="6" t="e">
        <f>VLOOKUP('Customer Info'!A2994,'Customer Info'!A2994:I3494,3,FALSE)</f>
        <v>#N/A</v>
      </c>
      <c r="I3002" s="6" t="e">
        <f>VLOOKUP('Customer Info'!A2994,'Customer Info'!A2994:I3493,5,FALSE)</f>
        <v>#N/A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743</v>
      </c>
      <c r="R3002" s="2" t="s">
        <v>50</v>
      </c>
      <c r="S3002" s="9">
        <f t="shared" si="234"/>
        <v>0.05</v>
      </c>
    </row>
    <row r="3003" spans="1:19" x14ac:dyDescent="0.25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e">
        <f>VLOOKUP('Customer Info'!A2995,'Customer Info'!A2995:I3494,2,FALSE)</f>
        <v>#N/A</v>
      </c>
      <c r="H3003" s="6" t="e">
        <f>VLOOKUP('Customer Info'!A2995,'Customer Info'!A2995:I3495,3,FALSE)</f>
        <v>#N/A</v>
      </c>
      <c r="I3003" s="6" t="e">
        <f>VLOOKUP('Customer Info'!A2995,'Customer Info'!A2995:I3494,5,FALSE)</f>
        <v>#N/A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288</v>
      </c>
      <c r="R3003" s="2" t="s">
        <v>28</v>
      </c>
      <c r="S3003" s="9">
        <f t="shared" si="234"/>
        <v>0.02</v>
      </c>
    </row>
    <row r="3004" spans="1:19" x14ac:dyDescent="0.25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e">
        <f>VLOOKUP('Customer Info'!A2996,'Customer Info'!A2996:I3495,2,FALSE)</f>
        <v>#N/A</v>
      </c>
      <c r="H3004" s="6" t="e">
        <f>VLOOKUP('Customer Info'!A2996,'Customer Info'!A2996:I3496,3,FALSE)</f>
        <v>#N/A</v>
      </c>
      <c r="I3004" s="6" t="e">
        <f>VLOOKUP('Customer Info'!A2996,'Customer Info'!A2996:I3495,5,FALSE)</f>
        <v>#N/A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269</v>
      </c>
      <c r="R3004" s="2" t="s">
        <v>28</v>
      </c>
      <c r="S3004" s="9">
        <f t="shared" si="234"/>
        <v>0.02</v>
      </c>
    </row>
    <row r="3005" spans="1:19" x14ac:dyDescent="0.25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e">
        <f>VLOOKUP('Customer Info'!A2997,'Customer Info'!A2997:I3496,2,FALSE)</f>
        <v>#N/A</v>
      </c>
      <c r="H3005" s="6" t="e">
        <f>VLOOKUP('Customer Info'!A2997,'Customer Info'!A2997:I3497,3,FALSE)</f>
        <v>#N/A</v>
      </c>
      <c r="I3005" s="6" t="e">
        <f>VLOOKUP('Customer Info'!A2997,'Customer Info'!A2997:I3496,5,FALSE)</f>
        <v>#N/A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524</v>
      </c>
      <c r="R3005" s="2" t="s">
        <v>50</v>
      </c>
      <c r="S3005" s="9">
        <f t="shared" si="234"/>
        <v>0.05</v>
      </c>
    </row>
    <row r="3006" spans="1:19" x14ac:dyDescent="0.25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e">
        <f>VLOOKUP('Customer Info'!A2998,'Customer Info'!A2998:I3497,2,FALSE)</f>
        <v>#N/A</v>
      </c>
      <c r="H3006" s="6" t="e">
        <f>VLOOKUP('Customer Info'!A2998,'Customer Info'!A2998:I3498,3,FALSE)</f>
        <v>#N/A</v>
      </c>
      <c r="I3006" s="6" t="e">
        <f>VLOOKUP('Customer Info'!A2998,'Customer Info'!A2998:I3497,5,FALSE)</f>
        <v>#N/A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3101</v>
      </c>
      <c r="R3006" s="2" t="s">
        <v>28</v>
      </c>
      <c r="S3006" s="9">
        <f t="shared" si="234"/>
        <v>7.0000000000000007E-2</v>
      </c>
    </row>
    <row r="3007" spans="1:19" x14ac:dyDescent="0.25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e">
        <f>VLOOKUP('Customer Info'!A2999,'Customer Info'!A2999:I3498,2,FALSE)</f>
        <v>#N/A</v>
      </c>
      <c r="H3007" s="6" t="e">
        <f>VLOOKUP('Customer Info'!A2999,'Customer Info'!A2999:I3499,3,FALSE)</f>
        <v>#N/A</v>
      </c>
      <c r="I3007" s="6" t="e">
        <f>VLOOKUP('Customer Info'!A2999,'Customer Info'!A2999:I3498,5,FALSE)</f>
        <v>#N/A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1628</v>
      </c>
      <c r="R3007" s="2" t="s">
        <v>28</v>
      </c>
      <c r="S3007" s="9">
        <f t="shared" si="234"/>
        <v>7.0000000000000007E-2</v>
      </c>
    </row>
    <row r="3008" spans="1:19" x14ac:dyDescent="0.25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e">
        <f>VLOOKUP('Customer Info'!A3000,'Customer Info'!A3000:I3499,2,FALSE)</f>
        <v>#N/A</v>
      </c>
      <c r="H3008" s="6" t="e">
        <f>VLOOKUP('Customer Info'!A3000,'Customer Info'!A3000:I3500,3,FALSE)</f>
        <v>#N/A</v>
      </c>
      <c r="I3008" s="6" t="e">
        <f>VLOOKUP('Customer Info'!A3000,'Customer Info'!A3000:I3499,5,FALSE)</f>
        <v>#N/A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668</v>
      </c>
      <c r="R3008" s="2" t="s">
        <v>50</v>
      </c>
      <c r="S3008" s="9">
        <f t="shared" si="234"/>
        <v>0.05</v>
      </c>
    </row>
    <row r="3009" spans="1:19" x14ac:dyDescent="0.25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e">
        <f>VLOOKUP('Customer Info'!A3001,'Customer Info'!A3001:I3500,2,FALSE)</f>
        <v>#N/A</v>
      </c>
      <c r="H3009" s="6" t="e">
        <f>VLOOKUP('Customer Info'!A3001,'Customer Info'!A3001:I3501,3,FALSE)</f>
        <v>#N/A</v>
      </c>
      <c r="I3009" s="6" t="e">
        <f>VLOOKUP('Customer Info'!A3001,'Customer Info'!A3001:I3500,5,FALSE)</f>
        <v>#N/A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16</v>
      </c>
      <c r="R3009" s="2" t="s">
        <v>28</v>
      </c>
      <c r="S3009" s="9">
        <f t="shared" si="234"/>
        <v>0.02</v>
      </c>
    </row>
    <row r="3010" spans="1:19" x14ac:dyDescent="0.25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e">
        <f>VLOOKUP('Customer Info'!A3002,'Customer Info'!A3002:I3501,2,FALSE)</f>
        <v>#N/A</v>
      </c>
      <c r="H3010" s="6" t="e">
        <f>VLOOKUP('Customer Info'!A3002,'Customer Info'!A3002:I3502,3,FALSE)</f>
        <v>#N/A</v>
      </c>
      <c r="I3010" s="6" t="e">
        <f>VLOOKUP('Customer Info'!A3002,'Customer Info'!A3002:I3501,5,FALSE)</f>
        <v>#N/A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4880</v>
      </c>
      <c r="R3010" s="2" t="s">
        <v>28</v>
      </c>
      <c r="S3010" s="9">
        <f t="shared" si="234"/>
        <v>7.0000000000000007E-2</v>
      </c>
    </row>
    <row r="3011" spans="1:19" x14ac:dyDescent="0.25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e">
        <f>VLOOKUP('Customer Info'!A3003,'Customer Info'!A3003:I3502,2,FALSE)</f>
        <v>#N/A</v>
      </c>
      <c r="H3011" s="6" t="e">
        <f>VLOOKUP('Customer Info'!A3003,'Customer Info'!A3003:I3503,3,FALSE)</f>
        <v>#N/A</v>
      </c>
      <c r="I3011" s="6" t="e">
        <f>VLOOKUP('Customer Info'!A3003,'Customer Info'!A3003:I3502,5,FALSE)</f>
        <v>#N/A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39</v>
      </c>
      <c r="R3011" s="2" t="s">
        <v>26</v>
      </c>
      <c r="S3011" s="9">
        <f t="shared" si="234"/>
        <v>0.02</v>
      </c>
    </row>
    <row r="3012" spans="1:19" x14ac:dyDescent="0.25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e">
        <f>VLOOKUP('Customer Info'!A3004,'Customer Info'!A3004:I3503,2,FALSE)</f>
        <v>#N/A</v>
      </c>
      <c r="H3012" s="6" t="e">
        <f>VLOOKUP('Customer Info'!A3004,'Customer Info'!A3004:I3504,3,FALSE)</f>
        <v>#N/A</v>
      </c>
      <c r="I3012" s="6" t="e">
        <f>VLOOKUP('Customer Info'!A3004,'Customer Info'!A3004:I3503,5,FALSE)</f>
        <v>#N/A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729</v>
      </c>
      <c r="R3012" s="2" t="s">
        <v>28</v>
      </c>
      <c r="S3012" s="9">
        <f t="shared" si="234"/>
        <v>0.05</v>
      </c>
    </row>
    <row r="3013" spans="1:19" x14ac:dyDescent="0.25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e">
        <f>VLOOKUP('Customer Info'!A3005,'Customer Info'!A3005:I3504,2,FALSE)</f>
        <v>#N/A</v>
      </c>
      <c r="H3013" s="6" t="e">
        <f>VLOOKUP('Customer Info'!A3005,'Customer Info'!A3005:I3505,3,FALSE)</f>
        <v>#N/A</v>
      </c>
      <c r="I3013" s="6" t="e">
        <f>VLOOKUP('Customer Info'!A3005,'Customer Info'!A3005:I3504,5,FALSE)</f>
        <v>#N/A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309</v>
      </c>
      <c r="R3013" s="2" t="s">
        <v>50</v>
      </c>
      <c r="S3013" s="9">
        <f t="shared" si="234"/>
        <v>0.02</v>
      </c>
    </row>
    <row r="3014" spans="1:19" x14ac:dyDescent="0.25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e">
        <f>VLOOKUP('Customer Info'!A3006,'Customer Info'!A3006:I3505,2,FALSE)</f>
        <v>#N/A</v>
      </c>
      <c r="H3014" s="6" t="e">
        <f>VLOOKUP('Customer Info'!A3006,'Customer Info'!A3006:I3506,3,FALSE)</f>
        <v>#N/A</v>
      </c>
      <c r="I3014" s="6" t="e">
        <f>VLOOKUP('Customer Info'!A3006,'Customer Info'!A3006:I3505,5,FALSE)</f>
        <v>#N/A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430</v>
      </c>
      <c r="R3014" s="2" t="s">
        <v>50</v>
      </c>
      <c r="S3014" s="9">
        <f t="shared" si="234"/>
        <v>0.05</v>
      </c>
    </row>
    <row r="3015" spans="1:19" x14ac:dyDescent="0.25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e">
        <f>VLOOKUP('Customer Info'!A3007,'Customer Info'!A3007:I3506,2,FALSE)</f>
        <v>#N/A</v>
      </c>
      <c r="H3015" s="6" t="e">
        <f>VLOOKUP('Customer Info'!A3007,'Customer Info'!A3007:I3507,3,FALSE)</f>
        <v>#N/A</v>
      </c>
      <c r="I3015" s="6" t="e">
        <f>VLOOKUP('Customer Info'!A3007,'Customer Info'!A3007:I3506,5,FALSE)</f>
        <v>#N/A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1851</v>
      </c>
      <c r="R3015" s="2" t="s">
        <v>28</v>
      </c>
      <c r="S3015" s="9">
        <f t="shared" si="234"/>
        <v>0.05</v>
      </c>
    </row>
    <row r="3016" spans="1:19" x14ac:dyDescent="0.25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e">
        <f>VLOOKUP('Customer Info'!A3008,'Customer Info'!A3008:I3507,2,FALSE)</f>
        <v>#N/A</v>
      </c>
      <c r="H3016" s="6" t="e">
        <f>VLOOKUP('Customer Info'!A3008,'Customer Info'!A3008:I3508,3,FALSE)</f>
        <v>#N/A</v>
      </c>
      <c r="I3016" s="6" t="e">
        <f>VLOOKUP('Customer Info'!A3008,'Customer Info'!A3008:I3507,5,FALSE)</f>
        <v>#N/A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1042</v>
      </c>
      <c r="R3016" s="2" t="s">
        <v>50</v>
      </c>
      <c r="S3016" s="9">
        <f t="shared" si="234"/>
        <v>0.05</v>
      </c>
    </row>
    <row r="3017" spans="1:19" x14ac:dyDescent="0.25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e">
        <f>VLOOKUP('Customer Info'!A3009,'Customer Info'!A3009:I3508,2,FALSE)</f>
        <v>#N/A</v>
      </c>
      <c r="H3017" s="6" t="e">
        <f>VLOOKUP('Customer Info'!A3009,'Customer Info'!A3009:I3509,3,FALSE)</f>
        <v>#N/A</v>
      </c>
      <c r="I3017" s="6" t="e">
        <f>VLOOKUP('Customer Info'!A3009,'Customer Info'!A3009:I3508,5,FALSE)</f>
        <v>#N/A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135</v>
      </c>
      <c r="R3017" s="2" t="s">
        <v>28</v>
      </c>
      <c r="S3017" s="9">
        <f t="shared" si="234"/>
        <v>0.02</v>
      </c>
    </row>
    <row r="3018" spans="1:19" x14ac:dyDescent="0.25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e">
        <f>VLOOKUP('Customer Info'!A3010,'Customer Info'!A3010:I3509,2,FALSE)</f>
        <v>#N/A</v>
      </c>
      <c r="H3018" s="6" t="e">
        <f>VLOOKUP('Customer Info'!A3010,'Customer Info'!A3010:I3510,3,FALSE)</f>
        <v>#N/A</v>
      </c>
      <c r="I3018" s="6" t="e">
        <f>VLOOKUP('Customer Info'!A3010,'Customer Info'!A3010:I3509,5,FALSE)</f>
        <v>#N/A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1070</v>
      </c>
      <c r="R3018" s="2" t="s">
        <v>28</v>
      </c>
      <c r="S3018" s="9">
        <f t="shared" si="234"/>
        <v>0.05</v>
      </c>
    </row>
    <row r="3019" spans="1:19" x14ac:dyDescent="0.25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e">
        <f>VLOOKUP('Customer Info'!A3011,'Customer Info'!A3011:I3510,2,FALSE)</f>
        <v>#N/A</v>
      </c>
      <c r="H3019" s="6" t="e">
        <f>VLOOKUP('Customer Info'!A3011,'Customer Info'!A3011:I3511,3,FALSE)</f>
        <v>#N/A</v>
      </c>
      <c r="I3019" s="6" t="e">
        <f>VLOOKUP('Customer Info'!A3011,'Customer Info'!A3011:I3510,5,FALSE)</f>
        <v>#N/A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8">
        <f t="shared" ref="P3019:P3082" si="237">N3019+O3019</f>
        <v>3182</v>
      </c>
      <c r="Q3019" s="8">
        <f t="shared" ref="Q3019:Q3082" si="238">P3019-M3019</f>
        <v>210</v>
      </c>
      <c r="R3019" s="2" t="s">
        <v>26</v>
      </c>
      <c r="S3019" s="9">
        <f t="shared" ref="S3019:S3082" si="239">VLOOKUP(P3019,$T$2:$U$7,2,TRUE)</f>
        <v>0.02</v>
      </c>
    </row>
    <row r="3020" spans="1:19" x14ac:dyDescent="0.25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e">
        <f>VLOOKUP('Customer Info'!A3012,'Customer Info'!A3012:I3511,2,FALSE)</f>
        <v>#N/A</v>
      </c>
      <c r="H3020" s="6" t="e">
        <f>VLOOKUP('Customer Info'!A3012,'Customer Info'!A3012:I3512,3,FALSE)</f>
        <v>#N/A</v>
      </c>
      <c r="I3020" s="6" t="e">
        <f>VLOOKUP('Customer Info'!A3012,'Customer Info'!A3012:I3511,5,FALSE)</f>
        <v>#N/A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53</v>
      </c>
      <c r="R3020" s="2" t="s">
        <v>28</v>
      </c>
      <c r="S3020" s="9">
        <f t="shared" si="239"/>
        <v>0.02</v>
      </c>
    </row>
    <row r="3021" spans="1:19" x14ac:dyDescent="0.25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e">
        <f>VLOOKUP('Customer Info'!A3013,'Customer Info'!A3013:I3512,2,FALSE)</f>
        <v>#N/A</v>
      </c>
      <c r="H3021" s="6" t="e">
        <f>VLOOKUP('Customer Info'!A3013,'Customer Info'!A3013:I3513,3,FALSE)</f>
        <v>#N/A</v>
      </c>
      <c r="I3021" s="6" t="e">
        <f>VLOOKUP('Customer Info'!A3013,'Customer Info'!A3013:I3512,5,FALSE)</f>
        <v>#N/A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260</v>
      </c>
      <c r="R3021" s="2" t="s">
        <v>28</v>
      </c>
      <c r="S3021" s="9">
        <f t="shared" si="239"/>
        <v>0.02</v>
      </c>
    </row>
    <row r="3022" spans="1:19" x14ac:dyDescent="0.25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e">
        <f>VLOOKUP('Customer Info'!A3014,'Customer Info'!A3014:I3513,2,FALSE)</f>
        <v>#N/A</v>
      </c>
      <c r="H3022" s="6" t="e">
        <f>VLOOKUP('Customer Info'!A3014,'Customer Info'!A3014:I3514,3,FALSE)</f>
        <v>#N/A</v>
      </c>
      <c r="I3022" s="6" t="e">
        <f>VLOOKUP('Customer Info'!A3014,'Customer Info'!A3014:I3513,5,FALSE)</f>
        <v>#N/A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288</v>
      </c>
      <c r="R3022" s="2" t="s">
        <v>28</v>
      </c>
      <c r="S3022" s="9">
        <f t="shared" si="239"/>
        <v>0.05</v>
      </c>
    </row>
    <row r="3023" spans="1:19" x14ac:dyDescent="0.25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e">
        <f>VLOOKUP('Customer Info'!A3015,'Customer Info'!A3015:I3514,2,FALSE)</f>
        <v>#N/A</v>
      </c>
      <c r="H3023" s="6" t="e">
        <f>VLOOKUP('Customer Info'!A3015,'Customer Info'!A3015:I3515,3,FALSE)</f>
        <v>#N/A</v>
      </c>
      <c r="I3023" s="6" t="e">
        <f>VLOOKUP('Customer Info'!A3015,'Customer Info'!A3015:I3514,5,FALSE)</f>
        <v>#N/A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4727</v>
      </c>
      <c r="R3023" s="2" t="s">
        <v>50</v>
      </c>
      <c r="S3023" s="9">
        <f t="shared" si="239"/>
        <v>0.09</v>
      </c>
    </row>
    <row r="3024" spans="1:19" x14ac:dyDescent="0.25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e">
        <f>VLOOKUP('Customer Info'!A3016,'Customer Info'!A3016:I3515,2,FALSE)</f>
        <v>#N/A</v>
      </c>
      <c r="H3024" s="6" t="e">
        <f>VLOOKUP('Customer Info'!A3016,'Customer Info'!A3016:I3516,3,FALSE)</f>
        <v>#N/A</v>
      </c>
      <c r="I3024" s="6" t="e">
        <f>VLOOKUP('Customer Info'!A3016,'Customer Info'!A3016:I3515,5,FALSE)</f>
        <v>#N/A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295</v>
      </c>
      <c r="R3024" s="2" t="s">
        <v>28</v>
      </c>
      <c r="S3024" s="9">
        <f t="shared" si="239"/>
        <v>0.02</v>
      </c>
    </row>
    <row r="3025" spans="1:19" x14ac:dyDescent="0.25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e">
        <f>VLOOKUP('Customer Info'!A3017,'Customer Info'!A3017:I3516,2,FALSE)</f>
        <v>#N/A</v>
      </c>
      <c r="H3025" s="6" t="e">
        <f>VLOOKUP('Customer Info'!A3017,'Customer Info'!A3017:I3517,3,FALSE)</f>
        <v>#N/A</v>
      </c>
      <c r="I3025" s="6" t="e">
        <f>VLOOKUP('Customer Info'!A3017,'Customer Info'!A3017:I3516,5,FALSE)</f>
        <v>#N/A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313</v>
      </c>
      <c r="R3025" s="2" t="s">
        <v>50</v>
      </c>
      <c r="S3025" s="9">
        <f t="shared" si="239"/>
        <v>0.05</v>
      </c>
    </row>
    <row r="3026" spans="1:19" x14ac:dyDescent="0.25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e">
        <f>VLOOKUP('Customer Info'!A3018,'Customer Info'!A3018:I3517,2,FALSE)</f>
        <v>#N/A</v>
      </c>
      <c r="H3026" s="6" t="e">
        <f>VLOOKUP('Customer Info'!A3018,'Customer Info'!A3018:I3518,3,FALSE)</f>
        <v>#N/A</v>
      </c>
      <c r="I3026" s="6" t="e">
        <f>VLOOKUP('Customer Info'!A3018,'Customer Info'!A3018:I3517,5,FALSE)</f>
        <v>#N/A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2213</v>
      </c>
      <c r="R3026" s="2" t="s">
        <v>28</v>
      </c>
      <c r="S3026" s="9">
        <f t="shared" si="239"/>
        <v>7.0000000000000007E-2</v>
      </c>
    </row>
    <row r="3027" spans="1:19" x14ac:dyDescent="0.25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e">
        <f>VLOOKUP('Customer Info'!A3019,'Customer Info'!A3019:I3518,2,FALSE)</f>
        <v>#N/A</v>
      </c>
      <c r="H3027" s="6" t="e">
        <f>VLOOKUP('Customer Info'!A3019,'Customer Info'!A3019:I3519,3,FALSE)</f>
        <v>#N/A</v>
      </c>
      <c r="I3027" s="6" t="e">
        <f>VLOOKUP('Customer Info'!A3019,'Customer Info'!A3019:I3518,5,FALSE)</f>
        <v>#N/A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54</v>
      </c>
      <c r="R3027" s="2" t="s">
        <v>28</v>
      </c>
      <c r="S3027" s="9">
        <f t="shared" si="239"/>
        <v>0.02</v>
      </c>
    </row>
    <row r="3028" spans="1:19" x14ac:dyDescent="0.25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e">
        <f>VLOOKUP('Customer Info'!A3020,'Customer Info'!A3020:I3519,2,FALSE)</f>
        <v>#N/A</v>
      </c>
      <c r="H3028" s="6" t="e">
        <f>VLOOKUP('Customer Info'!A3020,'Customer Info'!A3020:I3520,3,FALSE)</f>
        <v>#N/A</v>
      </c>
      <c r="I3028" s="6" t="e">
        <f>VLOOKUP('Customer Info'!A3020,'Customer Info'!A3020:I3519,5,FALSE)</f>
        <v>#N/A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378</v>
      </c>
      <c r="R3028" s="2" t="s">
        <v>56</v>
      </c>
      <c r="S3028" s="9">
        <f t="shared" si="239"/>
        <v>0.05</v>
      </c>
    </row>
    <row r="3029" spans="1:19" x14ac:dyDescent="0.25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e">
        <f>VLOOKUP('Customer Info'!A3021,'Customer Info'!A3021:I3520,2,FALSE)</f>
        <v>#N/A</v>
      </c>
      <c r="H3029" s="6" t="e">
        <f>VLOOKUP('Customer Info'!A3021,'Customer Info'!A3021:I3521,3,FALSE)</f>
        <v>#N/A</v>
      </c>
      <c r="I3029" s="6" t="e">
        <f>VLOOKUP('Customer Info'!A3021,'Customer Info'!A3021:I3520,5,FALSE)</f>
        <v>#N/A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17</v>
      </c>
      <c r="R3029" s="2" t="s">
        <v>28</v>
      </c>
      <c r="S3029" s="9">
        <f t="shared" si="239"/>
        <v>0.02</v>
      </c>
    </row>
    <row r="3030" spans="1:19" x14ac:dyDescent="0.25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e">
        <f>VLOOKUP('Customer Info'!A3022,'Customer Info'!A3022:I3521,2,FALSE)</f>
        <v>#N/A</v>
      </c>
      <c r="H3030" s="6" t="e">
        <f>VLOOKUP('Customer Info'!A3022,'Customer Info'!A3022:I3522,3,FALSE)</f>
        <v>#N/A</v>
      </c>
      <c r="I3030" s="6" t="e">
        <f>VLOOKUP('Customer Info'!A3022,'Customer Info'!A3022:I3521,5,FALSE)</f>
        <v>#N/A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303</v>
      </c>
      <c r="R3030" s="2" t="s">
        <v>50</v>
      </c>
      <c r="S3030" s="9">
        <f t="shared" si="239"/>
        <v>0.02</v>
      </c>
    </row>
    <row r="3031" spans="1:19" x14ac:dyDescent="0.25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e">
        <f>VLOOKUP('Customer Info'!A3023,'Customer Info'!A3023:I3522,2,FALSE)</f>
        <v>#N/A</v>
      </c>
      <c r="H3031" s="6" t="e">
        <f>VLOOKUP('Customer Info'!A3023,'Customer Info'!A3023:I3523,3,FALSE)</f>
        <v>#N/A</v>
      </c>
      <c r="I3031" s="6" t="e">
        <f>VLOOKUP('Customer Info'!A3023,'Customer Info'!A3023:I3522,5,FALSE)</f>
        <v>#N/A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247</v>
      </c>
      <c r="R3031" s="2" t="s">
        <v>56</v>
      </c>
      <c r="S3031" s="9">
        <f t="shared" si="239"/>
        <v>0.05</v>
      </c>
    </row>
    <row r="3032" spans="1:19" x14ac:dyDescent="0.25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e">
        <f>VLOOKUP('Customer Info'!A3024,'Customer Info'!A3024:I3523,2,FALSE)</f>
        <v>#N/A</v>
      </c>
      <c r="H3032" s="6" t="e">
        <f>VLOOKUP('Customer Info'!A3024,'Customer Info'!A3024:I3524,3,FALSE)</f>
        <v>#N/A</v>
      </c>
      <c r="I3032" s="6" t="e">
        <f>VLOOKUP('Customer Info'!A3024,'Customer Info'!A3024:I3523,5,FALSE)</f>
        <v>#N/A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14</v>
      </c>
      <c r="R3032" s="2" t="s">
        <v>50</v>
      </c>
      <c r="S3032" s="9">
        <f t="shared" si="239"/>
        <v>0.02</v>
      </c>
    </row>
    <row r="3033" spans="1:19" x14ac:dyDescent="0.25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e">
        <f>VLOOKUP('Customer Info'!A3025,'Customer Info'!A3025:I3524,2,FALSE)</f>
        <v>#N/A</v>
      </c>
      <c r="H3033" s="6" t="e">
        <f>VLOOKUP('Customer Info'!A3025,'Customer Info'!A3025:I3525,3,FALSE)</f>
        <v>#N/A</v>
      </c>
      <c r="I3033" s="6" t="e">
        <f>VLOOKUP('Customer Info'!A3025,'Customer Info'!A3025:I3524,5,FALSE)</f>
        <v>#N/A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1062</v>
      </c>
      <c r="R3033" s="2" t="s">
        <v>26</v>
      </c>
      <c r="S3033" s="9">
        <f t="shared" si="239"/>
        <v>7.0000000000000007E-2</v>
      </c>
    </row>
    <row r="3034" spans="1:19" x14ac:dyDescent="0.25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e">
        <f>VLOOKUP('Customer Info'!A3026,'Customer Info'!A3026:I3525,2,FALSE)</f>
        <v>#N/A</v>
      </c>
      <c r="H3034" s="6" t="e">
        <f>VLOOKUP('Customer Info'!A3026,'Customer Info'!A3026:I3526,3,FALSE)</f>
        <v>#N/A</v>
      </c>
      <c r="I3034" s="6" t="e">
        <f>VLOOKUP('Customer Info'!A3026,'Customer Info'!A3026:I3525,5,FALSE)</f>
        <v>#N/A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8616</v>
      </c>
      <c r="R3034" s="2" t="s">
        <v>28</v>
      </c>
      <c r="S3034" s="9">
        <f t="shared" si="239"/>
        <v>0.09</v>
      </c>
    </row>
    <row r="3035" spans="1:19" x14ac:dyDescent="0.25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e">
        <f>VLOOKUP('Customer Info'!A3027,'Customer Info'!A3027:I3526,2,FALSE)</f>
        <v>#N/A</v>
      </c>
      <c r="H3035" s="6" t="e">
        <f>VLOOKUP('Customer Info'!A3027,'Customer Info'!A3027:I3527,3,FALSE)</f>
        <v>#N/A</v>
      </c>
      <c r="I3035" s="6" t="e">
        <f>VLOOKUP('Customer Info'!A3027,'Customer Info'!A3027:I3526,5,FALSE)</f>
        <v>#N/A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700</v>
      </c>
      <c r="R3035" s="2" t="s">
        <v>56</v>
      </c>
      <c r="S3035" s="9">
        <f t="shared" si="239"/>
        <v>0.05</v>
      </c>
    </row>
    <row r="3036" spans="1:19" x14ac:dyDescent="0.25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e">
        <f>VLOOKUP('Customer Info'!A3028,'Customer Info'!A3028:I3527,2,FALSE)</f>
        <v>#N/A</v>
      </c>
      <c r="H3036" s="6" t="e">
        <f>VLOOKUP('Customer Info'!A3028,'Customer Info'!A3028:I3528,3,FALSE)</f>
        <v>#N/A</v>
      </c>
      <c r="I3036" s="6" t="e">
        <f>VLOOKUP('Customer Info'!A3028,'Customer Info'!A3028:I3527,5,FALSE)</f>
        <v>#N/A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5529</v>
      </c>
      <c r="R3036" s="2" t="s">
        <v>28</v>
      </c>
      <c r="S3036" s="9">
        <f t="shared" si="239"/>
        <v>0.09</v>
      </c>
    </row>
    <row r="3037" spans="1:19" x14ac:dyDescent="0.25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e">
        <f>VLOOKUP('Customer Info'!A3029,'Customer Info'!A3029:I3528,2,FALSE)</f>
        <v>#N/A</v>
      </c>
      <c r="H3037" s="6" t="e">
        <f>VLOOKUP('Customer Info'!A3029,'Customer Info'!A3029:I3529,3,FALSE)</f>
        <v>#N/A</v>
      </c>
      <c r="I3037" s="6" t="e">
        <f>VLOOKUP('Customer Info'!A3029,'Customer Info'!A3029:I3528,5,FALSE)</f>
        <v>#N/A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2665</v>
      </c>
      <c r="R3037" s="2" t="s">
        <v>28</v>
      </c>
      <c r="S3037" s="9">
        <f t="shared" si="239"/>
        <v>7.0000000000000007E-2</v>
      </c>
    </row>
    <row r="3038" spans="1:19" x14ac:dyDescent="0.25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e">
        <f>VLOOKUP('Customer Info'!A3030,'Customer Info'!A3030:I3529,2,FALSE)</f>
        <v>#N/A</v>
      </c>
      <c r="H3038" s="6" t="e">
        <f>VLOOKUP('Customer Info'!A3030,'Customer Info'!A3030:I3530,3,FALSE)</f>
        <v>#N/A</v>
      </c>
      <c r="I3038" s="6" t="e">
        <f>VLOOKUP('Customer Info'!A3030,'Customer Info'!A3030:I3529,5,FALSE)</f>
        <v>#N/A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22</v>
      </c>
      <c r="R3038" s="2" t="s">
        <v>28</v>
      </c>
      <c r="S3038" s="9">
        <f t="shared" si="239"/>
        <v>0.02</v>
      </c>
    </row>
    <row r="3039" spans="1:19" x14ac:dyDescent="0.25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e">
        <f>VLOOKUP('Customer Info'!A3031,'Customer Info'!A3031:I3530,2,FALSE)</f>
        <v>#N/A</v>
      </c>
      <c r="H3039" s="6" t="e">
        <f>VLOOKUP('Customer Info'!A3031,'Customer Info'!A3031:I3531,3,FALSE)</f>
        <v>#N/A</v>
      </c>
      <c r="I3039" s="6" t="e">
        <f>VLOOKUP('Customer Info'!A3031,'Customer Info'!A3031:I3530,5,FALSE)</f>
        <v>#N/A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1152</v>
      </c>
      <c r="R3039" s="2" t="s">
        <v>28</v>
      </c>
      <c r="S3039" s="9">
        <f t="shared" si="239"/>
        <v>0.05</v>
      </c>
    </row>
    <row r="3040" spans="1:19" x14ac:dyDescent="0.25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e">
        <f>VLOOKUP('Customer Info'!A3032,'Customer Info'!A3032:I3531,2,FALSE)</f>
        <v>#N/A</v>
      </c>
      <c r="H3040" s="6" t="e">
        <f>VLOOKUP('Customer Info'!A3032,'Customer Info'!A3032:I3532,3,FALSE)</f>
        <v>#N/A</v>
      </c>
      <c r="I3040" s="6" t="e">
        <f>VLOOKUP('Customer Info'!A3032,'Customer Info'!A3032:I3531,5,FALSE)</f>
        <v>#N/A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150</v>
      </c>
      <c r="R3040" s="2" t="s">
        <v>28</v>
      </c>
      <c r="S3040" s="9">
        <f t="shared" si="239"/>
        <v>0.02</v>
      </c>
    </row>
    <row r="3041" spans="1:19" x14ac:dyDescent="0.25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e">
        <f>VLOOKUP('Customer Info'!A3033,'Customer Info'!A3033:I3532,2,FALSE)</f>
        <v>#N/A</v>
      </c>
      <c r="H3041" s="6" t="e">
        <f>VLOOKUP('Customer Info'!A3033,'Customer Info'!A3033:I3533,3,FALSE)</f>
        <v>#N/A</v>
      </c>
      <c r="I3041" s="6" t="e">
        <f>VLOOKUP('Customer Info'!A3033,'Customer Info'!A3033:I3532,5,FALSE)</f>
        <v>#N/A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550</v>
      </c>
      <c r="R3041" s="2" t="s">
        <v>50</v>
      </c>
      <c r="S3041" s="9">
        <f t="shared" si="239"/>
        <v>7.0000000000000007E-2</v>
      </c>
    </row>
    <row r="3042" spans="1:19" x14ac:dyDescent="0.25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e">
        <f>VLOOKUP('Customer Info'!A3034,'Customer Info'!A3034:I3533,2,FALSE)</f>
        <v>#N/A</v>
      </c>
      <c r="H3042" s="6" t="e">
        <f>VLOOKUP('Customer Info'!A3034,'Customer Info'!A3034:I3534,3,FALSE)</f>
        <v>#N/A</v>
      </c>
      <c r="I3042" s="6" t="e">
        <f>VLOOKUP('Customer Info'!A3034,'Customer Info'!A3034:I3533,5,FALSE)</f>
        <v>#N/A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320</v>
      </c>
      <c r="R3042" s="2" t="s">
        <v>28</v>
      </c>
      <c r="S3042" s="9">
        <f t="shared" si="239"/>
        <v>0.05</v>
      </c>
    </row>
    <row r="3043" spans="1:19" x14ac:dyDescent="0.25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e">
        <f>VLOOKUP('Customer Info'!A3035,'Customer Info'!A3035:I3534,2,FALSE)</f>
        <v>#N/A</v>
      </c>
      <c r="H3043" s="6" t="e">
        <f>VLOOKUP('Customer Info'!A3035,'Customer Info'!A3035:I3535,3,FALSE)</f>
        <v>#N/A</v>
      </c>
      <c r="I3043" s="6" t="e">
        <f>VLOOKUP('Customer Info'!A3035,'Customer Info'!A3035:I3534,5,FALSE)</f>
        <v>#N/A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860</v>
      </c>
      <c r="R3043" s="2" t="s">
        <v>50</v>
      </c>
      <c r="S3043" s="9">
        <f t="shared" si="239"/>
        <v>0.05</v>
      </c>
    </row>
    <row r="3044" spans="1:19" x14ac:dyDescent="0.25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e">
        <f>VLOOKUP('Customer Info'!A3036,'Customer Info'!A3036:I3535,2,FALSE)</f>
        <v>#N/A</v>
      </c>
      <c r="H3044" s="6" t="e">
        <f>VLOOKUP('Customer Info'!A3036,'Customer Info'!A3036:I3536,3,FALSE)</f>
        <v>#N/A</v>
      </c>
      <c r="I3044" s="6" t="e">
        <f>VLOOKUP('Customer Info'!A3036,'Customer Info'!A3036:I3535,5,FALSE)</f>
        <v>#N/A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97</v>
      </c>
      <c r="R3044" s="2" t="s">
        <v>28</v>
      </c>
      <c r="S3044" s="9">
        <f t="shared" si="239"/>
        <v>0.02</v>
      </c>
    </row>
    <row r="3045" spans="1:19" x14ac:dyDescent="0.25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e">
        <f>VLOOKUP('Customer Info'!A3037,'Customer Info'!A3037:I3536,2,FALSE)</f>
        <v>#N/A</v>
      </c>
      <c r="H3045" s="6" t="e">
        <f>VLOOKUP('Customer Info'!A3037,'Customer Info'!A3037:I3537,3,FALSE)</f>
        <v>#N/A</v>
      </c>
      <c r="I3045" s="6" t="e">
        <f>VLOOKUP('Customer Info'!A3037,'Customer Info'!A3037:I3536,5,FALSE)</f>
        <v>#N/A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5478</v>
      </c>
      <c r="R3045" s="2" t="s">
        <v>50</v>
      </c>
      <c r="S3045" s="9">
        <f t="shared" si="239"/>
        <v>0.09</v>
      </c>
    </row>
    <row r="3046" spans="1:19" x14ac:dyDescent="0.25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e">
        <f>VLOOKUP('Customer Info'!A3038,'Customer Info'!A3038:I3537,2,FALSE)</f>
        <v>#N/A</v>
      </c>
      <c r="H3046" s="6" t="e">
        <f>VLOOKUP('Customer Info'!A3038,'Customer Info'!A3038:I3538,3,FALSE)</f>
        <v>#N/A</v>
      </c>
      <c r="I3046" s="6" t="e">
        <f>VLOOKUP('Customer Info'!A3038,'Customer Info'!A3038:I3537,5,FALSE)</f>
        <v>#N/A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807</v>
      </c>
      <c r="R3046" s="2" t="s">
        <v>50</v>
      </c>
      <c r="S3046" s="9">
        <f t="shared" si="239"/>
        <v>0.05</v>
      </c>
    </row>
    <row r="3047" spans="1:19" x14ac:dyDescent="0.25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e">
        <f>VLOOKUP('Customer Info'!A3039,'Customer Info'!A3039:I3538,2,FALSE)</f>
        <v>#N/A</v>
      </c>
      <c r="H3047" s="6" t="e">
        <f>VLOOKUP('Customer Info'!A3039,'Customer Info'!A3039:I3539,3,FALSE)</f>
        <v>#N/A</v>
      </c>
      <c r="I3047" s="6" t="e">
        <f>VLOOKUP('Customer Info'!A3039,'Customer Info'!A3039:I3538,5,FALSE)</f>
        <v>#N/A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254</v>
      </c>
      <c r="R3047" s="2" t="s">
        <v>28</v>
      </c>
      <c r="S3047" s="9">
        <f t="shared" si="239"/>
        <v>0.02</v>
      </c>
    </row>
    <row r="3048" spans="1:19" x14ac:dyDescent="0.25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e">
        <f>VLOOKUP('Customer Info'!A3040,'Customer Info'!A3040:I3539,2,FALSE)</f>
        <v>#N/A</v>
      </c>
      <c r="H3048" s="6" t="e">
        <f>VLOOKUP('Customer Info'!A3040,'Customer Info'!A3040:I3540,3,FALSE)</f>
        <v>#N/A</v>
      </c>
      <c r="I3048" s="6" t="e">
        <f>VLOOKUP('Customer Info'!A3040,'Customer Info'!A3040:I3539,5,FALSE)</f>
        <v>#N/A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1643</v>
      </c>
      <c r="R3048" s="2" t="s">
        <v>50</v>
      </c>
      <c r="S3048" s="9">
        <f t="shared" si="239"/>
        <v>0.05</v>
      </c>
    </row>
    <row r="3049" spans="1:19" x14ac:dyDescent="0.25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e">
        <f>VLOOKUP('Customer Info'!A3041,'Customer Info'!A3041:I3540,2,FALSE)</f>
        <v>#N/A</v>
      </c>
      <c r="H3049" s="6" t="e">
        <f>VLOOKUP('Customer Info'!A3041,'Customer Info'!A3041:I3541,3,FALSE)</f>
        <v>#N/A</v>
      </c>
      <c r="I3049" s="6" t="e">
        <f>VLOOKUP('Customer Info'!A3041,'Customer Info'!A3041:I3540,5,FALSE)</f>
        <v>#N/A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14</v>
      </c>
      <c r="R3049" s="2" t="s">
        <v>28</v>
      </c>
      <c r="S3049" s="9">
        <f t="shared" si="239"/>
        <v>0.02</v>
      </c>
    </row>
    <row r="3050" spans="1:19" x14ac:dyDescent="0.25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e">
        <f>VLOOKUP('Customer Info'!A3042,'Customer Info'!A3042:I3541,2,FALSE)</f>
        <v>#N/A</v>
      </c>
      <c r="H3050" s="6" t="e">
        <f>VLOOKUP('Customer Info'!A3042,'Customer Info'!A3042:I3542,3,FALSE)</f>
        <v>#N/A</v>
      </c>
      <c r="I3050" s="6" t="e">
        <f>VLOOKUP('Customer Info'!A3042,'Customer Info'!A3042:I3541,5,FALSE)</f>
        <v>#N/A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398</v>
      </c>
      <c r="R3050" s="2" t="s">
        <v>28</v>
      </c>
      <c r="S3050" s="9">
        <f t="shared" si="239"/>
        <v>0.02</v>
      </c>
    </row>
    <row r="3051" spans="1:19" x14ac:dyDescent="0.25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e">
        <f>VLOOKUP('Customer Info'!A3043,'Customer Info'!A3043:I3542,2,FALSE)</f>
        <v>#N/A</v>
      </c>
      <c r="H3051" s="6" t="e">
        <f>VLOOKUP('Customer Info'!A3043,'Customer Info'!A3043:I3543,3,FALSE)</f>
        <v>#N/A</v>
      </c>
      <c r="I3051" s="6" t="e">
        <f>VLOOKUP('Customer Info'!A3043,'Customer Info'!A3043:I3542,5,FALSE)</f>
        <v>#N/A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15004</v>
      </c>
      <c r="R3051" s="2" t="s">
        <v>28</v>
      </c>
      <c r="S3051" s="9">
        <f t="shared" si="239"/>
        <v>0.12</v>
      </c>
    </row>
    <row r="3052" spans="1:19" x14ac:dyDescent="0.25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e">
        <f>VLOOKUP('Customer Info'!A3044,'Customer Info'!A3044:I3543,2,FALSE)</f>
        <v>#N/A</v>
      </c>
      <c r="H3052" s="6" t="e">
        <f>VLOOKUP('Customer Info'!A3044,'Customer Info'!A3044:I3544,3,FALSE)</f>
        <v>#N/A</v>
      </c>
      <c r="I3052" s="6" t="e">
        <f>VLOOKUP('Customer Info'!A3044,'Customer Info'!A3044:I3543,5,FALSE)</f>
        <v>#N/A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155</v>
      </c>
      <c r="R3052" s="2" t="s">
        <v>50</v>
      </c>
      <c r="S3052" s="9">
        <f t="shared" si="239"/>
        <v>0.02</v>
      </c>
    </row>
    <row r="3053" spans="1:19" x14ac:dyDescent="0.25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e">
        <f>VLOOKUP('Customer Info'!A3045,'Customer Info'!A3045:I3544,2,FALSE)</f>
        <v>#N/A</v>
      </c>
      <c r="H3053" s="6" t="e">
        <f>VLOOKUP('Customer Info'!A3045,'Customer Info'!A3045:I3545,3,FALSE)</f>
        <v>#N/A</v>
      </c>
      <c r="I3053" s="6" t="e">
        <f>VLOOKUP('Customer Info'!A3045,'Customer Info'!A3045:I3544,5,FALSE)</f>
        <v>#N/A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399</v>
      </c>
      <c r="R3053" s="2" t="s">
        <v>28</v>
      </c>
      <c r="S3053" s="9">
        <f t="shared" si="239"/>
        <v>0.02</v>
      </c>
    </row>
    <row r="3054" spans="1:19" x14ac:dyDescent="0.25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e">
        <f>VLOOKUP('Customer Info'!A3046,'Customer Info'!A3046:I3545,2,FALSE)</f>
        <v>#N/A</v>
      </c>
      <c r="H3054" s="6" t="e">
        <f>VLOOKUP('Customer Info'!A3046,'Customer Info'!A3046:I3546,3,FALSE)</f>
        <v>#N/A</v>
      </c>
      <c r="I3054" s="6" t="e">
        <f>VLOOKUP('Customer Info'!A3046,'Customer Info'!A3046:I3545,5,FALSE)</f>
        <v>#N/A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15</v>
      </c>
      <c r="R3054" s="2" t="s">
        <v>28</v>
      </c>
      <c r="S3054" s="9">
        <f t="shared" si="239"/>
        <v>0.02</v>
      </c>
    </row>
    <row r="3055" spans="1:19" x14ac:dyDescent="0.25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e">
        <f>VLOOKUP('Customer Info'!A3047,'Customer Info'!A3047:I3546,2,FALSE)</f>
        <v>#N/A</v>
      </c>
      <c r="H3055" s="6" t="e">
        <f>VLOOKUP('Customer Info'!A3047,'Customer Info'!A3047:I3547,3,FALSE)</f>
        <v>#N/A</v>
      </c>
      <c r="I3055" s="6" t="e">
        <f>VLOOKUP('Customer Info'!A3047,'Customer Info'!A3047:I3546,5,FALSE)</f>
        <v>#N/A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58</v>
      </c>
      <c r="R3055" s="2" t="s">
        <v>28</v>
      </c>
      <c r="S3055" s="9">
        <f t="shared" si="239"/>
        <v>0.02</v>
      </c>
    </row>
    <row r="3056" spans="1:19" x14ac:dyDescent="0.25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e">
        <f>VLOOKUP('Customer Info'!A3048,'Customer Info'!A3048:I3547,2,FALSE)</f>
        <v>#N/A</v>
      </c>
      <c r="H3056" s="6" t="e">
        <f>VLOOKUP('Customer Info'!A3048,'Customer Info'!A3048:I3548,3,FALSE)</f>
        <v>#N/A</v>
      </c>
      <c r="I3056" s="6" t="e">
        <f>VLOOKUP('Customer Info'!A3048,'Customer Info'!A3048:I3547,5,FALSE)</f>
        <v>#N/A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187</v>
      </c>
      <c r="R3056" s="2" t="s">
        <v>28</v>
      </c>
      <c r="S3056" s="9">
        <f t="shared" si="239"/>
        <v>0.02</v>
      </c>
    </row>
    <row r="3057" spans="1:19" x14ac:dyDescent="0.25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e">
        <f>VLOOKUP('Customer Info'!A3049,'Customer Info'!A3049:I3548,2,FALSE)</f>
        <v>#N/A</v>
      </c>
      <c r="H3057" s="6" t="e">
        <f>VLOOKUP('Customer Info'!A3049,'Customer Info'!A3049:I3549,3,FALSE)</f>
        <v>#N/A</v>
      </c>
      <c r="I3057" s="6" t="e">
        <f>VLOOKUP('Customer Info'!A3049,'Customer Info'!A3049:I3548,5,FALSE)</f>
        <v>#N/A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782</v>
      </c>
      <c r="R3057" s="2" t="s">
        <v>50</v>
      </c>
      <c r="S3057" s="9">
        <f t="shared" si="239"/>
        <v>0.05</v>
      </c>
    </row>
    <row r="3058" spans="1:19" x14ac:dyDescent="0.25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e">
        <f>VLOOKUP('Customer Info'!A3050,'Customer Info'!A3050:I3549,2,FALSE)</f>
        <v>#N/A</v>
      </c>
      <c r="H3058" s="6" t="e">
        <f>VLOOKUP('Customer Info'!A3050,'Customer Info'!A3050:I3550,3,FALSE)</f>
        <v>#N/A</v>
      </c>
      <c r="I3058" s="6" t="e">
        <f>VLOOKUP('Customer Info'!A3050,'Customer Info'!A3050:I3549,5,FALSE)</f>
        <v>#N/A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22</v>
      </c>
      <c r="R3058" s="2" t="s">
        <v>28</v>
      </c>
      <c r="S3058" s="9">
        <f t="shared" si="239"/>
        <v>0.02</v>
      </c>
    </row>
    <row r="3059" spans="1:19" x14ac:dyDescent="0.25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e">
        <f>VLOOKUP('Customer Info'!A3051,'Customer Info'!A3051:I3550,2,FALSE)</f>
        <v>#N/A</v>
      </c>
      <c r="H3059" s="6" t="e">
        <f>VLOOKUP('Customer Info'!A3051,'Customer Info'!A3051:I3551,3,FALSE)</f>
        <v>#N/A</v>
      </c>
      <c r="I3059" s="6" t="e">
        <f>VLOOKUP('Customer Info'!A3051,'Customer Info'!A3051:I3550,5,FALSE)</f>
        <v>#N/A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431</v>
      </c>
      <c r="R3059" s="2" t="s">
        <v>28</v>
      </c>
      <c r="S3059" s="9">
        <f t="shared" si="239"/>
        <v>0.05</v>
      </c>
    </row>
    <row r="3060" spans="1:19" x14ac:dyDescent="0.25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e">
        <f>VLOOKUP('Customer Info'!A3052,'Customer Info'!A3052:I3551,2,FALSE)</f>
        <v>#N/A</v>
      </c>
      <c r="H3060" s="6" t="e">
        <f>VLOOKUP('Customer Info'!A3052,'Customer Info'!A3052:I3552,3,FALSE)</f>
        <v>#N/A</v>
      </c>
      <c r="I3060" s="6" t="e">
        <f>VLOOKUP('Customer Info'!A3052,'Customer Info'!A3052:I3551,5,FALSE)</f>
        <v>#N/A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63</v>
      </c>
      <c r="R3060" s="2" t="s">
        <v>50</v>
      </c>
      <c r="S3060" s="9">
        <f t="shared" si="239"/>
        <v>0.02</v>
      </c>
    </row>
    <row r="3061" spans="1:19" x14ac:dyDescent="0.25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e">
        <f>VLOOKUP('Customer Info'!A3053,'Customer Info'!A3053:I3552,2,FALSE)</f>
        <v>#N/A</v>
      </c>
      <c r="H3061" s="6" t="e">
        <f>VLOOKUP('Customer Info'!A3053,'Customer Info'!A3053:I3553,3,FALSE)</f>
        <v>#N/A</v>
      </c>
      <c r="I3061" s="6" t="e">
        <f>VLOOKUP('Customer Info'!A3053,'Customer Info'!A3053:I3552,5,FALSE)</f>
        <v>#N/A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42</v>
      </c>
      <c r="R3061" s="2" t="s">
        <v>50</v>
      </c>
      <c r="S3061" s="9">
        <f t="shared" si="239"/>
        <v>0.02</v>
      </c>
    </row>
    <row r="3062" spans="1:19" x14ac:dyDescent="0.25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e">
        <f>VLOOKUP('Customer Info'!A3054,'Customer Info'!A3054:I3553,2,FALSE)</f>
        <v>#N/A</v>
      </c>
      <c r="H3062" s="6" t="e">
        <f>VLOOKUP('Customer Info'!A3054,'Customer Info'!A3054:I3554,3,FALSE)</f>
        <v>#N/A</v>
      </c>
      <c r="I3062" s="6" t="e">
        <f>VLOOKUP('Customer Info'!A3054,'Customer Info'!A3054:I3553,5,FALSE)</f>
        <v>#N/A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823</v>
      </c>
      <c r="R3062" s="2" t="s">
        <v>26</v>
      </c>
      <c r="S3062" s="9">
        <f t="shared" si="239"/>
        <v>0.05</v>
      </c>
    </row>
    <row r="3063" spans="1:19" x14ac:dyDescent="0.25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e">
        <f>VLOOKUP('Customer Info'!A3055,'Customer Info'!A3055:I3554,2,FALSE)</f>
        <v>#N/A</v>
      </c>
      <c r="H3063" s="6" t="e">
        <f>VLOOKUP('Customer Info'!A3055,'Customer Info'!A3055:I3555,3,FALSE)</f>
        <v>#N/A</v>
      </c>
      <c r="I3063" s="6" t="e">
        <f>VLOOKUP('Customer Info'!A3055,'Customer Info'!A3055:I3554,5,FALSE)</f>
        <v>#N/A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69</v>
      </c>
      <c r="R3063" s="2" t="s">
        <v>28</v>
      </c>
      <c r="S3063" s="9">
        <f t="shared" si="239"/>
        <v>0.02</v>
      </c>
    </row>
    <row r="3064" spans="1:19" x14ac:dyDescent="0.25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e">
        <f>VLOOKUP('Customer Info'!A3056,'Customer Info'!A3056:I3555,2,FALSE)</f>
        <v>#N/A</v>
      </c>
      <c r="H3064" s="6" t="e">
        <f>VLOOKUP('Customer Info'!A3056,'Customer Info'!A3056:I3556,3,FALSE)</f>
        <v>#N/A</v>
      </c>
      <c r="I3064" s="6" t="e">
        <f>VLOOKUP('Customer Info'!A3056,'Customer Info'!A3056:I3555,5,FALSE)</f>
        <v>#N/A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42</v>
      </c>
      <c r="R3064" s="2" t="s">
        <v>28</v>
      </c>
      <c r="S3064" s="9">
        <f t="shared" si="239"/>
        <v>0.02</v>
      </c>
    </row>
    <row r="3065" spans="1:19" x14ac:dyDescent="0.25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e">
        <f>VLOOKUP('Customer Info'!A3057,'Customer Info'!A3057:I3556,2,FALSE)</f>
        <v>#N/A</v>
      </c>
      <c r="H3065" s="6" t="e">
        <f>VLOOKUP('Customer Info'!A3057,'Customer Info'!A3057:I3557,3,FALSE)</f>
        <v>#N/A</v>
      </c>
      <c r="I3065" s="6" t="e">
        <f>VLOOKUP('Customer Info'!A3057,'Customer Info'!A3057:I3556,5,FALSE)</f>
        <v>#N/A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72</v>
      </c>
      <c r="R3065" s="2" t="s">
        <v>28</v>
      </c>
      <c r="S3065" s="9">
        <f t="shared" si="239"/>
        <v>0.02</v>
      </c>
    </row>
    <row r="3066" spans="1:19" x14ac:dyDescent="0.25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e">
        <f>VLOOKUP('Customer Info'!A3058,'Customer Info'!A3058:I3557,2,FALSE)</f>
        <v>#N/A</v>
      </c>
      <c r="H3066" s="6" t="e">
        <f>VLOOKUP('Customer Info'!A3058,'Customer Info'!A3058:I3558,3,FALSE)</f>
        <v>#N/A</v>
      </c>
      <c r="I3066" s="6" t="e">
        <f>VLOOKUP('Customer Info'!A3058,'Customer Info'!A3058:I3557,5,FALSE)</f>
        <v>#N/A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1194</v>
      </c>
      <c r="R3066" s="2" t="s">
        <v>56</v>
      </c>
      <c r="S3066" s="9">
        <f t="shared" si="239"/>
        <v>0.05</v>
      </c>
    </row>
    <row r="3067" spans="1:19" x14ac:dyDescent="0.25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e">
        <f>VLOOKUP('Customer Info'!A3059,'Customer Info'!A3059:I3558,2,FALSE)</f>
        <v>#N/A</v>
      </c>
      <c r="H3067" s="6" t="e">
        <f>VLOOKUP('Customer Info'!A3059,'Customer Info'!A3059:I3559,3,FALSE)</f>
        <v>#N/A</v>
      </c>
      <c r="I3067" s="6" t="e">
        <f>VLOOKUP('Customer Info'!A3059,'Customer Info'!A3059:I3558,5,FALSE)</f>
        <v>#N/A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167</v>
      </c>
      <c r="R3067" s="2" t="s">
        <v>28</v>
      </c>
      <c r="S3067" s="9">
        <f t="shared" si="239"/>
        <v>0.02</v>
      </c>
    </row>
    <row r="3068" spans="1:19" x14ac:dyDescent="0.25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e">
        <f>VLOOKUP('Customer Info'!A3060,'Customer Info'!A3060:I3559,2,FALSE)</f>
        <v>#N/A</v>
      </c>
      <c r="H3068" s="6" t="e">
        <f>VLOOKUP('Customer Info'!A3060,'Customer Info'!A3060:I3560,3,FALSE)</f>
        <v>#N/A</v>
      </c>
      <c r="I3068" s="6" t="e">
        <f>VLOOKUP('Customer Info'!A3060,'Customer Info'!A3060:I3559,5,FALSE)</f>
        <v>#N/A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153</v>
      </c>
      <c r="R3068" s="2" t="s">
        <v>50</v>
      </c>
      <c r="S3068" s="9">
        <f t="shared" si="239"/>
        <v>0.02</v>
      </c>
    </row>
    <row r="3069" spans="1:19" x14ac:dyDescent="0.25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e">
        <f>VLOOKUP('Customer Info'!A3061,'Customer Info'!A3061:I3560,2,FALSE)</f>
        <v>#N/A</v>
      </c>
      <c r="H3069" s="6" t="e">
        <f>VLOOKUP('Customer Info'!A3061,'Customer Info'!A3061:I3561,3,FALSE)</f>
        <v>#N/A</v>
      </c>
      <c r="I3069" s="6" t="e">
        <f>VLOOKUP('Customer Info'!A3061,'Customer Info'!A3061:I3560,5,FALSE)</f>
        <v>#N/A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7865</v>
      </c>
      <c r="R3069" s="2" t="s">
        <v>50</v>
      </c>
      <c r="S3069" s="9">
        <f t="shared" si="239"/>
        <v>0.09</v>
      </c>
    </row>
    <row r="3070" spans="1:19" x14ac:dyDescent="0.25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e">
        <f>VLOOKUP('Customer Info'!A3062,'Customer Info'!A3062:I3561,2,FALSE)</f>
        <v>#N/A</v>
      </c>
      <c r="H3070" s="6" t="e">
        <f>VLOOKUP('Customer Info'!A3062,'Customer Info'!A3062:I3562,3,FALSE)</f>
        <v>#N/A</v>
      </c>
      <c r="I3070" s="6" t="e">
        <f>VLOOKUP('Customer Info'!A3062,'Customer Info'!A3062:I3561,5,FALSE)</f>
        <v>#N/A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174</v>
      </c>
      <c r="R3070" s="2" t="s">
        <v>50</v>
      </c>
      <c r="S3070" s="9">
        <f t="shared" si="239"/>
        <v>0.02</v>
      </c>
    </row>
    <row r="3071" spans="1:19" x14ac:dyDescent="0.25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e">
        <f>VLOOKUP('Customer Info'!A3063,'Customer Info'!A3063:I3562,2,FALSE)</f>
        <v>#N/A</v>
      </c>
      <c r="H3071" s="6" t="e">
        <f>VLOOKUP('Customer Info'!A3063,'Customer Info'!A3063:I3563,3,FALSE)</f>
        <v>#N/A</v>
      </c>
      <c r="I3071" s="6" t="e">
        <f>VLOOKUP('Customer Info'!A3063,'Customer Info'!A3063:I3562,5,FALSE)</f>
        <v>#N/A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182</v>
      </c>
      <c r="R3071" s="2" t="s">
        <v>26</v>
      </c>
      <c r="S3071" s="9">
        <f t="shared" si="239"/>
        <v>0.02</v>
      </c>
    </row>
    <row r="3072" spans="1:19" x14ac:dyDescent="0.25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e">
        <f>VLOOKUP('Customer Info'!A3064,'Customer Info'!A3064:I3563,2,FALSE)</f>
        <v>#N/A</v>
      </c>
      <c r="H3072" s="6" t="e">
        <f>VLOOKUP('Customer Info'!A3064,'Customer Info'!A3064:I3564,3,FALSE)</f>
        <v>#N/A</v>
      </c>
      <c r="I3072" s="6" t="e">
        <f>VLOOKUP('Customer Info'!A3064,'Customer Info'!A3064:I3563,5,FALSE)</f>
        <v>#N/A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2195</v>
      </c>
      <c r="R3072" s="2" t="s">
        <v>28</v>
      </c>
      <c r="S3072" s="9">
        <f t="shared" si="239"/>
        <v>7.0000000000000007E-2</v>
      </c>
    </row>
    <row r="3073" spans="1:19" x14ac:dyDescent="0.25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e">
        <f>VLOOKUP('Customer Info'!A3065,'Customer Info'!A3065:I3564,2,FALSE)</f>
        <v>#N/A</v>
      </c>
      <c r="H3073" s="6" t="e">
        <f>VLOOKUP('Customer Info'!A3065,'Customer Info'!A3065:I3565,3,FALSE)</f>
        <v>#N/A</v>
      </c>
      <c r="I3073" s="6" t="e">
        <f>VLOOKUP('Customer Info'!A3065,'Customer Info'!A3065:I3564,5,FALSE)</f>
        <v>#N/A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57</v>
      </c>
      <c r="R3073" s="2" t="s">
        <v>26</v>
      </c>
      <c r="S3073" s="9">
        <f t="shared" si="239"/>
        <v>0.02</v>
      </c>
    </row>
    <row r="3074" spans="1:19" x14ac:dyDescent="0.25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e">
        <f>VLOOKUP('Customer Info'!A3066,'Customer Info'!A3066:I3565,2,FALSE)</f>
        <v>#N/A</v>
      </c>
      <c r="H3074" s="6" t="e">
        <f>VLOOKUP('Customer Info'!A3066,'Customer Info'!A3066:I3566,3,FALSE)</f>
        <v>#N/A</v>
      </c>
      <c r="I3074" s="6" t="e">
        <f>VLOOKUP('Customer Info'!A3066,'Customer Info'!A3066:I3565,5,FALSE)</f>
        <v>#N/A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54</v>
      </c>
      <c r="R3074" s="2" t="s">
        <v>28</v>
      </c>
      <c r="S3074" s="9">
        <f t="shared" si="239"/>
        <v>0.02</v>
      </c>
    </row>
    <row r="3075" spans="1:19" x14ac:dyDescent="0.25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e">
        <f>VLOOKUP('Customer Info'!A3067,'Customer Info'!A3067:I3566,2,FALSE)</f>
        <v>#N/A</v>
      </c>
      <c r="H3075" s="6" t="e">
        <f>VLOOKUP('Customer Info'!A3067,'Customer Info'!A3067:I3567,3,FALSE)</f>
        <v>#N/A</v>
      </c>
      <c r="I3075" s="6" t="e">
        <f>VLOOKUP('Customer Info'!A3067,'Customer Info'!A3067:I3566,5,FALSE)</f>
        <v>#N/A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41</v>
      </c>
      <c r="R3075" s="2" t="s">
        <v>50</v>
      </c>
      <c r="S3075" s="9">
        <f t="shared" si="239"/>
        <v>0.02</v>
      </c>
    </row>
    <row r="3076" spans="1:19" x14ac:dyDescent="0.25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e">
        <f>VLOOKUP('Customer Info'!A3068,'Customer Info'!A3068:I3567,2,FALSE)</f>
        <v>#N/A</v>
      </c>
      <c r="H3076" s="6" t="e">
        <f>VLOOKUP('Customer Info'!A3068,'Customer Info'!A3068:I3568,3,FALSE)</f>
        <v>#N/A</v>
      </c>
      <c r="I3076" s="6" t="e">
        <f>VLOOKUP('Customer Info'!A3068,'Customer Info'!A3068:I3567,5,FALSE)</f>
        <v>#N/A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1736</v>
      </c>
      <c r="R3076" s="2" t="s">
        <v>50</v>
      </c>
      <c r="S3076" s="9">
        <f t="shared" si="239"/>
        <v>7.0000000000000007E-2</v>
      </c>
    </row>
    <row r="3077" spans="1:19" x14ac:dyDescent="0.25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e">
        <f>VLOOKUP('Customer Info'!A3069,'Customer Info'!A3069:I3568,2,FALSE)</f>
        <v>#N/A</v>
      </c>
      <c r="H3077" s="6" t="e">
        <f>VLOOKUP('Customer Info'!A3069,'Customer Info'!A3069:I3569,3,FALSE)</f>
        <v>#N/A</v>
      </c>
      <c r="I3077" s="6" t="e">
        <f>VLOOKUP('Customer Info'!A3069,'Customer Info'!A3069:I3568,5,FALSE)</f>
        <v>#N/A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612</v>
      </c>
      <c r="R3077" s="2" t="s">
        <v>28</v>
      </c>
      <c r="S3077" s="9">
        <f t="shared" si="239"/>
        <v>0.05</v>
      </c>
    </row>
    <row r="3078" spans="1:19" x14ac:dyDescent="0.25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e">
        <f>VLOOKUP('Customer Info'!A3070,'Customer Info'!A3070:I3569,2,FALSE)</f>
        <v>#N/A</v>
      </c>
      <c r="H3078" s="6" t="e">
        <f>VLOOKUP('Customer Info'!A3070,'Customer Info'!A3070:I3570,3,FALSE)</f>
        <v>#N/A</v>
      </c>
      <c r="I3078" s="6" t="e">
        <f>VLOOKUP('Customer Info'!A3070,'Customer Info'!A3070:I3569,5,FALSE)</f>
        <v>#N/A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52</v>
      </c>
      <c r="R3078" s="2" t="s">
        <v>26</v>
      </c>
      <c r="S3078" s="9">
        <f t="shared" si="239"/>
        <v>0.02</v>
      </c>
    </row>
    <row r="3079" spans="1:19" x14ac:dyDescent="0.25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e">
        <f>VLOOKUP('Customer Info'!A3071,'Customer Info'!A3071:I3570,2,FALSE)</f>
        <v>#N/A</v>
      </c>
      <c r="H3079" s="6" t="e">
        <f>VLOOKUP('Customer Info'!A3071,'Customer Info'!A3071:I3571,3,FALSE)</f>
        <v>#N/A</v>
      </c>
      <c r="I3079" s="6" t="e">
        <f>VLOOKUP('Customer Info'!A3071,'Customer Info'!A3071:I3570,5,FALSE)</f>
        <v>#N/A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545</v>
      </c>
      <c r="R3079" s="2" t="s">
        <v>28</v>
      </c>
      <c r="S3079" s="9">
        <f t="shared" si="239"/>
        <v>0.05</v>
      </c>
    </row>
    <row r="3080" spans="1:19" x14ac:dyDescent="0.25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e">
        <f>VLOOKUP('Customer Info'!A3072,'Customer Info'!A3072:I3571,2,FALSE)</f>
        <v>#N/A</v>
      </c>
      <c r="H3080" s="6" t="e">
        <f>VLOOKUP('Customer Info'!A3072,'Customer Info'!A3072:I3572,3,FALSE)</f>
        <v>#N/A</v>
      </c>
      <c r="I3080" s="6" t="e">
        <f>VLOOKUP('Customer Info'!A3072,'Customer Info'!A3072:I3571,5,FALSE)</f>
        <v>#N/A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437</v>
      </c>
      <c r="R3080" s="2" t="s">
        <v>28</v>
      </c>
      <c r="S3080" s="9">
        <f t="shared" si="239"/>
        <v>0.02</v>
      </c>
    </row>
    <row r="3081" spans="1:19" x14ac:dyDescent="0.25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e">
        <f>VLOOKUP('Customer Info'!A3073,'Customer Info'!A3073:I3572,2,FALSE)</f>
        <v>#N/A</v>
      </c>
      <c r="H3081" s="6" t="e">
        <f>VLOOKUP('Customer Info'!A3073,'Customer Info'!A3073:I3573,3,FALSE)</f>
        <v>#N/A</v>
      </c>
      <c r="I3081" s="6" t="e">
        <f>VLOOKUP('Customer Info'!A3073,'Customer Info'!A3073:I3572,5,FALSE)</f>
        <v>#N/A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3859</v>
      </c>
      <c r="R3081" s="2" t="s">
        <v>28</v>
      </c>
      <c r="S3081" s="9">
        <f t="shared" si="239"/>
        <v>7.0000000000000007E-2</v>
      </c>
    </row>
    <row r="3082" spans="1:19" x14ac:dyDescent="0.25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e">
        <f>VLOOKUP('Customer Info'!A3074,'Customer Info'!A3074:I3573,2,FALSE)</f>
        <v>#N/A</v>
      </c>
      <c r="H3082" s="6" t="e">
        <f>VLOOKUP('Customer Info'!A3074,'Customer Info'!A3074:I3574,3,FALSE)</f>
        <v>#N/A</v>
      </c>
      <c r="I3082" s="6" t="e">
        <f>VLOOKUP('Customer Info'!A3074,'Customer Info'!A3074:I3573,5,FALSE)</f>
        <v>#N/A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164</v>
      </c>
      <c r="R3082" s="2" t="s">
        <v>50</v>
      </c>
      <c r="S3082" s="9">
        <f t="shared" si="239"/>
        <v>0.02</v>
      </c>
    </row>
    <row r="3083" spans="1:19" x14ac:dyDescent="0.25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e">
        <f>VLOOKUP('Customer Info'!A3075,'Customer Info'!A3075:I3574,2,FALSE)</f>
        <v>#N/A</v>
      </c>
      <c r="H3083" s="6" t="e">
        <f>VLOOKUP('Customer Info'!A3075,'Customer Info'!A3075:I3575,3,FALSE)</f>
        <v>#N/A</v>
      </c>
      <c r="I3083" s="6" t="e">
        <f>VLOOKUP('Customer Info'!A3075,'Customer Info'!A3075:I3574,5,FALSE)</f>
        <v>#N/A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8">
        <f t="shared" ref="P3083:P3146" si="242">N3083+O3083</f>
        <v>18287</v>
      </c>
      <c r="Q3083" s="8">
        <f t="shared" ref="Q3083:Q3146" si="243">P3083-M3083</f>
        <v>1746</v>
      </c>
      <c r="R3083" s="2" t="s">
        <v>28</v>
      </c>
      <c r="S3083" s="9">
        <f t="shared" ref="S3083:S3146" si="244">VLOOKUP(P3083,$T$2:$U$7,2,TRUE)</f>
        <v>0.05</v>
      </c>
    </row>
    <row r="3084" spans="1:19" x14ac:dyDescent="0.25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e">
        <f>VLOOKUP('Customer Info'!A3076,'Customer Info'!A3076:I3575,2,FALSE)</f>
        <v>#N/A</v>
      </c>
      <c r="H3084" s="6" t="e">
        <f>VLOOKUP('Customer Info'!A3076,'Customer Info'!A3076:I3576,3,FALSE)</f>
        <v>#N/A</v>
      </c>
      <c r="I3084" s="6" t="e">
        <f>VLOOKUP('Customer Info'!A3076,'Customer Info'!A3076:I3575,5,FALSE)</f>
        <v>#N/A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388</v>
      </c>
      <c r="R3084" s="2" t="s">
        <v>28</v>
      </c>
      <c r="S3084" s="9">
        <f t="shared" si="244"/>
        <v>0.02</v>
      </c>
    </row>
    <row r="3085" spans="1:19" x14ac:dyDescent="0.25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e">
        <f>VLOOKUP('Customer Info'!A3077,'Customer Info'!A3077:I3576,2,FALSE)</f>
        <v>#N/A</v>
      </c>
      <c r="H3085" s="6" t="e">
        <f>VLOOKUP('Customer Info'!A3077,'Customer Info'!A3077:I3577,3,FALSE)</f>
        <v>#N/A</v>
      </c>
      <c r="I3085" s="6" t="e">
        <f>VLOOKUP('Customer Info'!A3077,'Customer Info'!A3077:I3576,5,FALSE)</f>
        <v>#N/A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1850</v>
      </c>
      <c r="R3085" s="2" t="s">
        <v>56</v>
      </c>
      <c r="S3085" s="9">
        <f t="shared" si="244"/>
        <v>7.0000000000000007E-2</v>
      </c>
    </row>
    <row r="3086" spans="1:19" x14ac:dyDescent="0.25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e">
        <f>VLOOKUP('Customer Info'!A3078,'Customer Info'!A3078:I3577,2,FALSE)</f>
        <v>#N/A</v>
      </c>
      <c r="H3086" s="6" t="e">
        <f>VLOOKUP('Customer Info'!A3078,'Customer Info'!A3078:I3578,3,FALSE)</f>
        <v>#N/A</v>
      </c>
      <c r="I3086" s="6" t="e">
        <f>VLOOKUP('Customer Info'!A3078,'Customer Info'!A3078:I3577,5,FALSE)</f>
        <v>#N/A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204</v>
      </c>
      <c r="R3086" s="2" t="s">
        <v>28</v>
      </c>
      <c r="S3086" s="9">
        <f t="shared" si="244"/>
        <v>0.02</v>
      </c>
    </row>
    <row r="3087" spans="1:19" x14ac:dyDescent="0.25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e">
        <f>VLOOKUP('Customer Info'!A3079,'Customer Info'!A3079:I3578,2,FALSE)</f>
        <v>#N/A</v>
      </c>
      <c r="H3087" s="6" t="e">
        <f>VLOOKUP('Customer Info'!A3079,'Customer Info'!A3079:I3579,3,FALSE)</f>
        <v>#N/A</v>
      </c>
      <c r="I3087" s="6" t="e">
        <f>VLOOKUP('Customer Info'!A3079,'Customer Info'!A3079:I3578,5,FALSE)</f>
        <v>#N/A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248</v>
      </c>
      <c r="R3087" s="2" t="s">
        <v>28</v>
      </c>
      <c r="S3087" s="9">
        <f t="shared" si="244"/>
        <v>0.02</v>
      </c>
    </row>
    <row r="3088" spans="1:19" x14ac:dyDescent="0.25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e">
        <f>VLOOKUP('Customer Info'!A3080,'Customer Info'!A3080:I3579,2,FALSE)</f>
        <v>#N/A</v>
      </c>
      <c r="H3088" s="6" t="e">
        <f>VLOOKUP('Customer Info'!A3080,'Customer Info'!A3080:I3580,3,FALSE)</f>
        <v>#N/A</v>
      </c>
      <c r="I3088" s="6" t="e">
        <f>VLOOKUP('Customer Info'!A3080,'Customer Info'!A3080:I3579,5,FALSE)</f>
        <v>#N/A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15</v>
      </c>
      <c r="R3088" s="2" t="s">
        <v>28</v>
      </c>
      <c r="S3088" s="9">
        <f t="shared" si="244"/>
        <v>0.02</v>
      </c>
    </row>
    <row r="3089" spans="1:19" x14ac:dyDescent="0.25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e">
        <f>VLOOKUP('Customer Info'!A3081,'Customer Info'!A3081:I3580,2,FALSE)</f>
        <v>#N/A</v>
      </c>
      <c r="H3089" s="6" t="e">
        <f>VLOOKUP('Customer Info'!A3081,'Customer Info'!A3081:I3581,3,FALSE)</f>
        <v>#N/A</v>
      </c>
      <c r="I3089" s="6" t="e">
        <f>VLOOKUP('Customer Info'!A3081,'Customer Info'!A3081:I3580,5,FALSE)</f>
        <v>#N/A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418</v>
      </c>
      <c r="R3089" s="2" t="s">
        <v>56</v>
      </c>
      <c r="S3089" s="9">
        <f t="shared" si="244"/>
        <v>0.05</v>
      </c>
    </row>
    <row r="3090" spans="1:19" x14ac:dyDescent="0.25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e">
        <f>VLOOKUP('Customer Info'!A3082,'Customer Info'!A3082:I3581,2,FALSE)</f>
        <v>#N/A</v>
      </c>
      <c r="H3090" s="6" t="e">
        <f>VLOOKUP('Customer Info'!A3082,'Customer Info'!A3082:I3582,3,FALSE)</f>
        <v>#N/A</v>
      </c>
      <c r="I3090" s="6" t="e">
        <f>VLOOKUP('Customer Info'!A3082,'Customer Info'!A3082:I3581,5,FALSE)</f>
        <v>#N/A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889</v>
      </c>
      <c r="R3090" s="2" t="s">
        <v>50</v>
      </c>
      <c r="S3090" s="9">
        <f t="shared" si="244"/>
        <v>0.05</v>
      </c>
    </row>
    <row r="3091" spans="1:19" x14ac:dyDescent="0.25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e">
        <f>VLOOKUP('Customer Info'!A3083,'Customer Info'!A3083:I3582,2,FALSE)</f>
        <v>#N/A</v>
      </c>
      <c r="H3091" s="6" t="e">
        <f>VLOOKUP('Customer Info'!A3083,'Customer Info'!A3083:I3583,3,FALSE)</f>
        <v>#N/A</v>
      </c>
      <c r="I3091" s="6" t="e">
        <f>VLOOKUP('Customer Info'!A3083,'Customer Info'!A3083:I3582,5,FALSE)</f>
        <v>#N/A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64</v>
      </c>
      <c r="R3091" s="2" t="s">
        <v>28</v>
      </c>
      <c r="S3091" s="9">
        <f t="shared" si="244"/>
        <v>0.02</v>
      </c>
    </row>
    <row r="3092" spans="1:19" x14ac:dyDescent="0.25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e">
        <f>VLOOKUP('Customer Info'!A3084,'Customer Info'!A3084:I3583,2,FALSE)</f>
        <v>#N/A</v>
      </c>
      <c r="H3092" s="6" t="e">
        <f>VLOOKUP('Customer Info'!A3084,'Customer Info'!A3084:I3584,3,FALSE)</f>
        <v>#N/A</v>
      </c>
      <c r="I3092" s="6" t="e">
        <f>VLOOKUP('Customer Info'!A3084,'Customer Info'!A3084:I3583,5,FALSE)</f>
        <v>#N/A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107</v>
      </c>
      <c r="R3092" s="2" t="s">
        <v>50</v>
      </c>
      <c r="S3092" s="9">
        <f t="shared" si="244"/>
        <v>0.02</v>
      </c>
    </row>
    <row r="3093" spans="1:19" x14ac:dyDescent="0.25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e">
        <f>VLOOKUP('Customer Info'!A3085,'Customer Info'!A3085:I3584,2,FALSE)</f>
        <v>#N/A</v>
      </c>
      <c r="H3093" s="6" t="e">
        <f>VLOOKUP('Customer Info'!A3085,'Customer Info'!A3085:I3585,3,FALSE)</f>
        <v>#N/A</v>
      </c>
      <c r="I3093" s="6" t="e">
        <f>VLOOKUP('Customer Info'!A3085,'Customer Info'!A3085:I3584,5,FALSE)</f>
        <v>#N/A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668</v>
      </c>
      <c r="R3093" s="2" t="s">
        <v>50</v>
      </c>
      <c r="S3093" s="9">
        <f t="shared" si="244"/>
        <v>0.05</v>
      </c>
    </row>
    <row r="3094" spans="1:19" x14ac:dyDescent="0.25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e">
        <f>VLOOKUP('Customer Info'!A3086,'Customer Info'!A3086:I3585,2,FALSE)</f>
        <v>#N/A</v>
      </c>
      <c r="H3094" s="6" t="e">
        <f>VLOOKUP('Customer Info'!A3086,'Customer Info'!A3086:I3586,3,FALSE)</f>
        <v>#N/A</v>
      </c>
      <c r="I3094" s="6" t="e">
        <f>VLOOKUP('Customer Info'!A3086,'Customer Info'!A3086:I3585,5,FALSE)</f>
        <v>#N/A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114</v>
      </c>
      <c r="R3094" s="2" t="s">
        <v>28</v>
      </c>
      <c r="S3094" s="9">
        <f t="shared" si="244"/>
        <v>0.02</v>
      </c>
    </row>
    <row r="3095" spans="1:19" x14ac:dyDescent="0.25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e">
        <f>VLOOKUP('Customer Info'!A3087,'Customer Info'!A3087:I3586,2,FALSE)</f>
        <v>#N/A</v>
      </c>
      <c r="H3095" s="6" t="e">
        <f>VLOOKUP('Customer Info'!A3087,'Customer Info'!A3087:I3587,3,FALSE)</f>
        <v>#N/A</v>
      </c>
      <c r="I3095" s="6" t="e">
        <f>VLOOKUP('Customer Info'!A3087,'Customer Info'!A3087:I3586,5,FALSE)</f>
        <v>#N/A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66</v>
      </c>
      <c r="R3095" s="2" t="s">
        <v>50</v>
      </c>
      <c r="S3095" s="9">
        <f t="shared" si="244"/>
        <v>0.02</v>
      </c>
    </row>
    <row r="3096" spans="1:19" x14ac:dyDescent="0.25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e">
        <f>VLOOKUP('Customer Info'!A3088,'Customer Info'!A3088:I3587,2,FALSE)</f>
        <v>#N/A</v>
      </c>
      <c r="H3096" s="6" t="e">
        <f>VLOOKUP('Customer Info'!A3088,'Customer Info'!A3088:I3588,3,FALSE)</f>
        <v>#N/A</v>
      </c>
      <c r="I3096" s="6" t="e">
        <f>VLOOKUP('Customer Info'!A3088,'Customer Info'!A3088:I3587,5,FALSE)</f>
        <v>#N/A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112</v>
      </c>
      <c r="R3096" s="2" t="s">
        <v>28</v>
      </c>
      <c r="S3096" s="9">
        <f t="shared" si="244"/>
        <v>0.02</v>
      </c>
    </row>
    <row r="3097" spans="1:19" x14ac:dyDescent="0.25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e">
        <f>VLOOKUP('Customer Info'!A3089,'Customer Info'!A3089:I3588,2,FALSE)</f>
        <v>#N/A</v>
      </c>
      <c r="H3097" s="6" t="e">
        <f>VLOOKUP('Customer Info'!A3089,'Customer Info'!A3089:I3589,3,FALSE)</f>
        <v>#N/A</v>
      </c>
      <c r="I3097" s="6" t="e">
        <f>VLOOKUP('Customer Info'!A3089,'Customer Info'!A3089:I3588,5,FALSE)</f>
        <v>#N/A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443</v>
      </c>
      <c r="R3097" s="2" t="s">
        <v>28</v>
      </c>
      <c r="S3097" s="9">
        <f t="shared" si="244"/>
        <v>0.05</v>
      </c>
    </row>
    <row r="3098" spans="1:19" x14ac:dyDescent="0.25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e">
        <f>VLOOKUP('Customer Info'!A3090,'Customer Info'!A3090:I3589,2,FALSE)</f>
        <v>#N/A</v>
      </c>
      <c r="H3098" s="6" t="e">
        <f>VLOOKUP('Customer Info'!A3090,'Customer Info'!A3090:I3590,3,FALSE)</f>
        <v>#N/A</v>
      </c>
      <c r="I3098" s="6" t="e">
        <f>VLOOKUP('Customer Info'!A3090,'Customer Info'!A3090:I3589,5,FALSE)</f>
        <v>#N/A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1287</v>
      </c>
      <c r="R3098" s="2" t="s">
        <v>50</v>
      </c>
      <c r="S3098" s="9">
        <f t="shared" si="244"/>
        <v>0.05</v>
      </c>
    </row>
    <row r="3099" spans="1:19" x14ac:dyDescent="0.25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e">
        <f>VLOOKUP('Customer Info'!A3091,'Customer Info'!A3091:I3590,2,FALSE)</f>
        <v>#N/A</v>
      </c>
      <c r="H3099" s="6" t="e">
        <f>VLOOKUP('Customer Info'!A3091,'Customer Info'!A3091:I3591,3,FALSE)</f>
        <v>#N/A</v>
      </c>
      <c r="I3099" s="6" t="e">
        <f>VLOOKUP('Customer Info'!A3091,'Customer Info'!A3091:I3590,5,FALSE)</f>
        <v>#N/A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401</v>
      </c>
      <c r="R3099" s="2" t="s">
        <v>28</v>
      </c>
      <c r="S3099" s="9">
        <f t="shared" si="244"/>
        <v>0.05</v>
      </c>
    </row>
    <row r="3100" spans="1:19" x14ac:dyDescent="0.25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e">
        <f>VLOOKUP('Customer Info'!A3092,'Customer Info'!A3092:I3591,2,FALSE)</f>
        <v>#N/A</v>
      </c>
      <c r="H3100" s="6" t="e">
        <f>VLOOKUP('Customer Info'!A3092,'Customer Info'!A3092:I3592,3,FALSE)</f>
        <v>#N/A</v>
      </c>
      <c r="I3100" s="6" t="e">
        <f>VLOOKUP('Customer Info'!A3092,'Customer Info'!A3092:I3591,5,FALSE)</f>
        <v>#N/A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363</v>
      </c>
      <c r="R3100" s="2" t="s">
        <v>26</v>
      </c>
      <c r="S3100" s="9">
        <f t="shared" si="244"/>
        <v>0.05</v>
      </c>
    </row>
    <row r="3101" spans="1:19" x14ac:dyDescent="0.25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e">
        <f>VLOOKUP('Customer Info'!A3093,'Customer Info'!A3093:I3592,2,FALSE)</f>
        <v>#N/A</v>
      </c>
      <c r="H3101" s="6" t="e">
        <f>VLOOKUP('Customer Info'!A3093,'Customer Info'!A3093:I3593,3,FALSE)</f>
        <v>#N/A</v>
      </c>
      <c r="I3101" s="6" t="e">
        <f>VLOOKUP('Customer Info'!A3093,'Customer Info'!A3093:I3592,5,FALSE)</f>
        <v>#N/A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259</v>
      </c>
      <c r="R3101" s="2" t="s">
        <v>28</v>
      </c>
      <c r="S3101" s="9">
        <f t="shared" si="244"/>
        <v>0.02</v>
      </c>
    </row>
    <row r="3102" spans="1:19" x14ac:dyDescent="0.25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e">
        <f>VLOOKUP('Customer Info'!A3094,'Customer Info'!A3094:I3593,2,FALSE)</f>
        <v>#N/A</v>
      </c>
      <c r="H3102" s="6" t="e">
        <f>VLOOKUP('Customer Info'!A3094,'Customer Info'!A3094:I3594,3,FALSE)</f>
        <v>#N/A</v>
      </c>
      <c r="I3102" s="6" t="e">
        <f>VLOOKUP('Customer Info'!A3094,'Customer Info'!A3094:I3593,5,FALSE)</f>
        <v>#N/A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105</v>
      </c>
      <c r="R3102" s="2" t="s">
        <v>28</v>
      </c>
      <c r="S3102" s="9">
        <f t="shared" si="244"/>
        <v>0.02</v>
      </c>
    </row>
    <row r="3103" spans="1:19" x14ac:dyDescent="0.25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e">
        <f>VLOOKUP('Customer Info'!A3095,'Customer Info'!A3095:I3594,2,FALSE)</f>
        <v>#N/A</v>
      </c>
      <c r="H3103" s="6" t="e">
        <f>VLOOKUP('Customer Info'!A3095,'Customer Info'!A3095:I3595,3,FALSE)</f>
        <v>#N/A</v>
      </c>
      <c r="I3103" s="6" t="e">
        <f>VLOOKUP('Customer Info'!A3095,'Customer Info'!A3095:I3594,5,FALSE)</f>
        <v>#N/A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906</v>
      </c>
      <c r="R3103" s="2" t="s">
        <v>28</v>
      </c>
      <c r="S3103" s="9">
        <f t="shared" si="244"/>
        <v>0.05</v>
      </c>
    </row>
    <row r="3104" spans="1:19" x14ac:dyDescent="0.25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e">
        <f>VLOOKUP('Customer Info'!A3096,'Customer Info'!A3096:I3595,2,FALSE)</f>
        <v>#N/A</v>
      </c>
      <c r="H3104" s="6" t="e">
        <f>VLOOKUP('Customer Info'!A3096,'Customer Info'!A3096:I3596,3,FALSE)</f>
        <v>#N/A</v>
      </c>
      <c r="I3104" s="6" t="e">
        <f>VLOOKUP('Customer Info'!A3096,'Customer Info'!A3096:I3595,5,FALSE)</f>
        <v>#N/A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357</v>
      </c>
      <c r="R3104" s="2" t="s">
        <v>26</v>
      </c>
      <c r="S3104" s="9">
        <f t="shared" si="244"/>
        <v>0.02</v>
      </c>
    </row>
    <row r="3105" spans="1:19" x14ac:dyDescent="0.25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e">
        <f>VLOOKUP('Customer Info'!A3097,'Customer Info'!A3097:I3596,2,FALSE)</f>
        <v>#N/A</v>
      </c>
      <c r="H3105" s="6" t="e">
        <f>VLOOKUP('Customer Info'!A3097,'Customer Info'!A3097:I3597,3,FALSE)</f>
        <v>#N/A</v>
      </c>
      <c r="I3105" s="6" t="e">
        <f>VLOOKUP('Customer Info'!A3097,'Customer Info'!A3097:I3596,5,FALSE)</f>
        <v>#N/A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210</v>
      </c>
      <c r="R3105" s="2" t="s">
        <v>50</v>
      </c>
      <c r="S3105" s="9">
        <f t="shared" si="244"/>
        <v>0.02</v>
      </c>
    </row>
    <row r="3106" spans="1:19" x14ac:dyDescent="0.25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e">
        <f>VLOOKUP('Customer Info'!A3098,'Customer Info'!A3098:I3597,2,FALSE)</f>
        <v>#N/A</v>
      </c>
      <c r="H3106" s="6" t="e">
        <f>VLOOKUP('Customer Info'!A3098,'Customer Info'!A3098:I3598,3,FALSE)</f>
        <v>#N/A</v>
      </c>
      <c r="I3106" s="6" t="e">
        <f>VLOOKUP('Customer Info'!A3098,'Customer Info'!A3098:I3597,5,FALSE)</f>
        <v>#N/A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48</v>
      </c>
      <c r="R3106" s="2" t="s">
        <v>50</v>
      </c>
      <c r="S3106" s="9">
        <f t="shared" si="244"/>
        <v>0.02</v>
      </c>
    </row>
    <row r="3107" spans="1:19" x14ac:dyDescent="0.25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e">
        <f>VLOOKUP('Customer Info'!A3099,'Customer Info'!A3099:I3598,2,FALSE)</f>
        <v>#N/A</v>
      </c>
      <c r="H3107" s="6" t="e">
        <f>VLOOKUP('Customer Info'!A3099,'Customer Info'!A3099:I3599,3,FALSE)</f>
        <v>#N/A</v>
      </c>
      <c r="I3107" s="6" t="e">
        <f>VLOOKUP('Customer Info'!A3099,'Customer Info'!A3099:I3598,5,FALSE)</f>
        <v>#N/A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363</v>
      </c>
      <c r="R3107" s="2" t="s">
        <v>28</v>
      </c>
      <c r="S3107" s="9">
        <f t="shared" si="244"/>
        <v>0.02</v>
      </c>
    </row>
    <row r="3108" spans="1:19" x14ac:dyDescent="0.25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e">
        <f>VLOOKUP('Customer Info'!A3100,'Customer Info'!A3100:I3599,2,FALSE)</f>
        <v>#N/A</v>
      </c>
      <c r="H3108" s="6" t="e">
        <f>VLOOKUP('Customer Info'!A3100,'Customer Info'!A3100:I3600,3,FALSE)</f>
        <v>#N/A</v>
      </c>
      <c r="I3108" s="6" t="e">
        <f>VLOOKUP('Customer Info'!A3100,'Customer Info'!A3100:I3599,5,FALSE)</f>
        <v>#N/A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120</v>
      </c>
      <c r="R3108" s="2" t="s">
        <v>28</v>
      </c>
      <c r="S3108" s="9">
        <f t="shared" si="244"/>
        <v>0.02</v>
      </c>
    </row>
    <row r="3109" spans="1:19" x14ac:dyDescent="0.25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e">
        <f>VLOOKUP('Customer Info'!A3101,'Customer Info'!A3101:I3600,2,FALSE)</f>
        <v>#N/A</v>
      </c>
      <c r="H3109" s="6" t="e">
        <f>VLOOKUP('Customer Info'!A3101,'Customer Info'!A3101:I3601,3,FALSE)</f>
        <v>#N/A</v>
      </c>
      <c r="I3109" s="6" t="e">
        <f>VLOOKUP('Customer Info'!A3101,'Customer Info'!A3101:I3600,5,FALSE)</f>
        <v>#N/A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549</v>
      </c>
      <c r="R3109" s="2" t="s">
        <v>50</v>
      </c>
      <c r="S3109" s="9">
        <f t="shared" si="244"/>
        <v>0.05</v>
      </c>
    </row>
    <row r="3110" spans="1:19" x14ac:dyDescent="0.25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e">
        <f>VLOOKUP('Customer Info'!A3102,'Customer Info'!A3102:I3601,2,FALSE)</f>
        <v>#N/A</v>
      </c>
      <c r="H3110" s="6" t="e">
        <f>VLOOKUP('Customer Info'!A3102,'Customer Info'!A3102:I3602,3,FALSE)</f>
        <v>#N/A</v>
      </c>
      <c r="I3110" s="6" t="e">
        <f>VLOOKUP('Customer Info'!A3102,'Customer Info'!A3102:I3601,5,FALSE)</f>
        <v>#N/A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2161</v>
      </c>
      <c r="R3110" s="2" t="s">
        <v>50</v>
      </c>
      <c r="S3110" s="9">
        <f t="shared" si="244"/>
        <v>7.0000000000000007E-2</v>
      </c>
    </row>
    <row r="3111" spans="1:19" x14ac:dyDescent="0.25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e">
        <f>VLOOKUP('Customer Info'!A3103,'Customer Info'!A3103:I3602,2,FALSE)</f>
        <v>#N/A</v>
      </c>
      <c r="H3111" s="6" t="e">
        <f>VLOOKUP('Customer Info'!A3103,'Customer Info'!A3103:I3603,3,FALSE)</f>
        <v>#N/A</v>
      </c>
      <c r="I3111" s="6" t="e">
        <f>VLOOKUP('Customer Info'!A3103,'Customer Info'!A3103:I3602,5,FALSE)</f>
        <v>#N/A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752</v>
      </c>
      <c r="R3111" s="2" t="s">
        <v>28</v>
      </c>
      <c r="S3111" s="9">
        <f t="shared" si="244"/>
        <v>0.05</v>
      </c>
    </row>
    <row r="3112" spans="1:19" x14ac:dyDescent="0.25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e">
        <f>VLOOKUP('Customer Info'!A3104,'Customer Info'!A3104:I3603,2,FALSE)</f>
        <v>#N/A</v>
      </c>
      <c r="H3112" s="6" t="e">
        <f>VLOOKUP('Customer Info'!A3104,'Customer Info'!A3104:I3604,3,FALSE)</f>
        <v>#N/A</v>
      </c>
      <c r="I3112" s="6" t="e">
        <f>VLOOKUP('Customer Info'!A3104,'Customer Info'!A3104:I3603,5,FALSE)</f>
        <v>#N/A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138</v>
      </c>
      <c r="R3112" s="2" t="s">
        <v>28</v>
      </c>
      <c r="S3112" s="9">
        <f t="shared" si="244"/>
        <v>0.02</v>
      </c>
    </row>
    <row r="3113" spans="1:19" x14ac:dyDescent="0.25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e">
        <f>VLOOKUP('Customer Info'!A3105,'Customer Info'!A3105:I3604,2,FALSE)</f>
        <v>#N/A</v>
      </c>
      <c r="H3113" s="6" t="e">
        <f>VLOOKUP('Customer Info'!A3105,'Customer Info'!A3105:I3605,3,FALSE)</f>
        <v>#N/A</v>
      </c>
      <c r="I3113" s="6" t="e">
        <f>VLOOKUP('Customer Info'!A3105,'Customer Info'!A3105:I3604,5,FALSE)</f>
        <v>#N/A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281</v>
      </c>
      <c r="R3113" s="2" t="s">
        <v>28</v>
      </c>
      <c r="S3113" s="9">
        <f t="shared" si="244"/>
        <v>0.02</v>
      </c>
    </row>
    <row r="3114" spans="1:19" x14ac:dyDescent="0.25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e">
        <f>VLOOKUP('Customer Info'!A3106,'Customer Info'!A3106:I3605,2,FALSE)</f>
        <v>#N/A</v>
      </c>
      <c r="H3114" s="6" t="e">
        <f>VLOOKUP('Customer Info'!A3106,'Customer Info'!A3106:I3606,3,FALSE)</f>
        <v>#N/A</v>
      </c>
      <c r="I3114" s="6" t="e">
        <f>VLOOKUP('Customer Info'!A3106,'Customer Info'!A3106:I3605,5,FALSE)</f>
        <v>#N/A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292</v>
      </c>
      <c r="R3114" s="2" t="s">
        <v>28</v>
      </c>
      <c r="S3114" s="9">
        <f t="shared" si="244"/>
        <v>0.05</v>
      </c>
    </row>
    <row r="3115" spans="1:19" x14ac:dyDescent="0.25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e">
        <f>VLOOKUP('Customer Info'!A3107,'Customer Info'!A3107:I3606,2,FALSE)</f>
        <v>#N/A</v>
      </c>
      <c r="H3115" s="6" t="e">
        <f>VLOOKUP('Customer Info'!A3107,'Customer Info'!A3107:I3607,3,FALSE)</f>
        <v>#N/A</v>
      </c>
      <c r="I3115" s="6" t="e">
        <f>VLOOKUP('Customer Info'!A3107,'Customer Info'!A3107:I3606,5,FALSE)</f>
        <v>#N/A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873</v>
      </c>
      <c r="R3115" s="2" t="s">
        <v>50</v>
      </c>
      <c r="S3115" s="9">
        <f t="shared" si="244"/>
        <v>0.05</v>
      </c>
    </row>
    <row r="3116" spans="1:19" x14ac:dyDescent="0.25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e">
        <f>VLOOKUP('Customer Info'!A3108,'Customer Info'!A3108:I3607,2,FALSE)</f>
        <v>#N/A</v>
      </c>
      <c r="H3116" s="6" t="e">
        <f>VLOOKUP('Customer Info'!A3108,'Customer Info'!A3108:I3608,3,FALSE)</f>
        <v>#N/A</v>
      </c>
      <c r="I3116" s="6" t="e">
        <f>VLOOKUP('Customer Info'!A3108,'Customer Info'!A3108:I3607,5,FALSE)</f>
        <v>#N/A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125</v>
      </c>
      <c r="R3116" s="2" t="s">
        <v>28</v>
      </c>
      <c r="S3116" s="9">
        <f t="shared" si="244"/>
        <v>0.02</v>
      </c>
    </row>
    <row r="3117" spans="1:19" x14ac:dyDescent="0.25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e">
        <f>VLOOKUP('Customer Info'!A3109,'Customer Info'!A3109:I3608,2,FALSE)</f>
        <v>#N/A</v>
      </c>
      <c r="H3117" s="6" t="e">
        <f>VLOOKUP('Customer Info'!A3109,'Customer Info'!A3109:I3609,3,FALSE)</f>
        <v>#N/A</v>
      </c>
      <c r="I3117" s="6" t="e">
        <f>VLOOKUP('Customer Info'!A3109,'Customer Info'!A3109:I3608,5,FALSE)</f>
        <v>#N/A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216</v>
      </c>
      <c r="R3117" s="2" t="s">
        <v>28</v>
      </c>
      <c r="S3117" s="9">
        <f t="shared" si="244"/>
        <v>0.02</v>
      </c>
    </row>
    <row r="3118" spans="1:19" x14ac:dyDescent="0.25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e">
        <f>VLOOKUP('Customer Info'!A3110,'Customer Info'!A3110:I3609,2,FALSE)</f>
        <v>#N/A</v>
      </c>
      <c r="H3118" s="6" t="e">
        <f>VLOOKUP('Customer Info'!A3110,'Customer Info'!A3110:I3610,3,FALSE)</f>
        <v>#N/A</v>
      </c>
      <c r="I3118" s="6" t="e">
        <f>VLOOKUP('Customer Info'!A3110,'Customer Info'!A3110:I3609,5,FALSE)</f>
        <v>#N/A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16</v>
      </c>
      <c r="R3118" s="2" t="s">
        <v>50</v>
      </c>
      <c r="S3118" s="9">
        <f t="shared" si="244"/>
        <v>0.02</v>
      </c>
    </row>
    <row r="3119" spans="1:19" x14ac:dyDescent="0.25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e">
        <f>VLOOKUP('Customer Info'!A3111,'Customer Info'!A3111:I3610,2,FALSE)</f>
        <v>#N/A</v>
      </c>
      <c r="H3119" s="6" t="e">
        <f>VLOOKUP('Customer Info'!A3111,'Customer Info'!A3111:I3611,3,FALSE)</f>
        <v>#N/A</v>
      </c>
      <c r="I3119" s="6" t="e">
        <f>VLOOKUP('Customer Info'!A3111,'Customer Info'!A3111:I3610,5,FALSE)</f>
        <v>#N/A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629</v>
      </c>
      <c r="R3119" s="2" t="s">
        <v>50</v>
      </c>
      <c r="S3119" s="9">
        <f t="shared" si="244"/>
        <v>0.05</v>
      </c>
    </row>
    <row r="3120" spans="1:19" x14ac:dyDescent="0.25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e">
        <f>VLOOKUP('Customer Info'!A3112,'Customer Info'!A3112:I3611,2,FALSE)</f>
        <v>#N/A</v>
      </c>
      <c r="H3120" s="6" t="e">
        <f>VLOOKUP('Customer Info'!A3112,'Customer Info'!A3112:I3612,3,FALSE)</f>
        <v>#N/A</v>
      </c>
      <c r="I3120" s="6" t="e">
        <f>VLOOKUP('Customer Info'!A3112,'Customer Info'!A3112:I3611,5,FALSE)</f>
        <v>#N/A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15</v>
      </c>
      <c r="R3120" s="2" t="s">
        <v>28</v>
      </c>
      <c r="S3120" s="9">
        <f t="shared" si="244"/>
        <v>0.02</v>
      </c>
    </row>
    <row r="3121" spans="1:19" x14ac:dyDescent="0.25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e">
        <f>VLOOKUP('Customer Info'!A3113,'Customer Info'!A3113:I3612,2,FALSE)</f>
        <v>#N/A</v>
      </c>
      <c r="H3121" s="6" t="e">
        <f>VLOOKUP('Customer Info'!A3113,'Customer Info'!A3113:I3613,3,FALSE)</f>
        <v>#N/A</v>
      </c>
      <c r="I3121" s="6" t="e">
        <f>VLOOKUP('Customer Info'!A3113,'Customer Info'!A3113:I3612,5,FALSE)</f>
        <v>#N/A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81</v>
      </c>
      <c r="R3121" s="2" t="s">
        <v>28</v>
      </c>
      <c r="S3121" s="9">
        <f t="shared" si="244"/>
        <v>0.02</v>
      </c>
    </row>
    <row r="3122" spans="1:19" x14ac:dyDescent="0.25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e">
        <f>VLOOKUP('Customer Info'!A3114,'Customer Info'!A3114:I3613,2,FALSE)</f>
        <v>#N/A</v>
      </c>
      <c r="H3122" s="6" t="e">
        <f>VLOOKUP('Customer Info'!A3114,'Customer Info'!A3114:I3614,3,FALSE)</f>
        <v>#N/A</v>
      </c>
      <c r="I3122" s="6" t="e">
        <f>VLOOKUP('Customer Info'!A3114,'Customer Info'!A3114:I3613,5,FALSE)</f>
        <v>#N/A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16256</v>
      </c>
      <c r="R3122" s="2" t="s">
        <v>26</v>
      </c>
      <c r="S3122" s="9">
        <f t="shared" si="244"/>
        <v>0.15</v>
      </c>
    </row>
    <row r="3123" spans="1:19" x14ac:dyDescent="0.25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e">
        <f>VLOOKUP('Customer Info'!A3115,'Customer Info'!A3115:I3614,2,FALSE)</f>
        <v>#N/A</v>
      </c>
      <c r="H3123" s="6" t="e">
        <f>VLOOKUP('Customer Info'!A3115,'Customer Info'!A3115:I3615,3,FALSE)</f>
        <v>#N/A</v>
      </c>
      <c r="I3123" s="6" t="e">
        <f>VLOOKUP('Customer Info'!A3115,'Customer Info'!A3115:I3614,5,FALSE)</f>
        <v>#N/A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555</v>
      </c>
      <c r="R3123" s="2" t="s">
        <v>28</v>
      </c>
      <c r="S3123" s="9">
        <f t="shared" si="244"/>
        <v>0.05</v>
      </c>
    </row>
    <row r="3124" spans="1:19" x14ac:dyDescent="0.25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e">
        <f>VLOOKUP('Customer Info'!A3116,'Customer Info'!A3116:I3615,2,FALSE)</f>
        <v>#N/A</v>
      </c>
      <c r="H3124" s="6" t="e">
        <f>VLOOKUP('Customer Info'!A3116,'Customer Info'!A3116:I3616,3,FALSE)</f>
        <v>#N/A</v>
      </c>
      <c r="I3124" s="6" t="e">
        <f>VLOOKUP('Customer Info'!A3116,'Customer Info'!A3116:I3615,5,FALSE)</f>
        <v>#N/A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527</v>
      </c>
      <c r="R3124" s="2" t="s">
        <v>26</v>
      </c>
      <c r="S3124" s="9">
        <f t="shared" si="244"/>
        <v>0.05</v>
      </c>
    </row>
    <row r="3125" spans="1:19" x14ac:dyDescent="0.25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e">
        <f>VLOOKUP('Customer Info'!A3117,'Customer Info'!A3117:I3616,2,FALSE)</f>
        <v>#N/A</v>
      </c>
      <c r="H3125" s="6" t="e">
        <f>VLOOKUP('Customer Info'!A3117,'Customer Info'!A3117:I3617,3,FALSE)</f>
        <v>#N/A</v>
      </c>
      <c r="I3125" s="6" t="e">
        <f>VLOOKUP('Customer Info'!A3117,'Customer Info'!A3117:I3616,5,FALSE)</f>
        <v>#N/A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713</v>
      </c>
      <c r="R3125" s="2" t="s">
        <v>50</v>
      </c>
      <c r="S3125" s="9">
        <f t="shared" si="244"/>
        <v>0.05</v>
      </c>
    </row>
    <row r="3126" spans="1:19" x14ac:dyDescent="0.25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e">
        <f>VLOOKUP('Customer Info'!A3118,'Customer Info'!A3118:I3617,2,FALSE)</f>
        <v>#N/A</v>
      </c>
      <c r="H3126" s="6" t="e">
        <f>VLOOKUP('Customer Info'!A3118,'Customer Info'!A3118:I3618,3,FALSE)</f>
        <v>#N/A</v>
      </c>
      <c r="I3126" s="6" t="e">
        <f>VLOOKUP('Customer Info'!A3118,'Customer Info'!A3118:I3617,5,FALSE)</f>
        <v>#N/A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34</v>
      </c>
      <c r="R3126" s="2" t="s">
        <v>50</v>
      </c>
      <c r="S3126" s="9">
        <f t="shared" si="244"/>
        <v>0.02</v>
      </c>
    </row>
    <row r="3127" spans="1:19" x14ac:dyDescent="0.25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e">
        <f>VLOOKUP('Customer Info'!A3119,'Customer Info'!A3119:I3618,2,FALSE)</f>
        <v>#N/A</v>
      </c>
      <c r="H3127" s="6" t="e">
        <f>VLOOKUP('Customer Info'!A3119,'Customer Info'!A3119:I3619,3,FALSE)</f>
        <v>#N/A</v>
      </c>
      <c r="I3127" s="6" t="e">
        <f>VLOOKUP('Customer Info'!A3119,'Customer Info'!A3119:I3618,5,FALSE)</f>
        <v>#N/A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2610</v>
      </c>
      <c r="R3127" s="2" t="s">
        <v>28</v>
      </c>
      <c r="S3127" s="9">
        <f t="shared" si="244"/>
        <v>7.0000000000000007E-2</v>
      </c>
    </row>
    <row r="3128" spans="1:19" x14ac:dyDescent="0.25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e">
        <f>VLOOKUP('Customer Info'!A3120,'Customer Info'!A3120:I3619,2,FALSE)</f>
        <v>#N/A</v>
      </c>
      <c r="H3128" s="6" t="e">
        <f>VLOOKUP('Customer Info'!A3120,'Customer Info'!A3120:I3620,3,FALSE)</f>
        <v>#N/A</v>
      </c>
      <c r="I3128" s="6" t="e">
        <f>VLOOKUP('Customer Info'!A3120,'Customer Info'!A3120:I3619,5,FALSE)</f>
        <v>#N/A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324</v>
      </c>
      <c r="R3128" s="2" t="s">
        <v>28</v>
      </c>
      <c r="S3128" s="9">
        <f t="shared" si="244"/>
        <v>0.05</v>
      </c>
    </row>
    <row r="3129" spans="1:19" x14ac:dyDescent="0.25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e">
        <f>VLOOKUP('Customer Info'!A3121,'Customer Info'!A3121:I3620,2,FALSE)</f>
        <v>#N/A</v>
      </c>
      <c r="H3129" s="6" t="e">
        <f>VLOOKUP('Customer Info'!A3121,'Customer Info'!A3121:I3621,3,FALSE)</f>
        <v>#N/A</v>
      </c>
      <c r="I3129" s="6" t="e">
        <f>VLOOKUP('Customer Info'!A3121,'Customer Info'!A3121:I3620,5,FALSE)</f>
        <v>#N/A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769</v>
      </c>
      <c r="R3129" s="2" t="s">
        <v>28</v>
      </c>
      <c r="S3129" s="9">
        <f t="shared" si="244"/>
        <v>0.05</v>
      </c>
    </row>
    <row r="3130" spans="1:19" x14ac:dyDescent="0.25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e">
        <f>VLOOKUP('Customer Info'!A3122,'Customer Info'!A3122:I3621,2,FALSE)</f>
        <v>#N/A</v>
      </c>
      <c r="H3130" s="6" t="e">
        <f>VLOOKUP('Customer Info'!A3122,'Customer Info'!A3122:I3622,3,FALSE)</f>
        <v>#N/A</v>
      </c>
      <c r="I3130" s="6" t="e">
        <f>VLOOKUP('Customer Info'!A3122,'Customer Info'!A3122:I3621,5,FALSE)</f>
        <v>#N/A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14</v>
      </c>
      <c r="R3130" s="2" t="s">
        <v>28</v>
      </c>
      <c r="S3130" s="9">
        <f t="shared" si="244"/>
        <v>0.02</v>
      </c>
    </row>
    <row r="3131" spans="1:19" x14ac:dyDescent="0.25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e">
        <f>VLOOKUP('Customer Info'!A3123,'Customer Info'!A3123:I3622,2,FALSE)</f>
        <v>#N/A</v>
      </c>
      <c r="H3131" s="6" t="e">
        <f>VLOOKUP('Customer Info'!A3123,'Customer Info'!A3123:I3623,3,FALSE)</f>
        <v>#N/A</v>
      </c>
      <c r="I3131" s="6" t="e">
        <f>VLOOKUP('Customer Info'!A3123,'Customer Info'!A3123:I3622,5,FALSE)</f>
        <v>#N/A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204</v>
      </c>
      <c r="R3131" s="2" t="s">
        <v>50</v>
      </c>
      <c r="S3131" s="9">
        <f t="shared" si="244"/>
        <v>0.02</v>
      </c>
    </row>
    <row r="3132" spans="1:19" x14ac:dyDescent="0.25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e">
        <f>VLOOKUP('Customer Info'!A3124,'Customer Info'!A3124:I3623,2,FALSE)</f>
        <v>#N/A</v>
      </c>
      <c r="H3132" s="6" t="e">
        <f>VLOOKUP('Customer Info'!A3124,'Customer Info'!A3124:I3624,3,FALSE)</f>
        <v>#N/A</v>
      </c>
      <c r="I3132" s="6" t="e">
        <f>VLOOKUP('Customer Info'!A3124,'Customer Info'!A3124:I3623,5,FALSE)</f>
        <v>#N/A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217</v>
      </c>
      <c r="R3132" s="2" t="s">
        <v>56</v>
      </c>
      <c r="S3132" s="9">
        <f t="shared" si="244"/>
        <v>0.02</v>
      </c>
    </row>
    <row r="3133" spans="1:19" x14ac:dyDescent="0.25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e">
        <f>VLOOKUP('Customer Info'!A3125,'Customer Info'!A3125:I3624,2,FALSE)</f>
        <v>#N/A</v>
      </c>
      <c r="H3133" s="6" t="e">
        <f>VLOOKUP('Customer Info'!A3125,'Customer Info'!A3125:I3625,3,FALSE)</f>
        <v>#N/A</v>
      </c>
      <c r="I3133" s="6" t="e">
        <f>VLOOKUP('Customer Info'!A3125,'Customer Info'!A3125:I3624,5,FALSE)</f>
        <v>#N/A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5676</v>
      </c>
      <c r="R3133" s="2" t="s">
        <v>26</v>
      </c>
      <c r="S3133" s="9">
        <f t="shared" si="244"/>
        <v>0.09</v>
      </c>
    </row>
    <row r="3134" spans="1:19" x14ac:dyDescent="0.25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e">
        <f>VLOOKUP('Customer Info'!A3126,'Customer Info'!A3126:I3625,2,FALSE)</f>
        <v>#N/A</v>
      </c>
      <c r="H3134" s="6" t="e">
        <f>VLOOKUP('Customer Info'!A3126,'Customer Info'!A3126:I3626,3,FALSE)</f>
        <v>#N/A</v>
      </c>
      <c r="I3134" s="6" t="e">
        <f>VLOOKUP('Customer Info'!A3126,'Customer Info'!A3126:I3625,5,FALSE)</f>
        <v>#N/A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208</v>
      </c>
      <c r="R3134" s="2" t="s">
        <v>50</v>
      </c>
      <c r="S3134" s="9">
        <f t="shared" si="244"/>
        <v>0.02</v>
      </c>
    </row>
    <row r="3135" spans="1:19" x14ac:dyDescent="0.25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e">
        <f>VLOOKUP('Customer Info'!A3127,'Customer Info'!A3127:I3626,2,FALSE)</f>
        <v>#N/A</v>
      </c>
      <c r="H3135" s="6" t="e">
        <f>VLOOKUP('Customer Info'!A3127,'Customer Info'!A3127:I3627,3,FALSE)</f>
        <v>#N/A</v>
      </c>
      <c r="I3135" s="6" t="e">
        <f>VLOOKUP('Customer Info'!A3127,'Customer Info'!A3127:I3626,5,FALSE)</f>
        <v>#N/A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1048</v>
      </c>
      <c r="R3135" s="2" t="s">
        <v>50</v>
      </c>
      <c r="S3135" s="9">
        <f t="shared" si="244"/>
        <v>0.05</v>
      </c>
    </row>
    <row r="3136" spans="1:19" x14ac:dyDescent="0.25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e">
        <f>VLOOKUP('Customer Info'!A3128,'Customer Info'!A3128:I3627,2,FALSE)</f>
        <v>#N/A</v>
      </c>
      <c r="H3136" s="6" t="e">
        <f>VLOOKUP('Customer Info'!A3128,'Customer Info'!A3128:I3628,3,FALSE)</f>
        <v>#N/A</v>
      </c>
      <c r="I3136" s="6" t="e">
        <f>VLOOKUP('Customer Info'!A3128,'Customer Info'!A3128:I3627,5,FALSE)</f>
        <v>#N/A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348</v>
      </c>
      <c r="R3136" s="2" t="s">
        <v>28</v>
      </c>
      <c r="S3136" s="9">
        <f t="shared" si="244"/>
        <v>0.02</v>
      </c>
    </row>
    <row r="3137" spans="1:19" x14ac:dyDescent="0.25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e">
        <f>VLOOKUP('Customer Info'!A3129,'Customer Info'!A3129:I3628,2,FALSE)</f>
        <v>#N/A</v>
      </c>
      <c r="H3137" s="6" t="e">
        <f>VLOOKUP('Customer Info'!A3129,'Customer Info'!A3129:I3629,3,FALSE)</f>
        <v>#N/A</v>
      </c>
      <c r="I3137" s="6" t="e">
        <f>VLOOKUP('Customer Info'!A3129,'Customer Info'!A3129:I3628,5,FALSE)</f>
        <v>#N/A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748</v>
      </c>
      <c r="R3137" s="2" t="s">
        <v>50</v>
      </c>
      <c r="S3137" s="9">
        <f t="shared" si="244"/>
        <v>0.05</v>
      </c>
    </row>
    <row r="3138" spans="1:19" x14ac:dyDescent="0.25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e">
        <f>VLOOKUP('Customer Info'!A3130,'Customer Info'!A3130:I3629,2,FALSE)</f>
        <v>#N/A</v>
      </c>
      <c r="H3138" s="6" t="e">
        <f>VLOOKUP('Customer Info'!A3130,'Customer Info'!A3130:I3630,3,FALSE)</f>
        <v>#N/A</v>
      </c>
      <c r="I3138" s="6" t="e">
        <f>VLOOKUP('Customer Info'!A3130,'Customer Info'!A3130:I3629,5,FALSE)</f>
        <v>#N/A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288</v>
      </c>
      <c r="R3138" s="2" t="s">
        <v>50</v>
      </c>
      <c r="S3138" s="9">
        <f t="shared" si="244"/>
        <v>0.02</v>
      </c>
    </row>
    <row r="3139" spans="1:19" x14ac:dyDescent="0.25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e">
        <f>VLOOKUP('Customer Info'!A3131,'Customer Info'!A3131:I3630,2,FALSE)</f>
        <v>#N/A</v>
      </c>
      <c r="H3139" s="6" t="e">
        <f>VLOOKUP('Customer Info'!A3131,'Customer Info'!A3131:I3631,3,FALSE)</f>
        <v>#N/A</v>
      </c>
      <c r="I3139" s="6" t="e">
        <f>VLOOKUP('Customer Info'!A3131,'Customer Info'!A3131:I3630,5,FALSE)</f>
        <v>#N/A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354</v>
      </c>
      <c r="R3139" s="2" t="s">
        <v>28</v>
      </c>
      <c r="S3139" s="9">
        <f t="shared" si="244"/>
        <v>0.02</v>
      </c>
    </row>
    <row r="3140" spans="1:19" x14ac:dyDescent="0.25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e">
        <f>VLOOKUP('Customer Info'!A3132,'Customer Info'!A3132:I3631,2,FALSE)</f>
        <v>#N/A</v>
      </c>
      <c r="H3140" s="6" t="e">
        <f>VLOOKUP('Customer Info'!A3132,'Customer Info'!A3132:I3632,3,FALSE)</f>
        <v>#N/A</v>
      </c>
      <c r="I3140" s="6" t="e">
        <f>VLOOKUP('Customer Info'!A3132,'Customer Info'!A3132:I3631,5,FALSE)</f>
        <v>#N/A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566</v>
      </c>
      <c r="R3140" s="2" t="s">
        <v>50</v>
      </c>
      <c r="S3140" s="9">
        <f t="shared" si="244"/>
        <v>0.02</v>
      </c>
    </row>
    <row r="3141" spans="1:19" x14ac:dyDescent="0.25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e">
        <f>VLOOKUP('Customer Info'!A3133,'Customer Info'!A3133:I3632,2,FALSE)</f>
        <v>#N/A</v>
      </c>
      <c r="H3141" s="6" t="e">
        <f>VLOOKUP('Customer Info'!A3133,'Customer Info'!A3133:I3633,3,FALSE)</f>
        <v>#N/A</v>
      </c>
      <c r="I3141" s="6" t="e">
        <f>VLOOKUP('Customer Info'!A3133,'Customer Info'!A3133:I3632,5,FALSE)</f>
        <v>#N/A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236</v>
      </c>
      <c r="R3141" s="2" t="s">
        <v>50</v>
      </c>
      <c r="S3141" s="9">
        <f t="shared" si="244"/>
        <v>0.02</v>
      </c>
    </row>
    <row r="3142" spans="1:19" x14ac:dyDescent="0.25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e">
        <f>VLOOKUP('Customer Info'!A3134,'Customer Info'!A3134:I3633,2,FALSE)</f>
        <v>#N/A</v>
      </c>
      <c r="H3142" s="6" t="e">
        <f>VLOOKUP('Customer Info'!A3134,'Customer Info'!A3134:I3634,3,FALSE)</f>
        <v>#N/A</v>
      </c>
      <c r="I3142" s="6" t="e">
        <f>VLOOKUP('Customer Info'!A3134,'Customer Info'!A3134:I3633,5,FALSE)</f>
        <v>#N/A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400</v>
      </c>
      <c r="R3142" s="2" t="s">
        <v>50</v>
      </c>
      <c r="S3142" s="9">
        <f t="shared" si="244"/>
        <v>0.05</v>
      </c>
    </row>
    <row r="3143" spans="1:19" x14ac:dyDescent="0.25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e">
        <f>VLOOKUP('Customer Info'!A3135,'Customer Info'!A3135:I3634,2,FALSE)</f>
        <v>#N/A</v>
      </c>
      <c r="H3143" s="6" t="e">
        <f>VLOOKUP('Customer Info'!A3135,'Customer Info'!A3135:I3635,3,FALSE)</f>
        <v>#N/A</v>
      </c>
      <c r="I3143" s="6" t="e">
        <f>VLOOKUP('Customer Info'!A3135,'Customer Info'!A3135:I3634,5,FALSE)</f>
        <v>#N/A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84</v>
      </c>
      <c r="R3143" s="2" t="s">
        <v>28</v>
      </c>
      <c r="S3143" s="9">
        <f t="shared" si="244"/>
        <v>7.0000000000000007E-2</v>
      </c>
    </row>
    <row r="3144" spans="1:19" x14ac:dyDescent="0.25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e">
        <f>VLOOKUP('Customer Info'!A3136,'Customer Info'!A3136:I3635,2,FALSE)</f>
        <v>#N/A</v>
      </c>
      <c r="H3144" s="6" t="e">
        <f>VLOOKUP('Customer Info'!A3136,'Customer Info'!A3136:I3636,3,FALSE)</f>
        <v>#N/A</v>
      </c>
      <c r="I3144" s="6" t="e">
        <f>VLOOKUP('Customer Info'!A3136,'Customer Info'!A3136:I3635,5,FALSE)</f>
        <v>#N/A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735</v>
      </c>
      <c r="R3144" s="2" t="s">
        <v>50</v>
      </c>
      <c r="S3144" s="9">
        <f t="shared" si="244"/>
        <v>0.05</v>
      </c>
    </row>
    <row r="3145" spans="1:19" x14ac:dyDescent="0.25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e">
        <f>VLOOKUP('Customer Info'!A3137,'Customer Info'!A3137:I3636,2,FALSE)</f>
        <v>#N/A</v>
      </c>
      <c r="H3145" s="6" t="e">
        <f>VLOOKUP('Customer Info'!A3137,'Customer Info'!A3137:I3637,3,FALSE)</f>
        <v>#N/A</v>
      </c>
      <c r="I3145" s="6" t="e">
        <f>VLOOKUP('Customer Info'!A3137,'Customer Info'!A3137:I3636,5,FALSE)</f>
        <v>#N/A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1807</v>
      </c>
      <c r="R3145" s="2" t="s">
        <v>28</v>
      </c>
      <c r="S3145" s="9">
        <f t="shared" si="244"/>
        <v>0.05</v>
      </c>
    </row>
    <row r="3146" spans="1:19" x14ac:dyDescent="0.25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e">
        <f>VLOOKUP('Customer Info'!A3138,'Customer Info'!A3138:I3637,2,FALSE)</f>
        <v>#N/A</v>
      </c>
      <c r="H3146" s="6" t="e">
        <f>VLOOKUP('Customer Info'!A3138,'Customer Info'!A3138:I3638,3,FALSE)</f>
        <v>#N/A</v>
      </c>
      <c r="I3146" s="6" t="e">
        <f>VLOOKUP('Customer Info'!A3138,'Customer Info'!A3138:I3637,5,FALSE)</f>
        <v>#N/A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935</v>
      </c>
      <c r="R3146" s="2" t="s">
        <v>50</v>
      </c>
      <c r="S3146" s="9">
        <f t="shared" si="244"/>
        <v>0.05</v>
      </c>
    </row>
    <row r="3147" spans="1:19" x14ac:dyDescent="0.25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e">
        <f>VLOOKUP('Customer Info'!A3139,'Customer Info'!A3139:I3638,2,FALSE)</f>
        <v>#N/A</v>
      </c>
      <c r="H3147" s="6" t="e">
        <f>VLOOKUP('Customer Info'!A3139,'Customer Info'!A3139:I3639,3,FALSE)</f>
        <v>#N/A</v>
      </c>
      <c r="I3147" s="6" t="e">
        <f>VLOOKUP('Customer Info'!A3139,'Customer Info'!A3139:I3638,5,FALSE)</f>
        <v>#N/A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8">
        <f t="shared" ref="P3147:P3210" si="247">N3147+O3147</f>
        <v>713</v>
      </c>
      <c r="Q3147" s="8">
        <f t="shared" ref="Q3147:Q3210" si="248">P3147-M3147</f>
        <v>83</v>
      </c>
      <c r="R3147" s="2" t="s">
        <v>26</v>
      </c>
      <c r="S3147" s="9">
        <f t="shared" ref="S3147:S3210" si="249">VLOOKUP(P3147,$T$2:$U$7,2,TRUE)</f>
        <v>0.02</v>
      </c>
    </row>
    <row r="3148" spans="1:19" x14ac:dyDescent="0.25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e">
        <f>VLOOKUP('Customer Info'!A3140,'Customer Info'!A3140:I3639,2,FALSE)</f>
        <v>#N/A</v>
      </c>
      <c r="H3148" s="6" t="e">
        <f>VLOOKUP('Customer Info'!A3140,'Customer Info'!A3140:I3640,3,FALSE)</f>
        <v>#N/A</v>
      </c>
      <c r="I3148" s="6" t="e">
        <f>VLOOKUP('Customer Info'!A3140,'Customer Info'!A3140:I3639,5,FALSE)</f>
        <v>#N/A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46</v>
      </c>
      <c r="R3148" s="2" t="s">
        <v>28</v>
      </c>
      <c r="S3148" s="9">
        <f t="shared" si="249"/>
        <v>0.02</v>
      </c>
    </row>
    <row r="3149" spans="1:19" x14ac:dyDescent="0.25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e">
        <f>VLOOKUP('Customer Info'!A3141,'Customer Info'!A3141:I3640,2,FALSE)</f>
        <v>#N/A</v>
      </c>
      <c r="H3149" s="6" t="e">
        <f>VLOOKUP('Customer Info'!A3141,'Customer Info'!A3141:I3641,3,FALSE)</f>
        <v>#N/A</v>
      </c>
      <c r="I3149" s="6" t="e">
        <f>VLOOKUP('Customer Info'!A3141,'Customer Info'!A3141:I3640,5,FALSE)</f>
        <v>#N/A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247</v>
      </c>
      <c r="R3149" s="2" t="s">
        <v>26</v>
      </c>
      <c r="S3149" s="9">
        <f t="shared" si="249"/>
        <v>0.02</v>
      </c>
    </row>
    <row r="3150" spans="1:19" x14ac:dyDescent="0.25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e">
        <f>VLOOKUP('Customer Info'!A3142,'Customer Info'!A3142:I3641,2,FALSE)</f>
        <v>#N/A</v>
      </c>
      <c r="H3150" s="6" t="e">
        <f>VLOOKUP('Customer Info'!A3142,'Customer Info'!A3142:I3642,3,FALSE)</f>
        <v>#N/A</v>
      </c>
      <c r="I3150" s="6" t="e">
        <f>VLOOKUP('Customer Info'!A3142,'Customer Info'!A3142:I3641,5,FALSE)</f>
        <v>#N/A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45</v>
      </c>
      <c r="R3150" s="2" t="s">
        <v>28</v>
      </c>
      <c r="S3150" s="9">
        <f t="shared" si="249"/>
        <v>0.02</v>
      </c>
    </row>
    <row r="3151" spans="1:19" x14ac:dyDescent="0.25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e">
        <f>VLOOKUP('Customer Info'!A3143,'Customer Info'!A3143:I3642,2,FALSE)</f>
        <v>#N/A</v>
      </c>
      <c r="H3151" s="6" t="e">
        <f>VLOOKUP('Customer Info'!A3143,'Customer Info'!A3143:I3643,3,FALSE)</f>
        <v>#N/A</v>
      </c>
      <c r="I3151" s="6" t="e">
        <f>VLOOKUP('Customer Info'!A3143,'Customer Info'!A3143:I3642,5,FALSE)</f>
        <v>#N/A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293</v>
      </c>
      <c r="R3151" s="2" t="s">
        <v>28</v>
      </c>
      <c r="S3151" s="9">
        <f t="shared" si="249"/>
        <v>0.02</v>
      </c>
    </row>
    <row r="3152" spans="1:19" x14ac:dyDescent="0.25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e">
        <f>VLOOKUP('Customer Info'!A3144,'Customer Info'!A3144:I3643,2,FALSE)</f>
        <v>#N/A</v>
      </c>
      <c r="H3152" s="6" t="e">
        <f>VLOOKUP('Customer Info'!A3144,'Customer Info'!A3144:I3644,3,FALSE)</f>
        <v>#N/A</v>
      </c>
      <c r="I3152" s="6" t="e">
        <f>VLOOKUP('Customer Info'!A3144,'Customer Info'!A3144:I3643,5,FALSE)</f>
        <v>#N/A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149</v>
      </c>
      <c r="R3152" s="2" t="s">
        <v>28</v>
      </c>
      <c r="S3152" s="9">
        <f t="shared" si="249"/>
        <v>0.02</v>
      </c>
    </row>
    <row r="3153" spans="1:19" x14ac:dyDescent="0.25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e">
        <f>VLOOKUP('Customer Info'!A3145,'Customer Info'!A3145:I3644,2,FALSE)</f>
        <v>#N/A</v>
      </c>
      <c r="H3153" s="6" t="e">
        <f>VLOOKUP('Customer Info'!A3145,'Customer Info'!A3145:I3645,3,FALSE)</f>
        <v>#N/A</v>
      </c>
      <c r="I3153" s="6" t="e">
        <f>VLOOKUP('Customer Info'!A3145,'Customer Info'!A3145:I3644,5,FALSE)</f>
        <v>#N/A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1533</v>
      </c>
      <c r="R3153" s="2" t="s">
        <v>28</v>
      </c>
      <c r="S3153" s="9">
        <f t="shared" si="249"/>
        <v>0.05</v>
      </c>
    </row>
    <row r="3154" spans="1:19" x14ac:dyDescent="0.25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e">
        <f>VLOOKUP('Customer Info'!A3146,'Customer Info'!A3146:I3645,2,FALSE)</f>
        <v>#N/A</v>
      </c>
      <c r="H3154" s="6" t="e">
        <f>VLOOKUP('Customer Info'!A3146,'Customer Info'!A3146:I3646,3,FALSE)</f>
        <v>#N/A</v>
      </c>
      <c r="I3154" s="6" t="e">
        <f>VLOOKUP('Customer Info'!A3146,'Customer Info'!A3146:I3645,5,FALSE)</f>
        <v>#N/A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176</v>
      </c>
      <c r="R3154" s="2" t="s">
        <v>26</v>
      </c>
      <c r="S3154" s="9">
        <f t="shared" si="249"/>
        <v>0.02</v>
      </c>
    </row>
    <row r="3155" spans="1:19" x14ac:dyDescent="0.25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e">
        <f>VLOOKUP('Customer Info'!A3147,'Customer Info'!A3147:I3646,2,FALSE)</f>
        <v>#N/A</v>
      </c>
      <c r="H3155" s="6" t="e">
        <f>VLOOKUP('Customer Info'!A3147,'Customer Info'!A3147:I3647,3,FALSE)</f>
        <v>#N/A</v>
      </c>
      <c r="I3155" s="6" t="e">
        <f>VLOOKUP('Customer Info'!A3147,'Customer Info'!A3147:I3646,5,FALSE)</f>
        <v>#N/A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137</v>
      </c>
      <c r="R3155" s="2" t="s">
        <v>50</v>
      </c>
      <c r="S3155" s="9">
        <f t="shared" si="249"/>
        <v>0.02</v>
      </c>
    </row>
    <row r="3156" spans="1:19" x14ac:dyDescent="0.25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e">
        <f>VLOOKUP('Customer Info'!A3148,'Customer Info'!A3148:I3647,2,FALSE)</f>
        <v>#N/A</v>
      </c>
      <c r="H3156" s="6" t="e">
        <f>VLOOKUP('Customer Info'!A3148,'Customer Info'!A3148:I3648,3,FALSE)</f>
        <v>#N/A</v>
      </c>
      <c r="I3156" s="6" t="e">
        <f>VLOOKUP('Customer Info'!A3148,'Customer Info'!A3148:I3647,5,FALSE)</f>
        <v>#N/A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598</v>
      </c>
      <c r="R3156" s="2" t="s">
        <v>28</v>
      </c>
      <c r="S3156" s="9">
        <f t="shared" si="249"/>
        <v>0.02</v>
      </c>
    </row>
    <row r="3157" spans="1:19" x14ac:dyDescent="0.25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e">
        <f>VLOOKUP('Customer Info'!A3149,'Customer Info'!A3149:I3648,2,FALSE)</f>
        <v>#N/A</v>
      </c>
      <c r="H3157" s="6" t="e">
        <f>VLOOKUP('Customer Info'!A3149,'Customer Info'!A3149:I3649,3,FALSE)</f>
        <v>#N/A</v>
      </c>
      <c r="I3157" s="6" t="e">
        <f>VLOOKUP('Customer Info'!A3149,'Customer Info'!A3149:I3648,5,FALSE)</f>
        <v>#N/A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1401</v>
      </c>
      <c r="R3157" s="2" t="s">
        <v>50</v>
      </c>
      <c r="S3157" s="9">
        <f t="shared" si="249"/>
        <v>0.05</v>
      </c>
    </row>
    <row r="3158" spans="1:19" x14ac:dyDescent="0.25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e">
        <f>VLOOKUP('Customer Info'!A3150,'Customer Info'!A3150:I3649,2,FALSE)</f>
        <v>#N/A</v>
      </c>
      <c r="H3158" s="6" t="e">
        <f>VLOOKUP('Customer Info'!A3150,'Customer Info'!A3150:I3650,3,FALSE)</f>
        <v>#N/A</v>
      </c>
      <c r="I3158" s="6" t="e">
        <f>VLOOKUP('Customer Info'!A3150,'Customer Info'!A3150:I3649,5,FALSE)</f>
        <v>#N/A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280</v>
      </c>
      <c r="R3158" s="2" t="s">
        <v>28</v>
      </c>
      <c r="S3158" s="9">
        <f t="shared" si="249"/>
        <v>0.05</v>
      </c>
    </row>
    <row r="3159" spans="1:19" x14ac:dyDescent="0.25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e">
        <f>VLOOKUP('Customer Info'!A3151,'Customer Info'!A3151:I3650,2,FALSE)</f>
        <v>#N/A</v>
      </c>
      <c r="H3159" s="6" t="e">
        <f>VLOOKUP('Customer Info'!A3151,'Customer Info'!A3151:I3651,3,FALSE)</f>
        <v>#N/A</v>
      </c>
      <c r="I3159" s="6" t="e">
        <f>VLOOKUP('Customer Info'!A3151,'Customer Info'!A3151:I3650,5,FALSE)</f>
        <v>#N/A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86</v>
      </c>
      <c r="R3159" s="2" t="s">
        <v>28</v>
      </c>
      <c r="S3159" s="9">
        <f t="shared" si="249"/>
        <v>0.02</v>
      </c>
    </row>
    <row r="3160" spans="1:19" x14ac:dyDescent="0.25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e">
        <f>VLOOKUP('Customer Info'!A3152,'Customer Info'!A3152:I3651,2,FALSE)</f>
        <v>#N/A</v>
      </c>
      <c r="H3160" s="6" t="e">
        <f>VLOOKUP('Customer Info'!A3152,'Customer Info'!A3152:I3652,3,FALSE)</f>
        <v>#N/A</v>
      </c>
      <c r="I3160" s="6" t="e">
        <f>VLOOKUP('Customer Info'!A3152,'Customer Info'!A3152:I3651,5,FALSE)</f>
        <v>#N/A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64</v>
      </c>
      <c r="R3160" s="2" t="s">
        <v>26</v>
      </c>
      <c r="S3160" s="9">
        <f t="shared" si="249"/>
        <v>0.02</v>
      </c>
    </row>
    <row r="3161" spans="1:19" x14ac:dyDescent="0.25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e">
        <f>VLOOKUP('Customer Info'!A3153,'Customer Info'!A3153:I3652,2,FALSE)</f>
        <v>#N/A</v>
      </c>
      <c r="H3161" s="6" t="e">
        <f>VLOOKUP('Customer Info'!A3153,'Customer Info'!A3153:I3653,3,FALSE)</f>
        <v>#N/A</v>
      </c>
      <c r="I3161" s="6" t="e">
        <f>VLOOKUP('Customer Info'!A3153,'Customer Info'!A3153:I3652,5,FALSE)</f>
        <v>#N/A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732</v>
      </c>
      <c r="R3161" s="2" t="s">
        <v>50</v>
      </c>
      <c r="S3161" s="9">
        <f t="shared" si="249"/>
        <v>0.05</v>
      </c>
    </row>
    <row r="3162" spans="1:19" x14ac:dyDescent="0.25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e">
        <f>VLOOKUP('Customer Info'!A3154,'Customer Info'!A3154:I3653,2,FALSE)</f>
        <v>#N/A</v>
      </c>
      <c r="H3162" s="6" t="e">
        <f>VLOOKUP('Customer Info'!A3154,'Customer Info'!A3154:I3654,3,FALSE)</f>
        <v>#N/A</v>
      </c>
      <c r="I3162" s="6" t="e">
        <f>VLOOKUP('Customer Info'!A3154,'Customer Info'!A3154:I3653,5,FALSE)</f>
        <v>#N/A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113</v>
      </c>
      <c r="R3162" s="2" t="s">
        <v>28</v>
      </c>
      <c r="S3162" s="9">
        <f t="shared" si="249"/>
        <v>0.02</v>
      </c>
    </row>
    <row r="3163" spans="1:19" x14ac:dyDescent="0.25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e">
        <f>VLOOKUP('Customer Info'!A3155,'Customer Info'!A3155:I3654,2,FALSE)</f>
        <v>#N/A</v>
      </c>
      <c r="H3163" s="6" t="e">
        <f>VLOOKUP('Customer Info'!A3155,'Customer Info'!A3155:I3655,3,FALSE)</f>
        <v>#N/A</v>
      </c>
      <c r="I3163" s="6" t="e">
        <f>VLOOKUP('Customer Info'!A3155,'Customer Info'!A3155:I3654,5,FALSE)</f>
        <v>#N/A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479</v>
      </c>
      <c r="R3163" s="2" t="s">
        <v>28</v>
      </c>
      <c r="S3163" s="9">
        <f t="shared" si="249"/>
        <v>0.05</v>
      </c>
    </row>
    <row r="3164" spans="1:19" x14ac:dyDescent="0.25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e">
        <f>VLOOKUP('Customer Info'!A3156,'Customer Info'!A3156:I3655,2,FALSE)</f>
        <v>#N/A</v>
      </c>
      <c r="H3164" s="6" t="e">
        <f>VLOOKUP('Customer Info'!A3156,'Customer Info'!A3156:I3656,3,FALSE)</f>
        <v>#N/A</v>
      </c>
      <c r="I3164" s="6" t="e">
        <f>VLOOKUP('Customer Info'!A3156,'Customer Info'!A3156:I3655,5,FALSE)</f>
        <v>#N/A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4236</v>
      </c>
      <c r="R3164" s="2" t="s">
        <v>28</v>
      </c>
      <c r="S3164" s="9">
        <f t="shared" si="249"/>
        <v>7.0000000000000007E-2</v>
      </c>
    </row>
    <row r="3165" spans="1:19" x14ac:dyDescent="0.25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e">
        <f>VLOOKUP('Customer Info'!A3157,'Customer Info'!A3157:I3656,2,FALSE)</f>
        <v>#N/A</v>
      </c>
      <c r="H3165" s="6" t="e">
        <f>VLOOKUP('Customer Info'!A3157,'Customer Info'!A3157:I3657,3,FALSE)</f>
        <v>#N/A</v>
      </c>
      <c r="I3165" s="6" t="e">
        <f>VLOOKUP('Customer Info'!A3157,'Customer Info'!A3157:I3656,5,FALSE)</f>
        <v>#N/A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143</v>
      </c>
      <c r="R3165" s="2" t="s">
        <v>50</v>
      </c>
      <c r="S3165" s="9">
        <f t="shared" si="249"/>
        <v>0.02</v>
      </c>
    </row>
    <row r="3166" spans="1:19" x14ac:dyDescent="0.25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e">
        <f>VLOOKUP('Customer Info'!A3158,'Customer Info'!A3158:I3657,2,FALSE)</f>
        <v>#N/A</v>
      </c>
      <c r="H3166" s="6" t="e">
        <f>VLOOKUP('Customer Info'!A3158,'Customer Info'!A3158:I3658,3,FALSE)</f>
        <v>#N/A</v>
      </c>
      <c r="I3166" s="6" t="e">
        <f>VLOOKUP('Customer Info'!A3158,'Customer Info'!A3158:I3657,5,FALSE)</f>
        <v>#N/A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205</v>
      </c>
      <c r="R3166" s="2" t="s">
        <v>28</v>
      </c>
      <c r="S3166" s="9">
        <f t="shared" si="249"/>
        <v>0.02</v>
      </c>
    </row>
    <row r="3167" spans="1:19" x14ac:dyDescent="0.25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e">
        <f>VLOOKUP('Customer Info'!A3159,'Customer Info'!A3159:I3658,2,FALSE)</f>
        <v>#N/A</v>
      </c>
      <c r="H3167" s="6" t="e">
        <f>VLOOKUP('Customer Info'!A3159,'Customer Info'!A3159:I3659,3,FALSE)</f>
        <v>#N/A</v>
      </c>
      <c r="I3167" s="6" t="e">
        <f>VLOOKUP('Customer Info'!A3159,'Customer Info'!A3159:I3658,5,FALSE)</f>
        <v>#N/A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16254</v>
      </c>
      <c r="R3167" s="2" t="s">
        <v>50</v>
      </c>
      <c r="S3167" s="9">
        <f t="shared" si="249"/>
        <v>0.15</v>
      </c>
    </row>
    <row r="3168" spans="1:19" x14ac:dyDescent="0.25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e">
        <f>VLOOKUP('Customer Info'!A3160,'Customer Info'!A3160:I3659,2,FALSE)</f>
        <v>#N/A</v>
      </c>
      <c r="H3168" s="6" t="e">
        <f>VLOOKUP('Customer Info'!A3160,'Customer Info'!A3160:I3660,3,FALSE)</f>
        <v>#N/A</v>
      </c>
      <c r="I3168" s="6" t="e">
        <f>VLOOKUP('Customer Info'!A3160,'Customer Info'!A3160:I3659,5,FALSE)</f>
        <v>#N/A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199</v>
      </c>
      <c r="R3168" s="2" t="s">
        <v>28</v>
      </c>
      <c r="S3168" s="9">
        <f t="shared" si="249"/>
        <v>0.05</v>
      </c>
    </row>
    <row r="3169" spans="1:19" x14ac:dyDescent="0.25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e">
        <f>VLOOKUP('Customer Info'!A3161,'Customer Info'!A3161:I3660,2,FALSE)</f>
        <v>#N/A</v>
      </c>
      <c r="H3169" s="6" t="e">
        <f>VLOOKUP('Customer Info'!A3161,'Customer Info'!A3161:I3661,3,FALSE)</f>
        <v>#N/A</v>
      </c>
      <c r="I3169" s="6" t="e">
        <f>VLOOKUP('Customer Info'!A3161,'Customer Info'!A3161:I3660,5,FALSE)</f>
        <v>#N/A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3246</v>
      </c>
      <c r="R3169" s="2" t="s">
        <v>50</v>
      </c>
      <c r="S3169" s="9">
        <f t="shared" si="249"/>
        <v>7.0000000000000007E-2</v>
      </c>
    </row>
    <row r="3170" spans="1:19" x14ac:dyDescent="0.25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e">
        <f>VLOOKUP('Customer Info'!A3162,'Customer Info'!A3162:I3661,2,FALSE)</f>
        <v>#N/A</v>
      </c>
      <c r="H3170" s="6" t="e">
        <f>VLOOKUP('Customer Info'!A3162,'Customer Info'!A3162:I3662,3,FALSE)</f>
        <v>#N/A</v>
      </c>
      <c r="I3170" s="6" t="e">
        <f>VLOOKUP('Customer Info'!A3162,'Customer Info'!A3162:I3661,5,FALSE)</f>
        <v>#N/A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162</v>
      </c>
      <c r="R3170" s="2" t="s">
        <v>28</v>
      </c>
      <c r="S3170" s="9">
        <f t="shared" si="249"/>
        <v>0.02</v>
      </c>
    </row>
    <row r="3171" spans="1:19" x14ac:dyDescent="0.25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e">
        <f>VLOOKUP('Customer Info'!A3163,'Customer Info'!A3163:I3662,2,FALSE)</f>
        <v>#N/A</v>
      </c>
      <c r="H3171" s="6" t="e">
        <f>VLOOKUP('Customer Info'!A3163,'Customer Info'!A3163:I3663,3,FALSE)</f>
        <v>#N/A</v>
      </c>
      <c r="I3171" s="6" t="e">
        <f>VLOOKUP('Customer Info'!A3163,'Customer Info'!A3163:I3662,5,FALSE)</f>
        <v>#N/A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505</v>
      </c>
      <c r="R3171" s="2" t="s">
        <v>28</v>
      </c>
      <c r="S3171" s="9">
        <f t="shared" si="249"/>
        <v>0.05</v>
      </c>
    </row>
    <row r="3172" spans="1:19" x14ac:dyDescent="0.25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e">
        <f>VLOOKUP('Customer Info'!A3164,'Customer Info'!A3164:I3663,2,FALSE)</f>
        <v>#N/A</v>
      </c>
      <c r="H3172" s="6" t="e">
        <f>VLOOKUP('Customer Info'!A3164,'Customer Info'!A3164:I3664,3,FALSE)</f>
        <v>#N/A</v>
      </c>
      <c r="I3172" s="6" t="e">
        <f>VLOOKUP('Customer Info'!A3164,'Customer Info'!A3164:I3663,5,FALSE)</f>
        <v>#N/A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315</v>
      </c>
      <c r="R3172" s="2" t="s">
        <v>50</v>
      </c>
      <c r="S3172" s="9">
        <f t="shared" si="249"/>
        <v>0.02</v>
      </c>
    </row>
    <row r="3173" spans="1:19" x14ac:dyDescent="0.25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e">
        <f>VLOOKUP('Customer Info'!A3165,'Customer Info'!A3165:I3664,2,FALSE)</f>
        <v>#N/A</v>
      </c>
      <c r="H3173" s="6" t="e">
        <f>VLOOKUP('Customer Info'!A3165,'Customer Info'!A3165:I3665,3,FALSE)</f>
        <v>#N/A</v>
      </c>
      <c r="I3173" s="6" t="e">
        <f>VLOOKUP('Customer Info'!A3165,'Customer Info'!A3165:I3664,5,FALSE)</f>
        <v>#N/A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106</v>
      </c>
      <c r="R3173" s="2" t="s">
        <v>28</v>
      </c>
      <c r="S3173" s="9">
        <f t="shared" si="249"/>
        <v>0.02</v>
      </c>
    </row>
    <row r="3174" spans="1:19" x14ac:dyDescent="0.25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e">
        <f>VLOOKUP('Customer Info'!A3166,'Customer Info'!A3166:I3665,2,FALSE)</f>
        <v>#N/A</v>
      </c>
      <c r="H3174" s="6" t="e">
        <f>VLOOKUP('Customer Info'!A3166,'Customer Info'!A3166:I3666,3,FALSE)</f>
        <v>#N/A</v>
      </c>
      <c r="I3174" s="6" t="e">
        <f>VLOOKUP('Customer Info'!A3166,'Customer Info'!A3166:I3665,5,FALSE)</f>
        <v>#N/A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781</v>
      </c>
      <c r="R3174" s="2" t="s">
        <v>50</v>
      </c>
      <c r="S3174" s="9">
        <f t="shared" si="249"/>
        <v>0.05</v>
      </c>
    </row>
    <row r="3175" spans="1:19" x14ac:dyDescent="0.25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e">
        <f>VLOOKUP('Customer Info'!A3167,'Customer Info'!A3167:I3666,2,FALSE)</f>
        <v>#N/A</v>
      </c>
      <c r="H3175" s="6" t="e">
        <f>VLOOKUP('Customer Info'!A3167,'Customer Info'!A3167:I3667,3,FALSE)</f>
        <v>#N/A</v>
      </c>
      <c r="I3175" s="6" t="e">
        <f>VLOOKUP('Customer Info'!A3167,'Customer Info'!A3167:I3666,5,FALSE)</f>
        <v>#N/A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75</v>
      </c>
      <c r="R3175" s="2" t="s">
        <v>50</v>
      </c>
      <c r="S3175" s="9">
        <f t="shared" si="249"/>
        <v>0.02</v>
      </c>
    </row>
    <row r="3176" spans="1:19" x14ac:dyDescent="0.25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e">
        <f>VLOOKUP('Customer Info'!A3168,'Customer Info'!A3168:I3667,2,FALSE)</f>
        <v>#N/A</v>
      </c>
      <c r="H3176" s="6" t="e">
        <f>VLOOKUP('Customer Info'!A3168,'Customer Info'!A3168:I3668,3,FALSE)</f>
        <v>#N/A</v>
      </c>
      <c r="I3176" s="6" t="e">
        <f>VLOOKUP('Customer Info'!A3168,'Customer Info'!A3168:I3667,5,FALSE)</f>
        <v>#N/A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37</v>
      </c>
      <c r="R3176" s="2" t="s">
        <v>56</v>
      </c>
      <c r="S3176" s="9">
        <f t="shared" si="249"/>
        <v>0.02</v>
      </c>
    </row>
    <row r="3177" spans="1:19" x14ac:dyDescent="0.25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e">
        <f>VLOOKUP('Customer Info'!A3169,'Customer Info'!A3169:I3668,2,FALSE)</f>
        <v>#N/A</v>
      </c>
      <c r="H3177" s="6" t="e">
        <f>VLOOKUP('Customer Info'!A3169,'Customer Info'!A3169:I3669,3,FALSE)</f>
        <v>#N/A</v>
      </c>
      <c r="I3177" s="6" t="e">
        <f>VLOOKUP('Customer Info'!A3169,'Customer Info'!A3169:I3668,5,FALSE)</f>
        <v>#N/A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400</v>
      </c>
      <c r="R3177" s="2" t="s">
        <v>50</v>
      </c>
      <c r="S3177" s="9">
        <f t="shared" si="249"/>
        <v>0.02</v>
      </c>
    </row>
    <row r="3178" spans="1:19" x14ac:dyDescent="0.25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e">
        <f>VLOOKUP('Customer Info'!A3170,'Customer Info'!A3170:I3669,2,FALSE)</f>
        <v>#N/A</v>
      </c>
      <c r="H3178" s="6" t="e">
        <f>VLOOKUP('Customer Info'!A3170,'Customer Info'!A3170:I3670,3,FALSE)</f>
        <v>#N/A</v>
      </c>
      <c r="I3178" s="6" t="e">
        <f>VLOOKUP('Customer Info'!A3170,'Customer Info'!A3170:I3669,5,FALSE)</f>
        <v>#N/A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1495</v>
      </c>
      <c r="R3178" s="2" t="s">
        <v>50</v>
      </c>
      <c r="S3178" s="9">
        <f t="shared" si="249"/>
        <v>0.05</v>
      </c>
    </row>
    <row r="3179" spans="1:19" x14ac:dyDescent="0.25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e">
        <f>VLOOKUP('Customer Info'!A3171,'Customer Info'!A3171:I3670,2,FALSE)</f>
        <v>#N/A</v>
      </c>
      <c r="H3179" s="6" t="e">
        <f>VLOOKUP('Customer Info'!A3171,'Customer Info'!A3171:I3671,3,FALSE)</f>
        <v>#N/A</v>
      </c>
      <c r="I3179" s="6" t="e">
        <f>VLOOKUP('Customer Info'!A3171,'Customer Info'!A3171:I3670,5,FALSE)</f>
        <v>#N/A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151</v>
      </c>
      <c r="R3179" s="2" t="s">
        <v>50</v>
      </c>
      <c r="S3179" s="9">
        <f t="shared" si="249"/>
        <v>0.02</v>
      </c>
    </row>
    <row r="3180" spans="1:19" x14ac:dyDescent="0.25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e">
        <f>VLOOKUP('Customer Info'!A3172,'Customer Info'!A3172:I3671,2,FALSE)</f>
        <v>#N/A</v>
      </c>
      <c r="H3180" s="6" t="e">
        <f>VLOOKUP('Customer Info'!A3172,'Customer Info'!A3172:I3672,3,FALSE)</f>
        <v>#N/A</v>
      </c>
      <c r="I3180" s="6" t="e">
        <f>VLOOKUP('Customer Info'!A3172,'Customer Info'!A3172:I3671,5,FALSE)</f>
        <v>#N/A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884</v>
      </c>
      <c r="R3180" s="2" t="s">
        <v>28</v>
      </c>
      <c r="S3180" s="9">
        <f t="shared" si="249"/>
        <v>0.05</v>
      </c>
    </row>
    <row r="3181" spans="1:19" x14ac:dyDescent="0.25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e">
        <f>VLOOKUP('Customer Info'!A3173,'Customer Info'!A3173:I3672,2,FALSE)</f>
        <v>#N/A</v>
      </c>
      <c r="H3181" s="6" t="e">
        <f>VLOOKUP('Customer Info'!A3173,'Customer Info'!A3173:I3673,3,FALSE)</f>
        <v>#N/A</v>
      </c>
      <c r="I3181" s="6" t="e">
        <f>VLOOKUP('Customer Info'!A3173,'Customer Info'!A3173:I3672,5,FALSE)</f>
        <v>#N/A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230</v>
      </c>
      <c r="R3181" s="2" t="s">
        <v>50</v>
      </c>
      <c r="S3181" s="9">
        <f t="shared" si="249"/>
        <v>0.05</v>
      </c>
    </row>
    <row r="3182" spans="1:19" x14ac:dyDescent="0.25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e">
        <f>VLOOKUP('Customer Info'!A3174,'Customer Info'!A3174:I3673,2,FALSE)</f>
        <v>#N/A</v>
      </c>
      <c r="H3182" s="6" t="e">
        <f>VLOOKUP('Customer Info'!A3174,'Customer Info'!A3174:I3674,3,FALSE)</f>
        <v>#N/A</v>
      </c>
      <c r="I3182" s="6" t="e">
        <f>VLOOKUP('Customer Info'!A3174,'Customer Info'!A3174:I3673,5,FALSE)</f>
        <v>#N/A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108</v>
      </c>
      <c r="R3182" s="2" t="s">
        <v>50</v>
      </c>
      <c r="S3182" s="9">
        <f t="shared" si="249"/>
        <v>0.02</v>
      </c>
    </row>
    <row r="3183" spans="1:19" x14ac:dyDescent="0.25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e">
        <f>VLOOKUP('Customer Info'!A3175,'Customer Info'!A3175:I3674,2,FALSE)</f>
        <v>#N/A</v>
      </c>
      <c r="H3183" s="6" t="e">
        <f>VLOOKUP('Customer Info'!A3175,'Customer Info'!A3175:I3675,3,FALSE)</f>
        <v>#N/A</v>
      </c>
      <c r="I3183" s="6" t="e">
        <f>VLOOKUP('Customer Info'!A3175,'Customer Info'!A3175:I3674,5,FALSE)</f>
        <v>#N/A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465</v>
      </c>
      <c r="R3183" s="2" t="s">
        <v>28</v>
      </c>
      <c r="S3183" s="9">
        <f t="shared" si="249"/>
        <v>0.05</v>
      </c>
    </row>
    <row r="3184" spans="1:19" x14ac:dyDescent="0.25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e">
        <f>VLOOKUP('Customer Info'!A3176,'Customer Info'!A3176:I3675,2,FALSE)</f>
        <v>#N/A</v>
      </c>
      <c r="H3184" s="6" t="e">
        <f>VLOOKUP('Customer Info'!A3176,'Customer Info'!A3176:I3676,3,FALSE)</f>
        <v>#N/A</v>
      </c>
      <c r="I3184" s="6" t="e">
        <f>VLOOKUP('Customer Info'!A3176,'Customer Info'!A3176:I3675,5,FALSE)</f>
        <v>#N/A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60</v>
      </c>
      <c r="R3184" s="2" t="s">
        <v>50</v>
      </c>
      <c r="S3184" s="9">
        <f t="shared" si="249"/>
        <v>0.02</v>
      </c>
    </row>
    <row r="3185" spans="1:19" x14ac:dyDescent="0.25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e">
        <f>VLOOKUP('Customer Info'!A3177,'Customer Info'!A3177:I3676,2,FALSE)</f>
        <v>#N/A</v>
      </c>
      <c r="H3185" s="6" t="e">
        <f>VLOOKUP('Customer Info'!A3177,'Customer Info'!A3177:I3677,3,FALSE)</f>
        <v>#N/A</v>
      </c>
      <c r="I3185" s="6" t="e">
        <f>VLOOKUP('Customer Info'!A3177,'Customer Info'!A3177:I3676,5,FALSE)</f>
        <v>#N/A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298</v>
      </c>
      <c r="R3185" s="2" t="s">
        <v>50</v>
      </c>
      <c r="S3185" s="9">
        <f t="shared" si="249"/>
        <v>0.02</v>
      </c>
    </row>
    <row r="3186" spans="1:19" x14ac:dyDescent="0.25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e">
        <f>VLOOKUP('Customer Info'!A3178,'Customer Info'!A3178:I3677,2,FALSE)</f>
        <v>#N/A</v>
      </c>
      <c r="H3186" s="6" t="e">
        <f>VLOOKUP('Customer Info'!A3178,'Customer Info'!A3178:I3678,3,FALSE)</f>
        <v>#N/A</v>
      </c>
      <c r="I3186" s="6" t="e">
        <f>VLOOKUP('Customer Info'!A3178,'Customer Info'!A3178:I3677,5,FALSE)</f>
        <v>#N/A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38</v>
      </c>
      <c r="R3186" s="2" t="s">
        <v>56</v>
      </c>
      <c r="S3186" s="9">
        <f t="shared" si="249"/>
        <v>0.02</v>
      </c>
    </row>
    <row r="3187" spans="1:19" x14ac:dyDescent="0.25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e">
        <f>VLOOKUP('Customer Info'!A3179,'Customer Info'!A3179:I3678,2,FALSE)</f>
        <v>#N/A</v>
      </c>
      <c r="H3187" s="6" t="e">
        <f>VLOOKUP('Customer Info'!A3179,'Customer Info'!A3179:I3679,3,FALSE)</f>
        <v>#N/A</v>
      </c>
      <c r="I3187" s="6" t="e">
        <f>VLOOKUP('Customer Info'!A3179,'Customer Info'!A3179:I3678,5,FALSE)</f>
        <v>#N/A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36</v>
      </c>
      <c r="R3187" s="2" t="s">
        <v>28</v>
      </c>
      <c r="S3187" s="9">
        <f t="shared" si="249"/>
        <v>0.02</v>
      </c>
    </row>
    <row r="3188" spans="1:19" x14ac:dyDescent="0.25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e">
        <f>VLOOKUP('Customer Info'!A3180,'Customer Info'!A3180:I3679,2,FALSE)</f>
        <v>#N/A</v>
      </c>
      <c r="H3188" s="6" t="e">
        <f>VLOOKUP('Customer Info'!A3180,'Customer Info'!A3180:I3680,3,FALSE)</f>
        <v>#N/A</v>
      </c>
      <c r="I3188" s="6" t="e">
        <f>VLOOKUP('Customer Info'!A3180,'Customer Info'!A3180:I3679,5,FALSE)</f>
        <v>#N/A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776</v>
      </c>
      <c r="R3188" s="2" t="s">
        <v>28</v>
      </c>
      <c r="S3188" s="9">
        <f t="shared" si="249"/>
        <v>0.05</v>
      </c>
    </row>
    <row r="3189" spans="1:19" x14ac:dyDescent="0.25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e">
        <f>VLOOKUP('Customer Info'!A3181,'Customer Info'!A3181:I3680,2,FALSE)</f>
        <v>#N/A</v>
      </c>
      <c r="H3189" s="6" t="e">
        <f>VLOOKUP('Customer Info'!A3181,'Customer Info'!A3181:I3681,3,FALSE)</f>
        <v>#N/A</v>
      </c>
      <c r="I3189" s="6" t="e">
        <f>VLOOKUP('Customer Info'!A3181,'Customer Info'!A3181:I3680,5,FALSE)</f>
        <v>#N/A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335</v>
      </c>
      <c r="R3189" s="2" t="s">
        <v>28</v>
      </c>
      <c r="S3189" s="9">
        <f t="shared" si="249"/>
        <v>0.05</v>
      </c>
    </row>
    <row r="3190" spans="1:19" x14ac:dyDescent="0.25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e">
        <f>VLOOKUP('Customer Info'!A3182,'Customer Info'!A3182:I3681,2,FALSE)</f>
        <v>#N/A</v>
      </c>
      <c r="H3190" s="6" t="e">
        <f>VLOOKUP('Customer Info'!A3182,'Customer Info'!A3182:I3682,3,FALSE)</f>
        <v>#N/A</v>
      </c>
      <c r="I3190" s="6" t="e">
        <f>VLOOKUP('Customer Info'!A3182,'Customer Info'!A3182:I3681,5,FALSE)</f>
        <v>#N/A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60</v>
      </c>
      <c r="R3190" s="2" t="s">
        <v>28</v>
      </c>
      <c r="S3190" s="9">
        <f t="shared" si="249"/>
        <v>0.02</v>
      </c>
    </row>
    <row r="3191" spans="1:19" x14ac:dyDescent="0.25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e">
        <f>VLOOKUP('Customer Info'!A3183,'Customer Info'!A3183:I3682,2,FALSE)</f>
        <v>#N/A</v>
      </c>
      <c r="H3191" s="6" t="e">
        <f>VLOOKUP('Customer Info'!A3183,'Customer Info'!A3183:I3683,3,FALSE)</f>
        <v>#N/A</v>
      </c>
      <c r="I3191" s="6" t="e">
        <f>VLOOKUP('Customer Info'!A3183,'Customer Info'!A3183:I3682,5,FALSE)</f>
        <v>#N/A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92</v>
      </c>
      <c r="R3191" s="2" t="s">
        <v>50</v>
      </c>
      <c r="S3191" s="9">
        <f t="shared" si="249"/>
        <v>0.02</v>
      </c>
    </row>
    <row r="3192" spans="1:19" x14ac:dyDescent="0.25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e">
        <f>VLOOKUP('Customer Info'!A3184,'Customer Info'!A3184:I3683,2,FALSE)</f>
        <v>#N/A</v>
      </c>
      <c r="H3192" s="6" t="e">
        <f>VLOOKUP('Customer Info'!A3184,'Customer Info'!A3184:I3684,3,FALSE)</f>
        <v>#N/A</v>
      </c>
      <c r="I3192" s="6" t="e">
        <f>VLOOKUP('Customer Info'!A3184,'Customer Info'!A3184:I3683,5,FALSE)</f>
        <v>#N/A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707</v>
      </c>
      <c r="R3192" s="2" t="s">
        <v>28</v>
      </c>
      <c r="S3192" s="9">
        <f t="shared" si="249"/>
        <v>7.0000000000000007E-2</v>
      </c>
    </row>
    <row r="3193" spans="1:19" x14ac:dyDescent="0.25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e">
        <f>VLOOKUP('Customer Info'!A3185,'Customer Info'!A3185:I3684,2,FALSE)</f>
        <v>#N/A</v>
      </c>
      <c r="H3193" s="6" t="e">
        <f>VLOOKUP('Customer Info'!A3185,'Customer Info'!A3185:I3685,3,FALSE)</f>
        <v>#N/A</v>
      </c>
      <c r="I3193" s="6" t="e">
        <f>VLOOKUP('Customer Info'!A3185,'Customer Info'!A3185:I3684,5,FALSE)</f>
        <v>#N/A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116</v>
      </c>
      <c r="R3193" s="2" t="s">
        <v>28</v>
      </c>
      <c r="S3193" s="9">
        <f t="shared" si="249"/>
        <v>0.02</v>
      </c>
    </row>
    <row r="3194" spans="1:19" x14ac:dyDescent="0.25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e">
        <f>VLOOKUP('Customer Info'!A3186,'Customer Info'!A3186:I3685,2,FALSE)</f>
        <v>#N/A</v>
      </c>
      <c r="H3194" s="6" t="e">
        <f>VLOOKUP('Customer Info'!A3186,'Customer Info'!A3186:I3686,3,FALSE)</f>
        <v>#N/A</v>
      </c>
      <c r="I3194" s="6" t="e">
        <f>VLOOKUP('Customer Info'!A3186,'Customer Info'!A3186:I3685,5,FALSE)</f>
        <v>#N/A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689</v>
      </c>
      <c r="R3194" s="2" t="s">
        <v>50</v>
      </c>
      <c r="S3194" s="9">
        <f t="shared" si="249"/>
        <v>0.02</v>
      </c>
    </row>
    <row r="3195" spans="1:19" x14ac:dyDescent="0.25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e">
        <f>VLOOKUP('Customer Info'!A3187,'Customer Info'!A3187:I3686,2,FALSE)</f>
        <v>#N/A</v>
      </c>
      <c r="H3195" s="6" t="e">
        <f>VLOOKUP('Customer Info'!A3187,'Customer Info'!A3187:I3687,3,FALSE)</f>
        <v>#N/A</v>
      </c>
      <c r="I3195" s="6" t="e">
        <f>VLOOKUP('Customer Info'!A3187,'Customer Info'!A3187:I3686,5,FALSE)</f>
        <v>#N/A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428</v>
      </c>
      <c r="R3195" s="2" t="s">
        <v>56</v>
      </c>
      <c r="S3195" s="9">
        <f t="shared" si="249"/>
        <v>0.02</v>
      </c>
    </row>
    <row r="3196" spans="1:19" x14ac:dyDescent="0.25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e">
        <f>VLOOKUP('Customer Info'!A3188,'Customer Info'!A3188:I3687,2,FALSE)</f>
        <v>#N/A</v>
      </c>
      <c r="H3196" s="6" t="e">
        <f>VLOOKUP('Customer Info'!A3188,'Customer Info'!A3188:I3688,3,FALSE)</f>
        <v>#N/A</v>
      </c>
      <c r="I3196" s="6" t="e">
        <f>VLOOKUP('Customer Info'!A3188,'Customer Info'!A3188:I3687,5,FALSE)</f>
        <v>#N/A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192</v>
      </c>
      <c r="R3196" s="2" t="s">
        <v>26</v>
      </c>
      <c r="S3196" s="9">
        <f t="shared" si="249"/>
        <v>0.02</v>
      </c>
    </row>
    <row r="3197" spans="1:19" x14ac:dyDescent="0.25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e">
        <f>VLOOKUP('Customer Info'!A3189,'Customer Info'!A3189:I3688,2,FALSE)</f>
        <v>#N/A</v>
      </c>
      <c r="H3197" s="6" t="e">
        <f>VLOOKUP('Customer Info'!A3189,'Customer Info'!A3189:I3689,3,FALSE)</f>
        <v>#N/A</v>
      </c>
      <c r="I3197" s="6" t="e">
        <f>VLOOKUP('Customer Info'!A3189,'Customer Info'!A3189:I3688,5,FALSE)</f>
        <v>#N/A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158</v>
      </c>
      <c r="R3197" s="2" t="s">
        <v>50</v>
      </c>
      <c r="S3197" s="9">
        <f t="shared" si="249"/>
        <v>0.02</v>
      </c>
    </row>
    <row r="3198" spans="1:19" x14ac:dyDescent="0.25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e">
        <f>VLOOKUP('Customer Info'!A3190,'Customer Info'!A3190:I3689,2,FALSE)</f>
        <v>#N/A</v>
      </c>
      <c r="H3198" s="6" t="e">
        <f>VLOOKUP('Customer Info'!A3190,'Customer Info'!A3190:I3690,3,FALSE)</f>
        <v>#N/A</v>
      </c>
      <c r="I3198" s="6" t="e">
        <f>VLOOKUP('Customer Info'!A3190,'Customer Info'!A3190:I3689,5,FALSE)</f>
        <v>#N/A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285</v>
      </c>
      <c r="R3198" s="2" t="s">
        <v>26</v>
      </c>
      <c r="S3198" s="9">
        <f t="shared" si="249"/>
        <v>0.02</v>
      </c>
    </row>
    <row r="3199" spans="1:19" x14ac:dyDescent="0.25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e">
        <f>VLOOKUP('Customer Info'!A3191,'Customer Info'!A3191:I3690,2,FALSE)</f>
        <v>#N/A</v>
      </c>
      <c r="H3199" s="6" t="e">
        <f>VLOOKUP('Customer Info'!A3191,'Customer Info'!A3191:I3691,3,FALSE)</f>
        <v>#N/A</v>
      </c>
      <c r="I3199" s="6" t="e">
        <f>VLOOKUP('Customer Info'!A3191,'Customer Info'!A3191:I3690,5,FALSE)</f>
        <v>#N/A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198</v>
      </c>
      <c r="R3199" s="2" t="s">
        <v>28</v>
      </c>
      <c r="S3199" s="9">
        <f t="shared" si="249"/>
        <v>0.05</v>
      </c>
    </row>
    <row r="3200" spans="1:19" x14ac:dyDescent="0.25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e">
        <f>VLOOKUP('Customer Info'!A3192,'Customer Info'!A3192:I3691,2,FALSE)</f>
        <v>#N/A</v>
      </c>
      <c r="H3200" s="6" t="e">
        <f>VLOOKUP('Customer Info'!A3192,'Customer Info'!A3192:I3692,3,FALSE)</f>
        <v>#N/A</v>
      </c>
      <c r="I3200" s="6" t="e">
        <f>VLOOKUP('Customer Info'!A3192,'Customer Info'!A3192:I3691,5,FALSE)</f>
        <v>#N/A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422</v>
      </c>
      <c r="R3200" s="2" t="s">
        <v>26</v>
      </c>
      <c r="S3200" s="9">
        <f t="shared" si="249"/>
        <v>0.02</v>
      </c>
    </row>
    <row r="3201" spans="1:19" x14ac:dyDescent="0.25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e">
        <f>VLOOKUP('Customer Info'!A3193,'Customer Info'!A3193:I3692,2,FALSE)</f>
        <v>#N/A</v>
      </c>
      <c r="H3201" s="6" t="e">
        <f>VLOOKUP('Customer Info'!A3193,'Customer Info'!A3193:I3693,3,FALSE)</f>
        <v>#N/A</v>
      </c>
      <c r="I3201" s="6" t="e">
        <f>VLOOKUP('Customer Info'!A3193,'Customer Info'!A3193:I3692,5,FALSE)</f>
        <v>#N/A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165</v>
      </c>
      <c r="R3201" s="2" t="s">
        <v>50</v>
      </c>
      <c r="S3201" s="9">
        <f t="shared" si="249"/>
        <v>0.02</v>
      </c>
    </row>
    <row r="3202" spans="1:19" x14ac:dyDescent="0.25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e">
        <f>VLOOKUP('Customer Info'!A3194,'Customer Info'!A3194:I3693,2,FALSE)</f>
        <v>#N/A</v>
      </c>
      <c r="H3202" s="6" t="e">
        <f>VLOOKUP('Customer Info'!A3194,'Customer Info'!A3194:I3694,3,FALSE)</f>
        <v>#N/A</v>
      </c>
      <c r="I3202" s="6" t="e">
        <f>VLOOKUP('Customer Info'!A3194,'Customer Info'!A3194:I3693,5,FALSE)</f>
        <v>#N/A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153</v>
      </c>
      <c r="R3202" s="2" t="s">
        <v>28</v>
      </c>
      <c r="S3202" s="9">
        <f t="shared" si="249"/>
        <v>0.02</v>
      </c>
    </row>
    <row r="3203" spans="1:19" x14ac:dyDescent="0.25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e">
        <f>VLOOKUP('Customer Info'!A3195,'Customer Info'!A3195:I3694,2,FALSE)</f>
        <v>#N/A</v>
      </c>
      <c r="H3203" s="6" t="e">
        <f>VLOOKUP('Customer Info'!A3195,'Customer Info'!A3195:I3695,3,FALSE)</f>
        <v>#N/A</v>
      </c>
      <c r="I3203" s="6" t="e">
        <f>VLOOKUP('Customer Info'!A3195,'Customer Info'!A3195:I3694,5,FALSE)</f>
        <v>#N/A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120</v>
      </c>
      <c r="R3203" s="2" t="s">
        <v>28</v>
      </c>
      <c r="S3203" s="9">
        <f t="shared" si="249"/>
        <v>0.02</v>
      </c>
    </row>
    <row r="3204" spans="1:19" x14ac:dyDescent="0.25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e">
        <f>VLOOKUP('Customer Info'!A3196,'Customer Info'!A3196:I3695,2,FALSE)</f>
        <v>#N/A</v>
      </c>
      <c r="H3204" s="6" t="e">
        <f>VLOOKUP('Customer Info'!A3196,'Customer Info'!A3196:I3696,3,FALSE)</f>
        <v>#N/A</v>
      </c>
      <c r="I3204" s="6" t="e">
        <f>VLOOKUP('Customer Info'!A3196,'Customer Info'!A3196:I3695,5,FALSE)</f>
        <v>#N/A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140</v>
      </c>
      <c r="R3204" s="2" t="s">
        <v>28</v>
      </c>
      <c r="S3204" s="9">
        <f t="shared" si="249"/>
        <v>0.02</v>
      </c>
    </row>
    <row r="3205" spans="1:19" x14ac:dyDescent="0.25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e">
        <f>VLOOKUP('Customer Info'!A3197,'Customer Info'!A3197:I3696,2,FALSE)</f>
        <v>#N/A</v>
      </c>
      <c r="H3205" s="6" t="e">
        <f>VLOOKUP('Customer Info'!A3197,'Customer Info'!A3197:I3697,3,FALSE)</f>
        <v>#N/A</v>
      </c>
      <c r="I3205" s="6" t="e">
        <f>VLOOKUP('Customer Info'!A3197,'Customer Info'!A3197:I3696,5,FALSE)</f>
        <v>#N/A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102</v>
      </c>
      <c r="R3205" s="2" t="s">
        <v>28</v>
      </c>
      <c r="S3205" s="9">
        <f t="shared" si="249"/>
        <v>0.02</v>
      </c>
    </row>
    <row r="3206" spans="1:19" x14ac:dyDescent="0.25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e">
        <f>VLOOKUP('Customer Info'!A3198,'Customer Info'!A3198:I3697,2,FALSE)</f>
        <v>#N/A</v>
      </c>
      <c r="H3206" s="6" t="e">
        <f>VLOOKUP('Customer Info'!A3198,'Customer Info'!A3198:I3698,3,FALSE)</f>
        <v>#N/A</v>
      </c>
      <c r="I3206" s="6" t="e">
        <f>VLOOKUP('Customer Info'!A3198,'Customer Info'!A3198:I3697,5,FALSE)</f>
        <v>#N/A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40</v>
      </c>
      <c r="R3206" s="2" t="s">
        <v>26</v>
      </c>
      <c r="S3206" s="9">
        <f t="shared" si="249"/>
        <v>0.02</v>
      </c>
    </row>
    <row r="3207" spans="1:19" x14ac:dyDescent="0.25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e">
        <f>VLOOKUP('Customer Info'!A3199,'Customer Info'!A3199:I3698,2,FALSE)</f>
        <v>#N/A</v>
      </c>
      <c r="H3207" s="6" t="e">
        <f>VLOOKUP('Customer Info'!A3199,'Customer Info'!A3199:I3699,3,FALSE)</f>
        <v>#N/A</v>
      </c>
      <c r="I3207" s="6" t="e">
        <f>VLOOKUP('Customer Info'!A3199,'Customer Info'!A3199:I3698,5,FALSE)</f>
        <v>#N/A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1595</v>
      </c>
      <c r="R3207" s="2" t="s">
        <v>28</v>
      </c>
      <c r="S3207" s="9">
        <f t="shared" si="249"/>
        <v>0.05</v>
      </c>
    </row>
    <row r="3208" spans="1:19" x14ac:dyDescent="0.25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e">
        <f>VLOOKUP('Customer Info'!A3200,'Customer Info'!A3200:I3699,2,FALSE)</f>
        <v>#N/A</v>
      </c>
      <c r="H3208" s="6" t="e">
        <f>VLOOKUP('Customer Info'!A3200,'Customer Info'!A3200:I3700,3,FALSE)</f>
        <v>#N/A</v>
      </c>
      <c r="I3208" s="6" t="e">
        <f>VLOOKUP('Customer Info'!A3200,'Customer Info'!A3200:I3699,5,FALSE)</f>
        <v>#N/A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13149</v>
      </c>
      <c r="R3208" s="2" t="s">
        <v>28</v>
      </c>
      <c r="S3208" s="9">
        <f t="shared" si="249"/>
        <v>0.15</v>
      </c>
    </row>
    <row r="3209" spans="1:19" x14ac:dyDescent="0.25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e">
        <f>VLOOKUP('Customer Info'!A3201,'Customer Info'!A3201:I3700,2,FALSE)</f>
        <v>#N/A</v>
      </c>
      <c r="H3209" s="6" t="e">
        <f>VLOOKUP('Customer Info'!A3201,'Customer Info'!A3201:I3701,3,FALSE)</f>
        <v>#N/A</v>
      </c>
      <c r="I3209" s="6" t="e">
        <f>VLOOKUP('Customer Info'!A3201,'Customer Info'!A3201:I3700,5,FALSE)</f>
        <v>#N/A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160</v>
      </c>
      <c r="R3209" s="2" t="s">
        <v>56</v>
      </c>
      <c r="S3209" s="9">
        <f t="shared" si="249"/>
        <v>0.02</v>
      </c>
    </row>
    <row r="3210" spans="1:19" x14ac:dyDescent="0.25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e">
        <f>VLOOKUP('Customer Info'!A3202,'Customer Info'!A3202:I3701,2,FALSE)</f>
        <v>#N/A</v>
      </c>
      <c r="H3210" s="6" t="e">
        <f>VLOOKUP('Customer Info'!A3202,'Customer Info'!A3202:I3702,3,FALSE)</f>
        <v>#N/A</v>
      </c>
      <c r="I3210" s="6" t="e">
        <f>VLOOKUP('Customer Info'!A3202,'Customer Info'!A3202:I3701,5,FALSE)</f>
        <v>#N/A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576</v>
      </c>
      <c r="R3210" s="2" t="s">
        <v>50</v>
      </c>
      <c r="S3210" s="9">
        <f t="shared" si="249"/>
        <v>0.05</v>
      </c>
    </row>
    <row r="3211" spans="1:19" x14ac:dyDescent="0.25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e">
        <f>VLOOKUP('Customer Info'!A3203,'Customer Info'!A3203:I3702,2,FALSE)</f>
        <v>#N/A</v>
      </c>
      <c r="H3211" s="6" t="e">
        <f>VLOOKUP('Customer Info'!A3203,'Customer Info'!A3203:I3703,3,FALSE)</f>
        <v>#N/A</v>
      </c>
      <c r="I3211" s="6" t="e">
        <f>VLOOKUP('Customer Info'!A3203,'Customer Info'!A3203:I3702,5,FALSE)</f>
        <v>#N/A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8">
        <f t="shared" ref="P3211:P3274" si="252">N3211+O3211</f>
        <v>17851</v>
      </c>
      <c r="Q3211" s="8">
        <f t="shared" ref="Q3211:Q3274" si="253">P3211-M3211</f>
        <v>1535</v>
      </c>
      <c r="R3211" s="2" t="s">
        <v>28</v>
      </c>
      <c r="S3211" s="9">
        <f t="shared" ref="S3211:S3274" si="254">VLOOKUP(P3211,$T$2:$U$7,2,TRUE)</f>
        <v>0.05</v>
      </c>
    </row>
    <row r="3212" spans="1:19" x14ac:dyDescent="0.25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e">
        <f>VLOOKUP('Customer Info'!A3204,'Customer Info'!A3204:I3703,2,FALSE)</f>
        <v>#N/A</v>
      </c>
      <c r="H3212" s="6" t="e">
        <f>VLOOKUP('Customer Info'!A3204,'Customer Info'!A3204:I3704,3,FALSE)</f>
        <v>#N/A</v>
      </c>
      <c r="I3212" s="6" t="e">
        <f>VLOOKUP('Customer Info'!A3204,'Customer Info'!A3204:I3703,5,FALSE)</f>
        <v>#N/A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309</v>
      </c>
      <c r="R3212" s="2" t="s">
        <v>28</v>
      </c>
      <c r="S3212" s="9">
        <f t="shared" si="254"/>
        <v>0.02</v>
      </c>
    </row>
    <row r="3213" spans="1:19" x14ac:dyDescent="0.25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e">
        <f>VLOOKUP('Customer Info'!A3205,'Customer Info'!A3205:I3704,2,FALSE)</f>
        <v>#N/A</v>
      </c>
      <c r="H3213" s="6" t="e">
        <f>VLOOKUP('Customer Info'!A3205,'Customer Info'!A3205:I3705,3,FALSE)</f>
        <v>#N/A</v>
      </c>
      <c r="I3213" s="6" t="e">
        <f>VLOOKUP('Customer Info'!A3205,'Customer Info'!A3205:I3704,5,FALSE)</f>
        <v>#N/A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809</v>
      </c>
      <c r="R3213" s="2" t="s">
        <v>28</v>
      </c>
      <c r="S3213" s="9">
        <f t="shared" si="254"/>
        <v>0.05</v>
      </c>
    </row>
    <row r="3214" spans="1:19" x14ac:dyDescent="0.25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e">
        <f>VLOOKUP('Customer Info'!A3206,'Customer Info'!A3206:I3705,2,FALSE)</f>
        <v>#N/A</v>
      </c>
      <c r="H3214" s="6" t="e">
        <f>VLOOKUP('Customer Info'!A3206,'Customer Info'!A3206:I3706,3,FALSE)</f>
        <v>#N/A</v>
      </c>
      <c r="I3214" s="6" t="e">
        <f>VLOOKUP('Customer Info'!A3206,'Customer Info'!A3206:I3705,5,FALSE)</f>
        <v>#N/A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679</v>
      </c>
      <c r="R3214" s="2" t="s">
        <v>50</v>
      </c>
      <c r="S3214" s="9">
        <f t="shared" si="254"/>
        <v>0.05</v>
      </c>
    </row>
    <row r="3215" spans="1:19" x14ac:dyDescent="0.25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e">
        <f>VLOOKUP('Customer Info'!A3207,'Customer Info'!A3207:I3706,2,FALSE)</f>
        <v>#N/A</v>
      </c>
      <c r="H3215" s="6" t="e">
        <f>VLOOKUP('Customer Info'!A3207,'Customer Info'!A3207:I3707,3,FALSE)</f>
        <v>#N/A</v>
      </c>
      <c r="I3215" s="6" t="e">
        <f>VLOOKUP('Customer Info'!A3207,'Customer Info'!A3207:I3706,5,FALSE)</f>
        <v>#N/A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512</v>
      </c>
      <c r="R3215" s="2" t="s">
        <v>28</v>
      </c>
      <c r="S3215" s="9">
        <f t="shared" si="254"/>
        <v>0.05</v>
      </c>
    </row>
    <row r="3216" spans="1:19" x14ac:dyDescent="0.25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e">
        <f>VLOOKUP('Customer Info'!A3208,'Customer Info'!A3208:I3707,2,FALSE)</f>
        <v>#N/A</v>
      </c>
      <c r="H3216" s="6" t="e">
        <f>VLOOKUP('Customer Info'!A3208,'Customer Info'!A3208:I3708,3,FALSE)</f>
        <v>#N/A</v>
      </c>
      <c r="I3216" s="6" t="e">
        <f>VLOOKUP('Customer Info'!A3208,'Customer Info'!A3208:I3707,5,FALSE)</f>
        <v>#N/A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2001</v>
      </c>
      <c r="R3216" s="2" t="s">
        <v>28</v>
      </c>
      <c r="S3216" s="9">
        <f t="shared" si="254"/>
        <v>7.0000000000000007E-2</v>
      </c>
    </row>
    <row r="3217" spans="1:19" x14ac:dyDescent="0.25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e">
        <f>VLOOKUP('Customer Info'!A3209,'Customer Info'!A3209:I3708,2,FALSE)</f>
        <v>#N/A</v>
      </c>
      <c r="H3217" s="6" t="e">
        <f>VLOOKUP('Customer Info'!A3209,'Customer Info'!A3209:I3709,3,FALSE)</f>
        <v>#N/A</v>
      </c>
      <c r="I3217" s="6" t="e">
        <f>VLOOKUP('Customer Info'!A3209,'Customer Info'!A3209:I3708,5,FALSE)</f>
        <v>#N/A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140</v>
      </c>
      <c r="R3217" s="2" t="s">
        <v>26</v>
      </c>
      <c r="S3217" s="9">
        <f t="shared" si="254"/>
        <v>0.02</v>
      </c>
    </row>
    <row r="3218" spans="1:19" x14ac:dyDescent="0.25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e">
        <f>VLOOKUP('Customer Info'!A3210,'Customer Info'!A3210:I3709,2,FALSE)</f>
        <v>#N/A</v>
      </c>
      <c r="H3218" s="6" t="e">
        <f>VLOOKUP('Customer Info'!A3210,'Customer Info'!A3210:I3710,3,FALSE)</f>
        <v>#N/A</v>
      </c>
      <c r="I3218" s="6" t="e">
        <f>VLOOKUP('Customer Info'!A3210,'Customer Info'!A3210:I3709,5,FALSE)</f>
        <v>#N/A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4206</v>
      </c>
      <c r="R3218" s="2" t="s">
        <v>26</v>
      </c>
      <c r="S3218" s="9">
        <f t="shared" si="254"/>
        <v>0.09</v>
      </c>
    </row>
    <row r="3219" spans="1:19" x14ac:dyDescent="0.25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e">
        <f>VLOOKUP('Customer Info'!A3211,'Customer Info'!A3211:I3710,2,FALSE)</f>
        <v>#N/A</v>
      </c>
      <c r="H3219" s="6" t="e">
        <f>VLOOKUP('Customer Info'!A3211,'Customer Info'!A3211:I3711,3,FALSE)</f>
        <v>#N/A</v>
      </c>
      <c r="I3219" s="6" t="e">
        <f>VLOOKUP('Customer Info'!A3211,'Customer Info'!A3211:I3710,5,FALSE)</f>
        <v>#N/A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40</v>
      </c>
      <c r="R3219" s="2" t="s">
        <v>28</v>
      </c>
      <c r="S3219" s="9">
        <f t="shared" si="254"/>
        <v>0.02</v>
      </c>
    </row>
    <row r="3220" spans="1:19" x14ac:dyDescent="0.25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e">
        <f>VLOOKUP('Customer Info'!A3212,'Customer Info'!A3212:I3711,2,FALSE)</f>
        <v>#N/A</v>
      </c>
      <c r="H3220" s="6" t="e">
        <f>VLOOKUP('Customer Info'!A3212,'Customer Info'!A3212:I3712,3,FALSE)</f>
        <v>#N/A</v>
      </c>
      <c r="I3220" s="6" t="e">
        <f>VLOOKUP('Customer Info'!A3212,'Customer Info'!A3212:I3711,5,FALSE)</f>
        <v>#N/A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92</v>
      </c>
      <c r="R3220" s="2" t="s">
        <v>50</v>
      </c>
      <c r="S3220" s="9">
        <f t="shared" si="254"/>
        <v>0.02</v>
      </c>
    </row>
    <row r="3221" spans="1:19" x14ac:dyDescent="0.25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e">
        <f>VLOOKUP('Customer Info'!A3213,'Customer Info'!A3213:I3712,2,FALSE)</f>
        <v>#N/A</v>
      </c>
      <c r="H3221" s="6" t="e">
        <f>VLOOKUP('Customer Info'!A3213,'Customer Info'!A3213:I3713,3,FALSE)</f>
        <v>#N/A</v>
      </c>
      <c r="I3221" s="6" t="e">
        <f>VLOOKUP('Customer Info'!A3213,'Customer Info'!A3213:I3712,5,FALSE)</f>
        <v>#N/A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219</v>
      </c>
      <c r="R3221" s="2" t="s">
        <v>50</v>
      </c>
      <c r="S3221" s="9">
        <f t="shared" si="254"/>
        <v>0.02</v>
      </c>
    </row>
    <row r="3222" spans="1:19" x14ac:dyDescent="0.25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e">
        <f>VLOOKUP('Customer Info'!A3214,'Customer Info'!A3214:I3713,2,FALSE)</f>
        <v>#N/A</v>
      </c>
      <c r="H3222" s="6" t="e">
        <f>VLOOKUP('Customer Info'!A3214,'Customer Info'!A3214:I3714,3,FALSE)</f>
        <v>#N/A</v>
      </c>
      <c r="I3222" s="6" t="e">
        <f>VLOOKUP('Customer Info'!A3214,'Customer Info'!A3214:I3713,5,FALSE)</f>
        <v>#N/A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733</v>
      </c>
      <c r="R3222" s="2" t="s">
        <v>28</v>
      </c>
      <c r="S3222" s="9">
        <f t="shared" si="254"/>
        <v>0.05</v>
      </c>
    </row>
    <row r="3223" spans="1:19" x14ac:dyDescent="0.25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e">
        <f>VLOOKUP('Customer Info'!A3215,'Customer Info'!A3215:I3714,2,FALSE)</f>
        <v>#N/A</v>
      </c>
      <c r="H3223" s="6" t="e">
        <f>VLOOKUP('Customer Info'!A3215,'Customer Info'!A3215:I3715,3,FALSE)</f>
        <v>#N/A</v>
      </c>
      <c r="I3223" s="6" t="e">
        <f>VLOOKUP('Customer Info'!A3215,'Customer Info'!A3215:I3714,5,FALSE)</f>
        <v>#N/A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340</v>
      </c>
      <c r="R3223" s="2" t="s">
        <v>50</v>
      </c>
      <c r="S3223" s="9">
        <f t="shared" si="254"/>
        <v>0.02</v>
      </c>
    </row>
    <row r="3224" spans="1:19" x14ac:dyDescent="0.25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e">
        <f>VLOOKUP('Customer Info'!A3216,'Customer Info'!A3216:I3715,2,FALSE)</f>
        <v>#N/A</v>
      </c>
      <c r="H3224" s="6" t="e">
        <f>VLOOKUP('Customer Info'!A3216,'Customer Info'!A3216:I3716,3,FALSE)</f>
        <v>#N/A</v>
      </c>
      <c r="I3224" s="6" t="e">
        <f>VLOOKUP('Customer Info'!A3216,'Customer Info'!A3216:I3715,5,FALSE)</f>
        <v>#N/A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2096</v>
      </c>
      <c r="R3224" s="2" t="s">
        <v>28</v>
      </c>
      <c r="S3224" s="9">
        <f t="shared" si="254"/>
        <v>7.0000000000000007E-2</v>
      </c>
    </row>
    <row r="3225" spans="1:19" x14ac:dyDescent="0.25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e">
        <f>VLOOKUP('Customer Info'!A3217,'Customer Info'!A3217:I3716,2,FALSE)</f>
        <v>#N/A</v>
      </c>
      <c r="H3225" s="6" t="e">
        <f>VLOOKUP('Customer Info'!A3217,'Customer Info'!A3217:I3717,3,FALSE)</f>
        <v>#N/A</v>
      </c>
      <c r="I3225" s="6" t="e">
        <f>VLOOKUP('Customer Info'!A3217,'Customer Info'!A3217:I3716,5,FALSE)</f>
        <v>#N/A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1252</v>
      </c>
      <c r="R3225" s="2" t="s">
        <v>26</v>
      </c>
      <c r="S3225" s="9">
        <f t="shared" si="254"/>
        <v>0.05</v>
      </c>
    </row>
    <row r="3226" spans="1:19" x14ac:dyDescent="0.25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e">
        <f>VLOOKUP('Customer Info'!A3218,'Customer Info'!A3218:I3717,2,FALSE)</f>
        <v>#N/A</v>
      </c>
      <c r="H3226" s="6" t="e">
        <f>VLOOKUP('Customer Info'!A3218,'Customer Info'!A3218:I3718,3,FALSE)</f>
        <v>#N/A</v>
      </c>
      <c r="I3226" s="6" t="e">
        <f>VLOOKUP('Customer Info'!A3218,'Customer Info'!A3218:I3717,5,FALSE)</f>
        <v>#N/A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843</v>
      </c>
      <c r="R3226" s="2" t="s">
        <v>26</v>
      </c>
      <c r="S3226" s="9">
        <f t="shared" si="254"/>
        <v>0.05</v>
      </c>
    </row>
    <row r="3227" spans="1:19" x14ac:dyDescent="0.25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e">
        <f>VLOOKUP('Customer Info'!A3219,'Customer Info'!A3219:I3718,2,FALSE)</f>
        <v>#N/A</v>
      </c>
      <c r="H3227" s="6" t="e">
        <f>VLOOKUP('Customer Info'!A3219,'Customer Info'!A3219:I3719,3,FALSE)</f>
        <v>#N/A</v>
      </c>
      <c r="I3227" s="6" t="e">
        <f>VLOOKUP('Customer Info'!A3219,'Customer Info'!A3219:I3718,5,FALSE)</f>
        <v>#N/A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123</v>
      </c>
      <c r="R3227" s="2" t="s">
        <v>28</v>
      </c>
      <c r="S3227" s="9">
        <f t="shared" si="254"/>
        <v>0.02</v>
      </c>
    </row>
    <row r="3228" spans="1:19" x14ac:dyDescent="0.25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e">
        <f>VLOOKUP('Customer Info'!A3220,'Customer Info'!A3220:I3719,2,FALSE)</f>
        <v>#N/A</v>
      </c>
      <c r="H3228" s="6" t="e">
        <f>VLOOKUP('Customer Info'!A3220,'Customer Info'!A3220:I3720,3,FALSE)</f>
        <v>#N/A</v>
      </c>
      <c r="I3228" s="6" t="e">
        <f>VLOOKUP('Customer Info'!A3220,'Customer Info'!A3220:I3719,5,FALSE)</f>
        <v>#N/A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1051</v>
      </c>
      <c r="R3228" s="2" t="s">
        <v>50</v>
      </c>
      <c r="S3228" s="9">
        <f t="shared" si="254"/>
        <v>7.0000000000000007E-2</v>
      </c>
    </row>
    <row r="3229" spans="1:19" x14ac:dyDescent="0.25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e">
        <f>VLOOKUP('Customer Info'!A3221,'Customer Info'!A3221:I3720,2,FALSE)</f>
        <v>#N/A</v>
      </c>
      <c r="H3229" s="6" t="e">
        <f>VLOOKUP('Customer Info'!A3221,'Customer Info'!A3221:I3721,3,FALSE)</f>
        <v>#N/A</v>
      </c>
      <c r="I3229" s="6" t="e">
        <f>VLOOKUP('Customer Info'!A3221,'Customer Info'!A3221:I3720,5,FALSE)</f>
        <v>#N/A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454</v>
      </c>
      <c r="R3229" s="2" t="s">
        <v>28</v>
      </c>
      <c r="S3229" s="9">
        <f t="shared" si="254"/>
        <v>0.05</v>
      </c>
    </row>
    <row r="3230" spans="1:19" x14ac:dyDescent="0.25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e">
        <f>VLOOKUP('Customer Info'!A3222,'Customer Info'!A3222:I3721,2,FALSE)</f>
        <v>#N/A</v>
      </c>
      <c r="H3230" s="6" t="e">
        <f>VLOOKUP('Customer Info'!A3222,'Customer Info'!A3222:I3722,3,FALSE)</f>
        <v>#N/A</v>
      </c>
      <c r="I3230" s="6" t="e">
        <f>VLOOKUP('Customer Info'!A3222,'Customer Info'!A3222:I3721,5,FALSE)</f>
        <v>#N/A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1262</v>
      </c>
      <c r="R3230" s="2" t="s">
        <v>28</v>
      </c>
      <c r="S3230" s="9">
        <f t="shared" si="254"/>
        <v>0.05</v>
      </c>
    </row>
    <row r="3231" spans="1:19" x14ac:dyDescent="0.25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e">
        <f>VLOOKUP('Customer Info'!A3223,'Customer Info'!A3223:I3722,2,FALSE)</f>
        <v>#N/A</v>
      </c>
      <c r="H3231" s="6" t="e">
        <f>VLOOKUP('Customer Info'!A3223,'Customer Info'!A3223:I3723,3,FALSE)</f>
        <v>#N/A</v>
      </c>
      <c r="I3231" s="6" t="e">
        <f>VLOOKUP('Customer Info'!A3223,'Customer Info'!A3223:I3722,5,FALSE)</f>
        <v>#N/A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95</v>
      </c>
      <c r="R3231" s="2" t="s">
        <v>28</v>
      </c>
      <c r="S3231" s="9">
        <f t="shared" si="254"/>
        <v>0.02</v>
      </c>
    </row>
    <row r="3232" spans="1:19" x14ac:dyDescent="0.25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e">
        <f>VLOOKUP('Customer Info'!A3224,'Customer Info'!A3224:I3723,2,FALSE)</f>
        <v>#N/A</v>
      </c>
      <c r="H3232" s="6" t="e">
        <f>VLOOKUP('Customer Info'!A3224,'Customer Info'!A3224:I3724,3,FALSE)</f>
        <v>#N/A</v>
      </c>
      <c r="I3232" s="6" t="e">
        <f>VLOOKUP('Customer Info'!A3224,'Customer Info'!A3224:I3723,5,FALSE)</f>
        <v>#N/A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54</v>
      </c>
      <c r="R3232" s="2" t="s">
        <v>50</v>
      </c>
      <c r="S3232" s="9">
        <f t="shared" si="254"/>
        <v>0.02</v>
      </c>
    </row>
    <row r="3233" spans="1:19" x14ac:dyDescent="0.25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e">
        <f>VLOOKUP('Customer Info'!A3225,'Customer Info'!A3225:I3724,2,FALSE)</f>
        <v>#N/A</v>
      </c>
      <c r="H3233" s="6" t="e">
        <f>VLOOKUP('Customer Info'!A3225,'Customer Info'!A3225:I3725,3,FALSE)</f>
        <v>#N/A</v>
      </c>
      <c r="I3233" s="6" t="e">
        <f>VLOOKUP('Customer Info'!A3225,'Customer Info'!A3225:I3724,5,FALSE)</f>
        <v>#N/A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1834</v>
      </c>
      <c r="R3233" s="2" t="s">
        <v>26</v>
      </c>
      <c r="S3233" s="9">
        <f t="shared" si="254"/>
        <v>0.05</v>
      </c>
    </row>
    <row r="3234" spans="1:19" x14ac:dyDescent="0.25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e">
        <f>VLOOKUP('Customer Info'!A3226,'Customer Info'!A3226:I3725,2,FALSE)</f>
        <v>#N/A</v>
      </c>
      <c r="H3234" s="6" t="e">
        <f>VLOOKUP('Customer Info'!A3226,'Customer Info'!A3226:I3726,3,FALSE)</f>
        <v>#N/A</v>
      </c>
      <c r="I3234" s="6" t="e">
        <f>VLOOKUP('Customer Info'!A3226,'Customer Info'!A3226:I3725,5,FALSE)</f>
        <v>#N/A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1091</v>
      </c>
      <c r="R3234" s="2" t="s">
        <v>28</v>
      </c>
      <c r="S3234" s="9">
        <f t="shared" si="254"/>
        <v>0.05</v>
      </c>
    </row>
    <row r="3235" spans="1:19" x14ac:dyDescent="0.25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e">
        <f>VLOOKUP('Customer Info'!A3227,'Customer Info'!A3227:I3726,2,FALSE)</f>
        <v>#N/A</v>
      </c>
      <c r="H3235" s="6" t="e">
        <f>VLOOKUP('Customer Info'!A3227,'Customer Info'!A3227:I3727,3,FALSE)</f>
        <v>#N/A</v>
      </c>
      <c r="I3235" s="6" t="e">
        <f>VLOOKUP('Customer Info'!A3227,'Customer Info'!A3227:I3726,5,FALSE)</f>
        <v>#N/A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54</v>
      </c>
      <c r="R3235" s="2" t="s">
        <v>50</v>
      </c>
      <c r="S3235" s="9">
        <f t="shared" si="254"/>
        <v>0.02</v>
      </c>
    </row>
    <row r="3236" spans="1:19" x14ac:dyDescent="0.25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e">
        <f>VLOOKUP('Customer Info'!A3228,'Customer Info'!A3228:I3727,2,FALSE)</f>
        <v>#N/A</v>
      </c>
      <c r="H3236" s="6" t="e">
        <f>VLOOKUP('Customer Info'!A3228,'Customer Info'!A3228:I3728,3,FALSE)</f>
        <v>#N/A</v>
      </c>
      <c r="I3236" s="6" t="e">
        <f>VLOOKUP('Customer Info'!A3228,'Customer Info'!A3228:I3727,5,FALSE)</f>
        <v>#N/A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48</v>
      </c>
      <c r="R3236" s="2" t="s">
        <v>26</v>
      </c>
      <c r="S3236" s="9">
        <f t="shared" si="254"/>
        <v>0.02</v>
      </c>
    </row>
    <row r="3237" spans="1:19" x14ac:dyDescent="0.25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e">
        <f>VLOOKUP('Customer Info'!A3229,'Customer Info'!A3229:I3728,2,FALSE)</f>
        <v>#N/A</v>
      </c>
      <c r="H3237" s="6" t="e">
        <f>VLOOKUP('Customer Info'!A3229,'Customer Info'!A3229:I3729,3,FALSE)</f>
        <v>#N/A</v>
      </c>
      <c r="I3237" s="6" t="e">
        <f>VLOOKUP('Customer Info'!A3229,'Customer Info'!A3229:I3728,5,FALSE)</f>
        <v>#N/A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273</v>
      </c>
      <c r="R3237" s="2" t="s">
        <v>28</v>
      </c>
      <c r="S3237" s="9">
        <f t="shared" si="254"/>
        <v>0.05</v>
      </c>
    </row>
    <row r="3238" spans="1:19" x14ac:dyDescent="0.25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e">
        <f>VLOOKUP('Customer Info'!A3230,'Customer Info'!A3230:I3729,2,FALSE)</f>
        <v>#N/A</v>
      </c>
      <c r="H3238" s="6" t="e">
        <f>VLOOKUP('Customer Info'!A3230,'Customer Info'!A3230:I3730,3,FALSE)</f>
        <v>#N/A</v>
      </c>
      <c r="I3238" s="6" t="e">
        <f>VLOOKUP('Customer Info'!A3230,'Customer Info'!A3230:I3729,5,FALSE)</f>
        <v>#N/A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1285</v>
      </c>
      <c r="R3238" s="2" t="s">
        <v>28</v>
      </c>
      <c r="S3238" s="9">
        <f t="shared" si="254"/>
        <v>0.05</v>
      </c>
    </row>
    <row r="3239" spans="1:19" x14ac:dyDescent="0.25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e">
        <f>VLOOKUP('Customer Info'!A3231,'Customer Info'!A3231:I3730,2,FALSE)</f>
        <v>#N/A</v>
      </c>
      <c r="H3239" s="6" t="e">
        <f>VLOOKUP('Customer Info'!A3231,'Customer Info'!A3231:I3731,3,FALSE)</f>
        <v>#N/A</v>
      </c>
      <c r="I3239" s="6" t="e">
        <f>VLOOKUP('Customer Info'!A3231,'Customer Info'!A3231:I3730,5,FALSE)</f>
        <v>#N/A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152</v>
      </c>
      <c r="R3239" s="2" t="s">
        <v>50</v>
      </c>
      <c r="S3239" s="9">
        <f t="shared" si="254"/>
        <v>0.02</v>
      </c>
    </row>
    <row r="3240" spans="1:19" x14ac:dyDescent="0.25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e">
        <f>VLOOKUP('Customer Info'!A3232,'Customer Info'!A3232:I3731,2,FALSE)</f>
        <v>#N/A</v>
      </c>
      <c r="H3240" s="6" t="e">
        <f>VLOOKUP('Customer Info'!A3232,'Customer Info'!A3232:I3732,3,FALSE)</f>
        <v>#N/A</v>
      </c>
      <c r="I3240" s="6" t="e">
        <f>VLOOKUP('Customer Info'!A3232,'Customer Info'!A3232:I3731,5,FALSE)</f>
        <v>#N/A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614</v>
      </c>
      <c r="R3240" s="2" t="s">
        <v>28</v>
      </c>
      <c r="S3240" s="9">
        <f t="shared" si="254"/>
        <v>0.05</v>
      </c>
    </row>
    <row r="3241" spans="1:19" x14ac:dyDescent="0.25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e">
        <f>VLOOKUP('Customer Info'!A3233,'Customer Info'!A3233:I3732,2,FALSE)</f>
        <v>#N/A</v>
      </c>
      <c r="H3241" s="6" t="e">
        <f>VLOOKUP('Customer Info'!A3233,'Customer Info'!A3233:I3733,3,FALSE)</f>
        <v>#N/A</v>
      </c>
      <c r="I3241" s="6" t="e">
        <f>VLOOKUP('Customer Info'!A3233,'Customer Info'!A3233:I3732,5,FALSE)</f>
        <v>#N/A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982</v>
      </c>
      <c r="R3241" s="2" t="s">
        <v>50</v>
      </c>
      <c r="S3241" s="9">
        <f t="shared" si="254"/>
        <v>0.05</v>
      </c>
    </row>
    <row r="3242" spans="1:19" x14ac:dyDescent="0.25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e">
        <f>VLOOKUP('Customer Info'!A3234,'Customer Info'!A3234:I3733,2,FALSE)</f>
        <v>#N/A</v>
      </c>
      <c r="H3242" s="6" t="e">
        <f>VLOOKUP('Customer Info'!A3234,'Customer Info'!A3234:I3734,3,FALSE)</f>
        <v>#N/A</v>
      </c>
      <c r="I3242" s="6" t="e">
        <f>VLOOKUP('Customer Info'!A3234,'Customer Info'!A3234:I3733,5,FALSE)</f>
        <v>#N/A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8052</v>
      </c>
      <c r="R3242" s="2" t="s">
        <v>28</v>
      </c>
      <c r="S3242" s="9">
        <f t="shared" si="254"/>
        <v>0.12</v>
      </c>
    </row>
    <row r="3243" spans="1:19" x14ac:dyDescent="0.25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e">
        <f>VLOOKUP('Customer Info'!A3235,'Customer Info'!A3235:I3734,2,FALSE)</f>
        <v>#N/A</v>
      </c>
      <c r="H3243" s="6" t="e">
        <f>VLOOKUP('Customer Info'!A3235,'Customer Info'!A3235:I3735,3,FALSE)</f>
        <v>#N/A</v>
      </c>
      <c r="I3243" s="6" t="e">
        <f>VLOOKUP('Customer Info'!A3235,'Customer Info'!A3235:I3734,5,FALSE)</f>
        <v>#N/A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184</v>
      </c>
      <c r="R3243" s="2" t="s">
        <v>28</v>
      </c>
      <c r="S3243" s="9">
        <f t="shared" si="254"/>
        <v>0.02</v>
      </c>
    </row>
    <row r="3244" spans="1:19" x14ac:dyDescent="0.25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e">
        <f>VLOOKUP('Customer Info'!A3236,'Customer Info'!A3236:I3735,2,FALSE)</f>
        <v>#N/A</v>
      </c>
      <c r="H3244" s="6" t="e">
        <f>VLOOKUP('Customer Info'!A3236,'Customer Info'!A3236:I3736,3,FALSE)</f>
        <v>#N/A</v>
      </c>
      <c r="I3244" s="6" t="e">
        <f>VLOOKUP('Customer Info'!A3236,'Customer Info'!A3236:I3735,5,FALSE)</f>
        <v>#N/A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21982</v>
      </c>
      <c r="R3244" s="2" t="s">
        <v>50</v>
      </c>
      <c r="S3244" s="9">
        <f t="shared" si="254"/>
        <v>0.15</v>
      </c>
    </row>
    <row r="3245" spans="1:19" x14ac:dyDescent="0.25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e">
        <f>VLOOKUP('Customer Info'!A3237,'Customer Info'!A3237:I3736,2,FALSE)</f>
        <v>#N/A</v>
      </c>
      <c r="H3245" s="6" t="e">
        <f>VLOOKUP('Customer Info'!A3237,'Customer Info'!A3237:I3737,3,FALSE)</f>
        <v>#N/A</v>
      </c>
      <c r="I3245" s="6" t="e">
        <f>VLOOKUP('Customer Info'!A3237,'Customer Info'!A3237:I3736,5,FALSE)</f>
        <v>#N/A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276</v>
      </c>
      <c r="R3245" s="2" t="s">
        <v>50</v>
      </c>
      <c r="S3245" s="9">
        <f t="shared" si="254"/>
        <v>0.05</v>
      </c>
    </row>
    <row r="3246" spans="1:19" x14ac:dyDescent="0.25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e">
        <f>VLOOKUP('Customer Info'!A3238,'Customer Info'!A3238:I3737,2,FALSE)</f>
        <v>#N/A</v>
      </c>
      <c r="H3246" s="6" t="e">
        <f>VLOOKUP('Customer Info'!A3238,'Customer Info'!A3238:I3738,3,FALSE)</f>
        <v>#N/A</v>
      </c>
      <c r="I3246" s="6" t="e">
        <f>VLOOKUP('Customer Info'!A3238,'Customer Info'!A3238:I3737,5,FALSE)</f>
        <v>#N/A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869</v>
      </c>
      <c r="R3246" s="2" t="s">
        <v>26</v>
      </c>
      <c r="S3246" s="9">
        <f t="shared" si="254"/>
        <v>0.05</v>
      </c>
    </row>
    <row r="3247" spans="1:19" x14ac:dyDescent="0.25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e">
        <f>VLOOKUP('Customer Info'!A3239,'Customer Info'!A3239:I3738,2,FALSE)</f>
        <v>#N/A</v>
      </c>
      <c r="H3247" s="6" t="e">
        <f>VLOOKUP('Customer Info'!A3239,'Customer Info'!A3239:I3739,3,FALSE)</f>
        <v>#N/A</v>
      </c>
      <c r="I3247" s="6" t="e">
        <f>VLOOKUP('Customer Info'!A3239,'Customer Info'!A3239:I3738,5,FALSE)</f>
        <v>#N/A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148</v>
      </c>
      <c r="R3247" s="2" t="s">
        <v>50</v>
      </c>
      <c r="S3247" s="9">
        <f t="shared" si="254"/>
        <v>0.02</v>
      </c>
    </row>
    <row r="3248" spans="1:19" x14ac:dyDescent="0.25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e">
        <f>VLOOKUP('Customer Info'!A3240,'Customer Info'!A3240:I3739,2,FALSE)</f>
        <v>#N/A</v>
      </c>
      <c r="H3248" s="6" t="e">
        <f>VLOOKUP('Customer Info'!A3240,'Customer Info'!A3240:I3740,3,FALSE)</f>
        <v>#N/A</v>
      </c>
      <c r="I3248" s="6" t="e">
        <f>VLOOKUP('Customer Info'!A3240,'Customer Info'!A3240:I3739,5,FALSE)</f>
        <v>#N/A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73</v>
      </c>
      <c r="R3248" s="2" t="s">
        <v>28</v>
      </c>
      <c r="S3248" s="9">
        <f t="shared" si="254"/>
        <v>0.02</v>
      </c>
    </row>
    <row r="3249" spans="1:19" x14ac:dyDescent="0.25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e">
        <f>VLOOKUP('Customer Info'!A3241,'Customer Info'!A3241:I3740,2,FALSE)</f>
        <v>#N/A</v>
      </c>
      <c r="H3249" s="6" t="e">
        <f>VLOOKUP('Customer Info'!A3241,'Customer Info'!A3241:I3741,3,FALSE)</f>
        <v>#N/A</v>
      </c>
      <c r="I3249" s="6" t="e">
        <f>VLOOKUP('Customer Info'!A3241,'Customer Info'!A3241:I3740,5,FALSE)</f>
        <v>#N/A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878</v>
      </c>
      <c r="R3249" s="2" t="s">
        <v>28</v>
      </c>
      <c r="S3249" s="9">
        <f t="shared" si="254"/>
        <v>0.05</v>
      </c>
    </row>
    <row r="3250" spans="1:19" x14ac:dyDescent="0.25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e">
        <f>VLOOKUP('Customer Info'!A3242,'Customer Info'!A3242:I3741,2,FALSE)</f>
        <v>#N/A</v>
      </c>
      <c r="H3250" s="6" t="e">
        <f>VLOOKUP('Customer Info'!A3242,'Customer Info'!A3242:I3742,3,FALSE)</f>
        <v>#N/A</v>
      </c>
      <c r="I3250" s="6" t="e">
        <f>VLOOKUP('Customer Info'!A3242,'Customer Info'!A3242:I3741,5,FALSE)</f>
        <v>#N/A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12</v>
      </c>
      <c r="R3250" s="2" t="s">
        <v>28</v>
      </c>
      <c r="S3250" s="9">
        <f t="shared" si="254"/>
        <v>0.02</v>
      </c>
    </row>
    <row r="3251" spans="1:19" x14ac:dyDescent="0.25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e">
        <f>VLOOKUP('Customer Info'!A3243,'Customer Info'!A3243:I3742,2,FALSE)</f>
        <v>#N/A</v>
      </c>
      <c r="H3251" s="6" t="e">
        <f>VLOOKUP('Customer Info'!A3243,'Customer Info'!A3243:I3743,3,FALSE)</f>
        <v>#N/A</v>
      </c>
      <c r="I3251" s="6" t="e">
        <f>VLOOKUP('Customer Info'!A3243,'Customer Info'!A3243:I3742,5,FALSE)</f>
        <v>#N/A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94</v>
      </c>
      <c r="R3251" s="2" t="s">
        <v>50</v>
      </c>
      <c r="S3251" s="9">
        <f t="shared" si="254"/>
        <v>0.02</v>
      </c>
    </row>
    <row r="3252" spans="1:19" x14ac:dyDescent="0.25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e">
        <f>VLOOKUP('Customer Info'!A3244,'Customer Info'!A3244:I3743,2,FALSE)</f>
        <v>#N/A</v>
      </c>
      <c r="H3252" s="6" t="e">
        <f>VLOOKUP('Customer Info'!A3244,'Customer Info'!A3244:I3744,3,FALSE)</f>
        <v>#N/A</v>
      </c>
      <c r="I3252" s="6" t="e">
        <f>VLOOKUP('Customer Info'!A3244,'Customer Info'!A3244:I3743,5,FALSE)</f>
        <v>#N/A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2996</v>
      </c>
      <c r="R3252" s="2" t="s">
        <v>56</v>
      </c>
      <c r="S3252" s="9">
        <f t="shared" si="254"/>
        <v>7.0000000000000007E-2</v>
      </c>
    </row>
    <row r="3253" spans="1:19" x14ac:dyDescent="0.25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e">
        <f>VLOOKUP('Customer Info'!A3245,'Customer Info'!A3245:I3744,2,FALSE)</f>
        <v>#N/A</v>
      </c>
      <c r="H3253" s="6" t="e">
        <f>VLOOKUP('Customer Info'!A3245,'Customer Info'!A3245:I3745,3,FALSE)</f>
        <v>#N/A</v>
      </c>
      <c r="I3253" s="6" t="e">
        <f>VLOOKUP('Customer Info'!A3245,'Customer Info'!A3245:I3744,5,FALSE)</f>
        <v>#N/A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1804</v>
      </c>
      <c r="R3253" s="2" t="s">
        <v>50</v>
      </c>
      <c r="S3253" s="9">
        <f t="shared" si="254"/>
        <v>7.0000000000000007E-2</v>
      </c>
    </row>
    <row r="3254" spans="1:19" x14ac:dyDescent="0.25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e">
        <f>VLOOKUP('Customer Info'!A3246,'Customer Info'!A3246:I3745,2,FALSE)</f>
        <v>#N/A</v>
      </c>
      <c r="H3254" s="6" t="e">
        <f>VLOOKUP('Customer Info'!A3246,'Customer Info'!A3246:I3746,3,FALSE)</f>
        <v>#N/A</v>
      </c>
      <c r="I3254" s="6" t="e">
        <f>VLOOKUP('Customer Info'!A3246,'Customer Info'!A3246:I3745,5,FALSE)</f>
        <v>#N/A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210</v>
      </c>
      <c r="R3254" s="2" t="s">
        <v>56</v>
      </c>
      <c r="S3254" s="9">
        <f t="shared" si="254"/>
        <v>0.02</v>
      </c>
    </row>
    <row r="3255" spans="1:19" x14ac:dyDescent="0.25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e">
        <f>VLOOKUP('Customer Info'!A3247,'Customer Info'!A3247:I3746,2,FALSE)</f>
        <v>#N/A</v>
      </c>
      <c r="H3255" s="6" t="e">
        <f>VLOOKUP('Customer Info'!A3247,'Customer Info'!A3247:I3747,3,FALSE)</f>
        <v>#N/A</v>
      </c>
      <c r="I3255" s="6" t="e">
        <f>VLOOKUP('Customer Info'!A3247,'Customer Info'!A3247:I3746,5,FALSE)</f>
        <v>#N/A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300</v>
      </c>
      <c r="R3255" s="2" t="s">
        <v>28</v>
      </c>
      <c r="S3255" s="9">
        <f t="shared" si="254"/>
        <v>0.02</v>
      </c>
    </row>
    <row r="3256" spans="1:19" x14ac:dyDescent="0.25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e">
        <f>VLOOKUP('Customer Info'!A3248,'Customer Info'!A3248:I3747,2,FALSE)</f>
        <v>#N/A</v>
      </c>
      <c r="H3256" s="6" t="e">
        <f>VLOOKUP('Customer Info'!A3248,'Customer Info'!A3248:I3748,3,FALSE)</f>
        <v>#N/A</v>
      </c>
      <c r="I3256" s="6" t="e">
        <f>VLOOKUP('Customer Info'!A3248,'Customer Info'!A3248:I3747,5,FALSE)</f>
        <v>#N/A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344</v>
      </c>
      <c r="R3256" s="2" t="s">
        <v>50</v>
      </c>
      <c r="S3256" s="9">
        <f t="shared" si="254"/>
        <v>0.05</v>
      </c>
    </row>
    <row r="3257" spans="1:19" x14ac:dyDescent="0.25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e">
        <f>VLOOKUP('Customer Info'!A3249,'Customer Info'!A3249:I3748,2,FALSE)</f>
        <v>#N/A</v>
      </c>
      <c r="H3257" s="6" t="e">
        <f>VLOOKUP('Customer Info'!A3249,'Customer Info'!A3249:I3749,3,FALSE)</f>
        <v>#N/A</v>
      </c>
      <c r="I3257" s="6" t="e">
        <f>VLOOKUP('Customer Info'!A3249,'Customer Info'!A3249:I3748,5,FALSE)</f>
        <v>#N/A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777</v>
      </c>
      <c r="R3257" s="2" t="s">
        <v>50</v>
      </c>
      <c r="S3257" s="9">
        <f t="shared" si="254"/>
        <v>0.05</v>
      </c>
    </row>
    <row r="3258" spans="1:19" x14ac:dyDescent="0.25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e">
        <f>VLOOKUP('Customer Info'!A3250,'Customer Info'!A3250:I3749,2,FALSE)</f>
        <v>#N/A</v>
      </c>
      <c r="H3258" s="6" t="e">
        <f>VLOOKUP('Customer Info'!A3250,'Customer Info'!A3250:I3750,3,FALSE)</f>
        <v>#N/A</v>
      </c>
      <c r="I3258" s="6" t="e">
        <f>VLOOKUP('Customer Info'!A3250,'Customer Info'!A3250:I3749,5,FALSE)</f>
        <v>#N/A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362</v>
      </c>
      <c r="R3258" s="2" t="s">
        <v>28</v>
      </c>
      <c r="S3258" s="9">
        <f t="shared" si="254"/>
        <v>0.05</v>
      </c>
    </row>
    <row r="3259" spans="1:19" x14ac:dyDescent="0.25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e">
        <f>VLOOKUP('Customer Info'!A3251,'Customer Info'!A3251:I3750,2,FALSE)</f>
        <v>#N/A</v>
      </c>
      <c r="H3259" s="6" t="e">
        <f>VLOOKUP('Customer Info'!A3251,'Customer Info'!A3251:I3751,3,FALSE)</f>
        <v>#N/A</v>
      </c>
      <c r="I3259" s="6" t="e">
        <f>VLOOKUP('Customer Info'!A3251,'Customer Info'!A3251:I3750,5,FALSE)</f>
        <v>#N/A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46</v>
      </c>
      <c r="R3259" s="2" t="s">
        <v>50</v>
      </c>
      <c r="S3259" s="9">
        <f t="shared" si="254"/>
        <v>0.02</v>
      </c>
    </row>
    <row r="3260" spans="1:19" x14ac:dyDescent="0.25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e">
        <f>VLOOKUP('Customer Info'!A3252,'Customer Info'!A3252:I3751,2,FALSE)</f>
        <v>#N/A</v>
      </c>
      <c r="H3260" s="6" t="e">
        <f>VLOOKUP('Customer Info'!A3252,'Customer Info'!A3252:I3752,3,FALSE)</f>
        <v>#N/A</v>
      </c>
      <c r="I3260" s="6" t="e">
        <f>VLOOKUP('Customer Info'!A3252,'Customer Info'!A3252:I3751,5,FALSE)</f>
        <v>#N/A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28</v>
      </c>
      <c r="R3260" s="2" t="s">
        <v>50</v>
      </c>
      <c r="S3260" s="9">
        <f t="shared" si="254"/>
        <v>0.02</v>
      </c>
    </row>
    <row r="3261" spans="1:19" x14ac:dyDescent="0.25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e">
        <f>VLOOKUP('Customer Info'!A3253,'Customer Info'!A3253:I3752,2,FALSE)</f>
        <v>#N/A</v>
      </c>
      <c r="H3261" s="6" t="e">
        <f>VLOOKUP('Customer Info'!A3253,'Customer Info'!A3253:I3753,3,FALSE)</f>
        <v>#N/A</v>
      </c>
      <c r="I3261" s="6" t="e">
        <f>VLOOKUP('Customer Info'!A3253,'Customer Info'!A3253:I3752,5,FALSE)</f>
        <v>#N/A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195</v>
      </c>
      <c r="R3261" s="2" t="s">
        <v>28</v>
      </c>
      <c r="S3261" s="9">
        <f t="shared" si="254"/>
        <v>0.02</v>
      </c>
    </row>
    <row r="3262" spans="1:19" x14ac:dyDescent="0.25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e">
        <f>VLOOKUP('Customer Info'!A3254,'Customer Info'!A3254:I3753,2,FALSE)</f>
        <v>#N/A</v>
      </c>
      <c r="H3262" s="6" t="e">
        <f>VLOOKUP('Customer Info'!A3254,'Customer Info'!A3254:I3754,3,FALSE)</f>
        <v>#N/A</v>
      </c>
      <c r="I3262" s="6" t="e">
        <f>VLOOKUP('Customer Info'!A3254,'Customer Info'!A3254:I3753,5,FALSE)</f>
        <v>#N/A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318</v>
      </c>
      <c r="R3262" s="2" t="s">
        <v>28</v>
      </c>
      <c r="S3262" s="9">
        <f t="shared" si="254"/>
        <v>0.02</v>
      </c>
    </row>
    <row r="3263" spans="1:19" x14ac:dyDescent="0.25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e">
        <f>VLOOKUP('Customer Info'!A3255,'Customer Info'!A3255:I3754,2,FALSE)</f>
        <v>#N/A</v>
      </c>
      <c r="H3263" s="6" t="e">
        <f>VLOOKUP('Customer Info'!A3255,'Customer Info'!A3255:I3755,3,FALSE)</f>
        <v>#N/A</v>
      </c>
      <c r="I3263" s="6" t="e">
        <f>VLOOKUP('Customer Info'!A3255,'Customer Info'!A3255:I3754,5,FALSE)</f>
        <v>#N/A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357</v>
      </c>
      <c r="R3263" s="2" t="s">
        <v>50</v>
      </c>
      <c r="S3263" s="9">
        <f t="shared" si="254"/>
        <v>0.05</v>
      </c>
    </row>
    <row r="3264" spans="1:19" x14ac:dyDescent="0.25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e">
        <f>VLOOKUP('Customer Info'!A3256,'Customer Info'!A3256:I3755,2,FALSE)</f>
        <v>#N/A</v>
      </c>
      <c r="H3264" s="6" t="e">
        <f>VLOOKUP('Customer Info'!A3256,'Customer Info'!A3256:I3756,3,FALSE)</f>
        <v>#N/A</v>
      </c>
      <c r="I3264" s="6" t="e">
        <f>VLOOKUP('Customer Info'!A3256,'Customer Info'!A3256:I3755,5,FALSE)</f>
        <v>#N/A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280</v>
      </c>
      <c r="R3264" s="2" t="s">
        <v>56</v>
      </c>
      <c r="S3264" s="9">
        <f t="shared" si="254"/>
        <v>0.02</v>
      </c>
    </row>
    <row r="3265" spans="1:19" x14ac:dyDescent="0.25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e">
        <f>VLOOKUP('Customer Info'!A3257,'Customer Info'!A3257:I3756,2,FALSE)</f>
        <v>#N/A</v>
      </c>
      <c r="H3265" s="6" t="e">
        <f>VLOOKUP('Customer Info'!A3257,'Customer Info'!A3257:I3757,3,FALSE)</f>
        <v>#N/A</v>
      </c>
      <c r="I3265" s="6" t="e">
        <f>VLOOKUP('Customer Info'!A3257,'Customer Info'!A3257:I3756,5,FALSE)</f>
        <v>#N/A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118</v>
      </c>
      <c r="R3265" s="2" t="s">
        <v>28</v>
      </c>
      <c r="S3265" s="9">
        <f t="shared" si="254"/>
        <v>0.02</v>
      </c>
    </row>
    <row r="3266" spans="1:19" x14ac:dyDescent="0.25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e">
        <f>VLOOKUP('Customer Info'!A3258,'Customer Info'!A3258:I3757,2,FALSE)</f>
        <v>#N/A</v>
      </c>
      <c r="H3266" s="6" t="e">
        <f>VLOOKUP('Customer Info'!A3258,'Customer Info'!A3258:I3758,3,FALSE)</f>
        <v>#N/A</v>
      </c>
      <c r="I3266" s="6" t="e">
        <f>VLOOKUP('Customer Info'!A3258,'Customer Info'!A3258:I3757,5,FALSE)</f>
        <v>#N/A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4962</v>
      </c>
      <c r="R3266" s="2" t="s">
        <v>28</v>
      </c>
      <c r="S3266" s="9">
        <f t="shared" si="254"/>
        <v>0.09</v>
      </c>
    </row>
    <row r="3267" spans="1:19" x14ac:dyDescent="0.25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e">
        <f>VLOOKUP('Customer Info'!A3259,'Customer Info'!A3259:I3758,2,FALSE)</f>
        <v>#N/A</v>
      </c>
      <c r="H3267" s="6" t="e">
        <f>VLOOKUP('Customer Info'!A3259,'Customer Info'!A3259:I3759,3,FALSE)</f>
        <v>#N/A</v>
      </c>
      <c r="I3267" s="6" t="e">
        <f>VLOOKUP('Customer Info'!A3259,'Customer Info'!A3259:I3758,5,FALSE)</f>
        <v>#N/A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620</v>
      </c>
      <c r="R3267" s="2" t="s">
        <v>50</v>
      </c>
      <c r="S3267" s="9">
        <f t="shared" si="254"/>
        <v>0.05</v>
      </c>
    </row>
    <row r="3268" spans="1:19" x14ac:dyDescent="0.25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e">
        <f>VLOOKUP('Customer Info'!A3260,'Customer Info'!A3260:I3759,2,FALSE)</f>
        <v>#N/A</v>
      </c>
      <c r="H3268" s="6" t="e">
        <f>VLOOKUP('Customer Info'!A3260,'Customer Info'!A3260:I3760,3,FALSE)</f>
        <v>#N/A</v>
      </c>
      <c r="I3268" s="6" t="e">
        <f>VLOOKUP('Customer Info'!A3260,'Customer Info'!A3260:I3759,5,FALSE)</f>
        <v>#N/A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2471</v>
      </c>
      <c r="R3268" s="2" t="s">
        <v>50</v>
      </c>
      <c r="S3268" s="9">
        <f t="shared" si="254"/>
        <v>7.0000000000000007E-2</v>
      </c>
    </row>
    <row r="3269" spans="1:19" x14ac:dyDescent="0.25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e">
        <f>VLOOKUP('Customer Info'!A3261,'Customer Info'!A3261:I3760,2,FALSE)</f>
        <v>#N/A</v>
      </c>
      <c r="H3269" s="6" t="e">
        <f>VLOOKUP('Customer Info'!A3261,'Customer Info'!A3261:I3761,3,FALSE)</f>
        <v>#N/A</v>
      </c>
      <c r="I3269" s="6" t="e">
        <f>VLOOKUP('Customer Info'!A3261,'Customer Info'!A3261:I3760,5,FALSE)</f>
        <v>#N/A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108</v>
      </c>
      <c r="R3269" s="2" t="s">
        <v>28</v>
      </c>
      <c r="S3269" s="9">
        <f t="shared" si="254"/>
        <v>0.02</v>
      </c>
    </row>
    <row r="3270" spans="1:19" x14ac:dyDescent="0.25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e">
        <f>VLOOKUP('Customer Info'!A3262,'Customer Info'!A3262:I3761,2,FALSE)</f>
        <v>#N/A</v>
      </c>
      <c r="H3270" s="6" t="e">
        <f>VLOOKUP('Customer Info'!A3262,'Customer Info'!A3262:I3762,3,FALSE)</f>
        <v>#N/A</v>
      </c>
      <c r="I3270" s="6" t="e">
        <f>VLOOKUP('Customer Info'!A3262,'Customer Info'!A3262:I3761,5,FALSE)</f>
        <v>#N/A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1621</v>
      </c>
      <c r="R3270" s="2" t="s">
        <v>28</v>
      </c>
      <c r="S3270" s="9">
        <f t="shared" si="254"/>
        <v>0.05</v>
      </c>
    </row>
    <row r="3271" spans="1:19" x14ac:dyDescent="0.25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e">
        <f>VLOOKUP('Customer Info'!A3263,'Customer Info'!A3263:I3762,2,FALSE)</f>
        <v>#N/A</v>
      </c>
      <c r="H3271" s="6" t="e">
        <f>VLOOKUP('Customer Info'!A3263,'Customer Info'!A3263:I3763,3,FALSE)</f>
        <v>#N/A</v>
      </c>
      <c r="I3271" s="6" t="e">
        <f>VLOOKUP('Customer Info'!A3263,'Customer Info'!A3263:I3762,5,FALSE)</f>
        <v>#N/A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184</v>
      </c>
      <c r="R3271" s="2" t="s">
        <v>50</v>
      </c>
      <c r="S3271" s="9">
        <f t="shared" si="254"/>
        <v>0.02</v>
      </c>
    </row>
    <row r="3272" spans="1:19" x14ac:dyDescent="0.25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e">
        <f>VLOOKUP('Customer Info'!A3264,'Customer Info'!A3264:I3763,2,FALSE)</f>
        <v>#N/A</v>
      </c>
      <c r="H3272" s="6" t="e">
        <f>VLOOKUP('Customer Info'!A3264,'Customer Info'!A3264:I3764,3,FALSE)</f>
        <v>#N/A</v>
      </c>
      <c r="I3272" s="6" t="e">
        <f>VLOOKUP('Customer Info'!A3264,'Customer Info'!A3264:I3763,5,FALSE)</f>
        <v>#N/A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276</v>
      </c>
      <c r="R3272" s="2" t="s">
        <v>28</v>
      </c>
      <c r="S3272" s="9">
        <f t="shared" si="254"/>
        <v>0.02</v>
      </c>
    </row>
    <row r="3273" spans="1:19" x14ac:dyDescent="0.25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e">
        <f>VLOOKUP('Customer Info'!A3265,'Customer Info'!A3265:I3764,2,FALSE)</f>
        <v>#N/A</v>
      </c>
      <c r="H3273" s="6" t="e">
        <f>VLOOKUP('Customer Info'!A3265,'Customer Info'!A3265:I3765,3,FALSE)</f>
        <v>#N/A</v>
      </c>
      <c r="I3273" s="6" t="e">
        <f>VLOOKUP('Customer Info'!A3265,'Customer Info'!A3265:I3764,5,FALSE)</f>
        <v>#N/A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37</v>
      </c>
      <c r="R3273" s="2" t="s">
        <v>28</v>
      </c>
      <c r="S3273" s="9">
        <f t="shared" si="254"/>
        <v>0.02</v>
      </c>
    </row>
    <row r="3274" spans="1:19" x14ac:dyDescent="0.25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e">
        <f>VLOOKUP('Customer Info'!A3266,'Customer Info'!A3266:I3765,2,FALSE)</f>
        <v>#N/A</v>
      </c>
      <c r="H3274" s="6" t="e">
        <f>VLOOKUP('Customer Info'!A3266,'Customer Info'!A3266:I3766,3,FALSE)</f>
        <v>#N/A</v>
      </c>
      <c r="I3274" s="6" t="e">
        <f>VLOOKUP('Customer Info'!A3266,'Customer Info'!A3266:I3765,5,FALSE)</f>
        <v>#N/A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4041</v>
      </c>
      <c r="R3274" s="2" t="s">
        <v>50</v>
      </c>
      <c r="S3274" s="9">
        <f t="shared" si="254"/>
        <v>7.0000000000000007E-2</v>
      </c>
    </row>
    <row r="3275" spans="1:19" x14ac:dyDescent="0.25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e">
        <f>VLOOKUP('Customer Info'!A3267,'Customer Info'!A3267:I3766,2,FALSE)</f>
        <v>#N/A</v>
      </c>
      <c r="H3275" s="6" t="e">
        <f>VLOOKUP('Customer Info'!A3267,'Customer Info'!A3267:I3767,3,FALSE)</f>
        <v>#N/A</v>
      </c>
      <c r="I3275" s="6" t="e">
        <f>VLOOKUP('Customer Info'!A3267,'Customer Info'!A3267:I3766,5,FALSE)</f>
        <v>#N/A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8">
        <f t="shared" ref="P3275:P3338" si="257">N3275+O3275</f>
        <v>13055</v>
      </c>
      <c r="Q3275" s="8">
        <f t="shared" ref="Q3275:Q3338" si="258">P3275-M3275</f>
        <v>879</v>
      </c>
      <c r="R3275" s="2" t="s">
        <v>28</v>
      </c>
      <c r="S3275" s="9">
        <f t="shared" ref="S3275:S3338" si="259">VLOOKUP(P3275,$T$2:$U$7,2,TRUE)</f>
        <v>0.05</v>
      </c>
    </row>
    <row r="3276" spans="1:19" x14ac:dyDescent="0.25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e">
        <f>VLOOKUP('Customer Info'!A3268,'Customer Info'!A3268:I3767,2,FALSE)</f>
        <v>#N/A</v>
      </c>
      <c r="H3276" s="6" t="e">
        <f>VLOOKUP('Customer Info'!A3268,'Customer Info'!A3268:I3768,3,FALSE)</f>
        <v>#N/A</v>
      </c>
      <c r="I3276" s="6" t="e">
        <f>VLOOKUP('Customer Info'!A3268,'Customer Info'!A3268:I3767,5,FALSE)</f>
        <v>#N/A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271</v>
      </c>
      <c r="R3276" s="2" t="s">
        <v>26</v>
      </c>
      <c r="S3276" s="9">
        <f t="shared" si="259"/>
        <v>0.05</v>
      </c>
    </row>
    <row r="3277" spans="1:19" x14ac:dyDescent="0.25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e">
        <f>VLOOKUP('Customer Info'!A3269,'Customer Info'!A3269:I3768,2,FALSE)</f>
        <v>#N/A</v>
      </c>
      <c r="H3277" s="6" t="e">
        <f>VLOOKUP('Customer Info'!A3269,'Customer Info'!A3269:I3769,3,FALSE)</f>
        <v>#N/A</v>
      </c>
      <c r="I3277" s="6" t="e">
        <f>VLOOKUP('Customer Info'!A3269,'Customer Info'!A3269:I3768,5,FALSE)</f>
        <v>#N/A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231</v>
      </c>
      <c r="R3277" s="2" t="s">
        <v>50</v>
      </c>
      <c r="S3277" s="9">
        <f t="shared" si="259"/>
        <v>0.02</v>
      </c>
    </row>
    <row r="3278" spans="1:19" x14ac:dyDescent="0.25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e">
        <f>VLOOKUP('Customer Info'!A3270,'Customer Info'!A3270:I3769,2,FALSE)</f>
        <v>#N/A</v>
      </c>
      <c r="H3278" s="6" t="e">
        <f>VLOOKUP('Customer Info'!A3270,'Customer Info'!A3270:I3770,3,FALSE)</f>
        <v>#N/A</v>
      </c>
      <c r="I3278" s="6" t="e">
        <f>VLOOKUP('Customer Info'!A3270,'Customer Info'!A3270:I3769,5,FALSE)</f>
        <v>#N/A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211</v>
      </c>
      <c r="R3278" s="2" t="s">
        <v>50</v>
      </c>
      <c r="S3278" s="9">
        <f t="shared" si="259"/>
        <v>0.02</v>
      </c>
    </row>
    <row r="3279" spans="1:19" x14ac:dyDescent="0.25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e">
        <f>VLOOKUP('Customer Info'!A3271,'Customer Info'!A3271:I3770,2,FALSE)</f>
        <v>#N/A</v>
      </c>
      <c r="H3279" s="6" t="e">
        <f>VLOOKUP('Customer Info'!A3271,'Customer Info'!A3271:I3771,3,FALSE)</f>
        <v>#N/A</v>
      </c>
      <c r="I3279" s="6" t="e">
        <f>VLOOKUP('Customer Info'!A3271,'Customer Info'!A3271:I3770,5,FALSE)</f>
        <v>#N/A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104</v>
      </c>
      <c r="R3279" s="2" t="s">
        <v>50</v>
      </c>
      <c r="S3279" s="9">
        <f t="shared" si="259"/>
        <v>0.02</v>
      </c>
    </row>
    <row r="3280" spans="1:19" x14ac:dyDescent="0.25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e">
        <f>VLOOKUP('Customer Info'!A3272,'Customer Info'!A3272:I3771,2,FALSE)</f>
        <v>#N/A</v>
      </c>
      <c r="H3280" s="6" t="e">
        <f>VLOOKUP('Customer Info'!A3272,'Customer Info'!A3272:I3772,3,FALSE)</f>
        <v>#N/A</v>
      </c>
      <c r="I3280" s="6" t="e">
        <f>VLOOKUP('Customer Info'!A3272,'Customer Info'!A3272:I3771,5,FALSE)</f>
        <v>#N/A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36</v>
      </c>
      <c r="R3280" s="2" t="s">
        <v>28</v>
      </c>
      <c r="S3280" s="9">
        <f t="shared" si="259"/>
        <v>0.02</v>
      </c>
    </row>
    <row r="3281" spans="1:19" x14ac:dyDescent="0.25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e">
        <f>VLOOKUP('Customer Info'!A3273,'Customer Info'!A3273:I3772,2,FALSE)</f>
        <v>#N/A</v>
      </c>
      <c r="H3281" s="6" t="e">
        <f>VLOOKUP('Customer Info'!A3273,'Customer Info'!A3273:I3773,3,FALSE)</f>
        <v>#N/A</v>
      </c>
      <c r="I3281" s="6" t="e">
        <f>VLOOKUP('Customer Info'!A3273,'Customer Info'!A3273:I3772,5,FALSE)</f>
        <v>#N/A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135</v>
      </c>
      <c r="R3281" s="2" t="s">
        <v>50</v>
      </c>
      <c r="S3281" s="9">
        <f t="shared" si="259"/>
        <v>0.02</v>
      </c>
    </row>
    <row r="3282" spans="1:19" x14ac:dyDescent="0.25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e">
        <f>VLOOKUP('Customer Info'!A3274,'Customer Info'!A3274:I3773,2,FALSE)</f>
        <v>#N/A</v>
      </c>
      <c r="H3282" s="6" t="e">
        <f>VLOOKUP('Customer Info'!A3274,'Customer Info'!A3274:I3774,3,FALSE)</f>
        <v>#N/A</v>
      </c>
      <c r="I3282" s="6" t="e">
        <f>VLOOKUP('Customer Info'!A3274,'Customer Info'!A3274:I3773,5,FALSE)</f>
        <v>#N/A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861</v>
      </c>
      <c r="R3282" s="2" t="s">
        <v>50</v>
      </c>
      <c r="S3282" s="9">
        <f t="shared" si="259"/>
        <v>0.05</v>
      </c>
    </row>
    <row r="3283" spans="1:19" x14ac:dyDescent="0.25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e">
        <f>VLOOKUP('Customer Info'!A3275,'Customer Info'!A3275:I3774,2,FALSE)</f>
        <v>#N/A</v>
      </c>
      <c r="H3283" s="6" t="e">
        <f>VLOOKUP('Customer Info'!A3275,'Customer Info'!A3275:I3775,3,FALSE)</f>
        <v>#N/A</v>
      </c>
      <c r="I3283" s="6" t="e">
        <f>VLOOKUP('Customer Info'!A3275,'Customer Info'!A3275:I3774,5,FALSE)</f>
        <v>#N/A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175</v>
      </c>
      <c r="R3283" s="2" t="s">
        <v>28</v>
      </c>
      <c r="S3283" s="9">
        <f t="shared" si="259"/>
        <v>0.02</v>
      </c>
    </row>
    <row r="3284" spans="1:19" x14ac:dyDescent="0.25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e">
        <f>VLOOKUP('Customer Info'!A3276,'Customer Info'!A3276:I3775,2,FALSE)</f>
        <v>#N/A</v>
      </c>
      <c r="H3284" s="6" t="e">
        <f>VLOOKUP('Customer Info'!A3276,'Customer Info'!A3276:I3776,3,FALSE)</f>
        <v>#N/A</v>
      </c>
      <c r="I3284" s="6" t="e">
        <f>VLOOKUP('Customer Info'!A3276,'Customer Info'!A3276:I3775,5,FALSE)</f>
        <v>#N/A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81</v>
      </c>
      <c r="R3284" s="2" t="s">
        <v>26</v>
      </c>
      <c r="S3284" s="9">
        <f t="shared" si="259"/>
        <v>0.02</v>
      </c>
    </row>
    <row r="3285" spans="1:19" x14ac:dyDescent="0.25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e">
        <f>VLOOKUP('Customer Info'!A3277,'Customer Info'!A3277:I3776,2,FALSE)</f>
        <v>#N/A</v>
      </c>
      <c r="H3285" s="6" t="e">
        <f>VLOOKUP('Customer Info'!A3277,'Customer Info'!A3277:I3777,3,FALSE)</f>
        <v>#N/A</v>
      </c>
      <c r="I3285" s="6" t="e">
        <f>VLOOKUP('Customer Info'!A3277,'Customer Info'!A3277:I3776,5,FALSE)</f>
        <v>#N/A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218</v>
      </c>
      <c r="R3285" s="2" t="s">
        <v>28</v>
      </c>
      <c r="S3285" s="9">
        <f t="shared" si="259"/>
        <v>0.02</v>
      </c>
    </row>
    <row r="3286" spans="1:19" x14ac:dyDescent="0.25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e">
        <f>VLOOKUP('Customer Info'!A3278,'Customer Info'!A3278:I3777,2,FALSE)</f>
        <v>#N/A</v>
      </c>
      <c r="H3286" s="6" t="e">
        <f>VLOOKUP('Customer Info'!A3278,'Customer Info'!A3278:I3778,3,FALSE)</f>
        <v>#N/A</v>
      </c>
      <c r="I3286" s="6" t="e">
        <f>VLOOKUP('Customer Info'!A3278,'Customer Info'!A3278:I3777,5,FALSE)</f>
        <v>#N/A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495</v>
      </c>
      <c r="R3286" s="2" t="s">
        <v>50</v>
      </c>
      <c r="S3286" s="9">
        <f t="shared" si="259"/>
        <v>0.05</v>
      </c>
    </row>
    <row r="3287" spans="1:19" x14ac:dyDescent="0.25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e">
        <f>VLOOKUP('Customer Info'!A3279,'Customer Info'!A3279:I3778,2,FALSE)</f>
        <v>#N/A</v>
      </c>
      <c r="H3287" s="6" t="e">
        <f>VLOOKUP('Customer Info'!A3279,'Customer Info'!A3279:I3779,3,FALSE)</f>
        <v>#N/A</v>
      </c>
      <c r="I3287" s="6" t="e">
        <f>VLOOKUP('Customer Info'!A3279,'Customer Info'!A3279:I3778,5,FALSE)</f>
        <v>#N/A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751</v>
      </c>
      <c r="R3287" s="2" t="s">
        <v>28</v>
      </c>
      <c r="S3287" s="9">
        <f t="shared" si="259"/>
        <v>0.05</v>
      </c>
    </row>
    <row r="3288" spans="1:19" x14ac:dyDescent="0.25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e">
        <f>VLOOKUP('Customer Info'!A3280,'Customer Info'!A3280:I3779,2,FALSE)</f>
        <v>#N/A</v>
      </c>
      <c r="H3288" s="6" t="e">
        <f>VLOOKUP('Customer Info'!A3280,'Customer Info'!A3280:I3780,3,FALSE)</f>
        <v>#N/A</v>
      </c>
      <c r="I3288" s="6" t="e">
        <f>VLOOKUP('Customer Info'!A3280,'Customer Info'!A3280:I3779,5,FALSE)</f>
        <v>#N/A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5576</v>
      </c>
      <c r="R3288" s="2" t="s">
        <v>28</v>
      </c>
      <c r="S3288" s="9">
        <f t="shared" si="259"/>
        <v>0.09</v>
      </c>
    </row>
    <row r="3289" spans="1:19" x14ac:dyDescent="0.25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e">
        <f>VLOOKUP('Customer Info'!A3281,'Customer Info'!A3281:I3780,2,FALSE)</f>
        <v>#N/A</v>
      </c>
      <c r="H3289" s="6" t="e">
        <f>VLOOKUP('Customer Info'!A3281,'Customer Info'!A3281:I3781,3,FALSE)</f>
        <v>#N/A</v>
      </c>
      <c r="I3289" s="6" t="e">
        <f>VLOOKUP('Customer Info'!A3281,'Customer Info'!A3281:I3780,5,FALSE)</f>
        <v>#N/A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336</v>
      </c>
      <c r="R3289" s="2" t="s">
        <v>28</v>
      </c>
      <c r="S3289" s="9">
        <f t="shared" si="259"/>
        <v>0.05</v>
      </c>
    </row>
    <row r="3290" spans="1:19" x14ac:dyDescent="0.25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e">
        <f>VLOOKUP('Customer Info'!A3282,'Customer Info'!A3282:I3781,2,FALSE)</f>
        <v>#N/A</v>
      </c>
      <c r="H3290" s="6" t="e">
        <f>VLOOKUP('Customer Info'!A3282,'Customer Info'!A3282:I3782,3,FALSE)</f>
        <v>#N/A</v>
      </c>
      <c r="I3290" s="6" t="e">
        <f>VLOOKUP('Customer Info'!A3282,'Customer Info'!A3282:I3781,5,FALSE)</f>
        <v>#N/A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95</v>
      </c>
      <c r="R3290" s="2" t="s">
        <v>28</v>
      </c>
      <c r="S3290" s="9">
        <f t="shared" si="259"/>
        <v>0.02</v>
      </c>
    </row>
    <row r="3291" spans="1:19" x14ac:dyDescent="0.25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e">
        <f>VLOOKUP('Customer Info'!A3283,'Customer Info'!A3283:I3782,2,FALSE)</f>
        <v>#N/A</v>
      </c>
      <c r="H3291" s="6" t="e">
        <f>VLOOKUP('Customer Info'!A3283,'Customer Info'!A3283:I3783,3,FALSE)</f>
        <v>#N/A</v>
      </c>
      <c r="I3291" s="6" t="e">
        <f>VLOOKUP('Customer Info'!A3283,'Customer Info'!A3283:I3782,5,FALSE)</f>
        <v>#N/A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376</v>
      </c>
      <c r="R3291" s="2" t="s">
        <v>50</v>
      </c>
      <c r="S3291" s="9">
        <f t="shared" si="259"/>
        <v>0.05</v>
      </c>
    </row>
    <row r="3292" spans="1:19" x14ac:dyDescent="0.25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e">
        <f>VLOOKUP('Customer Info'!A3284,'Customer Info'!A3284:I3783,2,FALSE)</f>
        <v>#N/A</v>
      </c>
      <c r="H3292" s="6" t="e">
        <f>VLOOKUP('Customer Info'!A3284,'Customer Info'!A3284:I3784,3,FALSE)</f>
        <v>#N/A</v>
      </c>
      <c r="I3292" s="6" t="e">
        <f>VLOOKUP('Customer Info'!A3284,'Customer Info'!A3284:I3783,5,FALSE)</f>
        <v>#N/A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351</v>
      </c>
      <c r="R3292" s="2" t="s">
        <v>28</v>
      </c>
      <c r="S3292" s="9">
        <f t="shared" si="259"/>
        <v>0.02</v>
      </c>
    </row>
    <row r="3293" spans="1:19" x14ac:dyDescent="0.25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e">
        <f>VLOOKUP('Customer Info'!A3285,'Customer Info'!A3285:I3784,2,FALSE)</f>
        <v>#N/A</v>
      </c>
      <c r="H3293" s="6" t="e">
        <f>VLOOKUP('Customer Info'!A3285,'Customer Info'!A3285:I3785,3,FALSE)</f>
        <v>#N/A</v>
      </c>
      <c r="I3293" s="6" t="e">
        <f>VLOOKUP('Customer Info'!A3285,'Customer Info'!A3285:I3784,5,FALSE)</f>
        <v>#N/A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578</v>
      </c>
      <c r="R3293" s="2" t="s">
        <v>50</v>
      </c>
      <c r="S3293" s="9">
        <f t="shared" si="259"/>
        <v>0.05</v>
      </c>
    </row>
    <row r="3294" spans="1:19" x14ac:dyDescent="0.25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e">
        <f>VLOOKUP('Customer Info'!A3286,'Customer Info'!A3286:I3785,2,FALSE)</f>
        <v>#N/A</v>
      </c>
      <c r="H3294" s="6" t="e">
        <f>VLOOKUP('Customer Info'!A3286,'Customer Info'!A3286:I3786,3,FALSE)</f>
        <v>#N/A</v>
      </c>
      <c r="I3294" s="6" t="e">
        <f>VLOOKUP('Customer Info'!A3286,'Customer Info'!A3286:I3785,5,FALSE)</f>
        <v>#N/A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70</v>
      </c>
      <c r="R3294" s="2" t="s">
        <v>28</v>
      </c>
      <c r="S3294" s="9">
        <f t="shared" si="259"/>
        <v>0.02</v>
      </c>
    </row>
    <row r="3295" spans="1:19" x14ac:dyDescent="0.25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e">
        <f>VLOOKUP('Customer Info'!A3287,'Customer Info'!A3287:I3786,2,FALSE)</f>
        <v>#N/A</v>
      </c>
      <c r="H3295" s="6" t="e">
        <f>VLOOKUP('Customer Info'!A3287,'Customer Info'!A3287:I3787,3,FALSE)</f>
        <v>#N/A</v>
      </c>
      <c r="I3295" s="6" t="e">
        <f>VLOOKUP('Customer Info'!A3287,'Customer Info'!A3287:I3786,5,FALSE)</f>
        <v>#N/A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579</v>
      </c>
      <c r="R3295" s="2" t="s">
        <v>26</v>
      </c>
      <c r="S3295" s="9">
        <f t="shared" si="259"/>
        <v>0.05</v>
      </c>
    </row>
    <row r="3296" spans="1:19" x14ac:dyDescent="0.25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e">
        <f>VLOOKUP('Customer Info'!A3288,'Customer Info'!A3288:I3787,2,FALSE)</f>
        <v>#N/A</v>
      </c>
      <c r="H3296" s="6" t="e">
        <f>VLOOKUP('Customer Info'!A3288,'Customer Info'!A3288:I3788,3,FALSE)</f>
        <v>#N/A</v>
      </c>
      <c r="I3296" s="6" t="e">
        <f>VLOOKUP('Customer Info'!A3288,'Customer Info'!A3288:I3787,5,FALSE)</f>
        <v>#N/A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304</v>
      </c>
      <c r="R3296" s="2" t="s">
        <v>26</v>
      </c>
      <c r="S3296" s="9">
        <f t="shared" si="259"/>
        <v>0.02</v>
      </c>
    </row>
    <row r="3297" spans="1:19" x14ac:dyDescent="0.25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e">
        <f>VLOOKUP('Customer Info'!A3289,'Customer Info'!A3289:I3788,2,FALSE)</f>
        <v>#N/A</v>
      </c>
      <c r="H3297" s="6" t="e">
        <f>VLOOKUP('Customer Info'!A3289,'Customer Info'!A3289:I3789,3,FALSE)</f>
        <v>#N/A</v>
      </c>
      <c r="I3297" s="6" t="e">
        <f>VLOOKUP('Customer Info'!A3289,'Customer Info'!A3289:I3788,5,FALSE)</f>
        <v>#N/A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2655</v>
      </c>
      <c r="R3297" s="2" t="s">
        <v>50</v>
      </c>
      <c r="S3297" s="9">
        <f t="shared" si="259"/>
        <v>7.0000000000000007E-2</v>
      </c>
    </row>
    <row r="3298" spans="1:19" x14ac:dyDescent="0.25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e">
        <f>VLOOKUP('Customer Info'!A3290,'Customer Info'!A3290:I3789,2,FALSE)</f>
        <v>#N/A</v>
      </c>
      <c r="H3298" s="6" t="e">
        <f>VLOOKUP('Customer Info'!A3290,'Customer Info'!A3290:I3790,3,FALSE)</f>
        <v>#N/A</v>
      </c>
      <c r="I3298" s="6" t="e">
        <f>VLOOKUP('Customer Info'!A3290,'Customer Info'!A3290:I3789,5,FALSE)</f>
        <v>#N/A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140</v>
      </c>
      <c r="R3298" s="2" t="s">
        <v>28</v>
      </c>
      <c r="S3298" s="9">
        <f t="shared" si="259"/>
        <v>0.02</v>
      </c>
    </row>
    <row r="3299" spans="1:19" x14ac:dyDescent="0.25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e">
        <f>VLOOKUP('Customer Info'!A3291,'Customer Info'!A3291:I3790,2,FALSE)</f>
        <v>#N/A</v>
      </c>
      <c r="H3299" s="6" t="e">
        <f>VLOOKUP('Customer Info'!A3291,'Customer Info'!A3291:I3791,3,FALSE)</f>
        <v>#N/A</v>
      </c>
      <c r="I3299" s="6" t="e">
        <f>VLOOKUP('Customer Info'!A3291,'Customer Info'!A3291:I3790,5,FALSE)</f>
        <v>#N/A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491</v>
      </c>
      <c r="R3299" s="2" t="s">
        <v>28</v>
      </c>
      <c r="S3299" s="9">
        <f t="shared" si="259"/>
        <v>0.05</v>
      </c>
    </row>
    <row r="3300" spans="1:19" x14ac:dyDescent="0.25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e">
        <f>VLOOKUP('Customer Info'!A3292,'Customer Info'!A3292:I3791,2,FALSE)</f>
        <v>#N/A</v>
      </c>
      <c r="H3300" s="6" t="e">
        <f>VLOOKUP('Customer Info'!A3292,'Customer Info'!A3292:I3792,3,FALSE)</f>
        <v>#N/A</v>
      </c>
      <c r="I3300" s="6" t="e">
        <f>VLOOKUP('Customer Info'!A3292,'Customer Info'!A3292:I3791,5,FALSE)</f>
        <v>#N/A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920</v>
      </c>
      <c r="R3300" s="2" t="s">
        <v>28</v>
      </c>
      <c r="S3300" s="9">
        <f t="shared" si="259"/>
        <v>0.05</v>
      </c>
    </row>
    <row r="3301" spans="1:19" x14ac:dyDescent="0.25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e">
        <f>VLOOKUP('Customer Info'!A3293,'Customer Info'!A3293:I3792,2,FALSE)</f>
        <v>#N/A</v>
      </c>
      <c r="H3301" s="6" t="e">
        <f>VLOOKUP('Customer Info'!A3293,'Customer Info'!A3293:I3793,3,FALSE)</f>
        <v>#N/A</v>
      </c>
      <c r="I3301" s="6" t="e">
        <f>VLOOKUP('Customer Info'!A3293,'Customer Info'!A3293:I3792,5,FALSE)</f>
        <v>#N/A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495</v>
      </c>
      <c r="R3301" s="2" t="s">
        <v>28</v>
      </c>
      <c r="S3301" s="9">
        <f t="shared" si="259"/>
        <v>0.05</v>
      </c>
    </row>
    <row r="3302" spans="1:19" x14ac:dyDescent="0.25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e">
        <f>VLOOKUP('Customer Info'!A3294,'Customer Info'!A3294:I3793,2,FALSE)</f>
        <v>#N/A</v>
      </c>
      <c r="H3302" s="6" t="e">
        <f>VLOOKUP('Customer Info'!A3294,'Customer Info'!A3294:I3794,3,FALSE)</f>
        <v>#N/A</v>
      </c>
      <c r="I3302" s="6" t="e">
        <f>VLOOKUP('Customer Info'!A3294,'Customer Info'!A3294:I3793,5,FALSE)</f>
        <v>#N/A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48</v>
      </c>
      <c r="R3302" s="2" t="s">
        <v>28</v>
      </c>
      <c r="S3302" s="9">
        <f t="shared" si="259"/>
        <v>0.02</v>
      </c>
    </row>
    <row r="3303" spans="1:19" x14ac:dyDescent="0.25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e">
        <f>VLOOKUP('Customer Info'!A3295,'Customer Info'!A3295:I3794,2,FALSE)</f>
        <v>#N/A</v>
      </c>
      <c r="H3303" s="6" t="e">
        <f>VLOOKUP('Customer Info'!A3295,'Customer Info'!A3295:I3795,3,FALSE)</f>
        <v>#N/A</v>
      </c>
      <c r="I3303" s="6" t="e">
        <f>VLOOKUP('Customer Info'!A3295,'Customer Info'!A3295:I3794,5,FALSE)</f>
        <v>#N/A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15</v>
      </c>
      <c r="R3303" s="2" t="s">
        <v>50</v>
      </c>
      <c r="S3303" s="9">
        <f t="shared" si="259"/>
        <v>0.02</v>
      </c>
    </row>
    <row r="3304" spans="1:19" x14ac:dyDescent="0.25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e">
        <f>VLOOKUP('Customer Info'!A3296,'Customer Info'!A3296:I3795,2,FALSE)</f>
        <v>#N/A</v>
      </c>
      <c r="H3304" s="6" t="e">
        <f>VLOOKUP('Customer Info'!A3296,'Customer Info'!A3296:I3796,3,FALSE)</f>
        <v>#N/A</v>
      </c>
      <c r="I3304" s="6" t="e">
        <f>VLOOKUP('Customer Info'!A3296,'Customer Info'!A3296:I3795,5,FALSE)</f>
        <v>#N/A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877</v>
      </c>
      <c r="R3304" s="2" t="s">
        <v>28</v>
      </c>
      <c r="S3304" s="9">
        <f t="shared" si="259"/>
        <v>0.05</v>
      </c>
    </row>
    <row r="3305" spans="1:19" x14ac:dyDescent="0.25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e">
        <f>VLOOKUP('Customer Info'!A3297,'Customer Info'!A3297:I3796,2,FALSE)</f>
        <v>#N/A</v>
      </c>
      <c r="H3305" s="6" t="e">
        <f>VLOOKUP('Customer Info'!A3297,'Customer Info'!A3297:I3797,3,FALSE)</f>
        <v>#N/A</v>
      </c>
      <c r="I3305" s="6" t="e">
        <f>VLOOKUP('Customer Info'!A3297,'Customer Info'!A3297:I3796,5,FALSE)</f>
        <v>#N/A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1140</v>
      </c>
      <c r="R3305" s="2" t="s">
        <v>50</v>
      </c>
      <c r="S3305" s="9">
        <f t="shared" si="259"/>
        <v>0.05</v>
      </c>
    </row>
    <row r="3306" spans="1:19" x14ac:dyDescent="0.25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e">
        <f>VLOOKUP('Customer Info'!A3298,'Customer Info'!A3298:I3797,2,FALSE)</f>
        <v>#N/A</v>
      </c>
      <c r="H3306" s="6" t="e">
        <f>VLOOKUP('Customer Info'!A3298,'Customer Info'!A3298:I3798,3,FALSE)</f>
        <v>#N/A</v>
      </c>
      <c r="I3306" s="6" t="e">
        <f>VLOOKUP('Customer Info'!A3298,'Customer Info'!A3298:I3797,5,FALSE)</f>
        <v>#N/A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683</v>
      </c>
      <c r="R3306" s="2" t="s">
        <v>28</v>
      </c>
      <c r="S3306" s="9">
        <f t="shared" si="259"/>
        <v>0.05</v>
      </c>
    </row>
    <row r="3307" spans="1:19" x14ac:dyDescent="0.25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e">
        <f>VLOOKUP('Customer Info'!A3299,'Customer Info'!A3299:I3798,2,FALSE)</f>
        <v>#N/A</v>
      </c>
      <c r="H3307" s="6" t="e">
        <f>VLOOKUP('Customer Info'!A3299,'Customer Info'!A3299:I3799,3,FALSE)</f>
        <v>#N/A</v>
      </c>
      <c r="I3307" s="6" t="e">
        <f>VLOOKUP('Customer Info'!A3299,'Customer Info'!A3299:I3798,5,FALSE)</f>
        <v>#N/A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321</v>
      </c>
      <c r="R3307" s="2" t="s">
        <v>50</v>
      </c>
      <c r="S3307" s="9">
        <f t="shared" si="259"/>
        <v>0.05</v>
      </c>
    </row>
    <row r="3308" spans="1:19" x14ac:dyDescent="0.25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e">
        <f>VLOOKUP('Customer Info'!A3300,'Customer Info'!A3300:I3799,2,FALSE)</f>
        <v>#N/A</v>
      </c>
      <c r="H3308" s="6" t="e">
        <f>VLOOKUP('Customer Info'!A3300,'Customer Info'!A3300:I3800,3,FALSE)</f>
        <v>#N/A</v>
      </c>
      <c r="I3308" s="6" t="e">
        <f>VLOOKUP('Customer Info'!A3300,'Customer Info'!A3300:I3799,5,FALSE)</f>
        <v>#N/A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91</v>
      </c>
      <c r="R3308" s="2" t="s">
        <v>28</v>
      </c>
      <c r="S3308" s="9">
        <f t="shared" si="259"/>
        <v>0.02</v>
      </c>
    </row>
    <row r="3309" spans="1:19" x14ac:dyDescent="0.25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e">
        <f>VLOOKUP('Customer Info'!A3301,'Customer Info'!A3301:I3800,2,FALSE)</f>
        <v>#N/A</v>
      </c>
      <c r="H3309" s="6" t="e">
        <f>VLOOKUP('Customer Info'!A3301,'Customer Info'!A3301:I3801,3,FALSE)</f>
        <v>#N/A</v>
      </c>
      <c r="I3309" s="6" t="e">
        <f>VLOOKUP('Customer Info'!A3301,'Customer Info'!A3301:I3800,5,FALSE)</f>
        <v>#N/A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752</v>
      </c>
      <c r="R3309" s="2" t="s">
        <v>26</v>
      </c>
      <c r="S3309" s="9">
        <f t="shared" si="259"/>
        <v>0.05</v>
      </c>
    </row>
    <row r="3310" spans="1:19" x14ac:dyDescent="0.25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e">
        <f>VLOOKUP('Customer Info'!A3302,'Customer Info'!A3302:I3801,2,FALSE)</f>
        <v>#N/A</v>
      </c>
      <c r="H3310" s="6" t="e">
        <f>VLOOKUP('Customer Info'!A3302,'Customer Info'!A3302:I3802,3,FALSE)</f>
        <v>#N/A</v>
      </c>
      <c r="I3310" s="6" t="e">
        <f>VLOOKUP('Customer Info'!A3302,'Customer Info'!A3302:I3801,5,FALSE)</f>
        <v>#N/A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880</v>
      </c>
      <c r="R3310" s="2" t="s">
        <v>50</v>
      </c>
      <c r="S3310" s="9">
        <f t="shared" si="259"/>
        <v>0.05</v>
      </c>
    </row>
    <row r="3311" spans="1:19" x14ac:dyDescent="0.25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e">
        <f>VLOOKUP('Customer Info'!A3303,'Customer Info'!A3303:I3802,2,FALSE)</f>
        <v>#N/A</v>
      </c>
      <c r="H3311" s="6" t="e">
        <f>VLOOKUP('Customer Info'!A3303,'Customer Info'!A3303:I3803,3,FALSE)</f>
        <v>#N/A</v>
      </c>
      <c r="I3311" s="6" t="e">
        <f>VLOOKUP('Customer Info'!A3303,'Customer Info'!A3303:I3802,5,FALSE)</f>
        <v>#N/A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745</v>
      </c>
      <c r="R3311" s="2" t="s">
        <v>28</v>
      </c>
      <c r="S3311" s="9">
        <f t="shared" si="259"/>
        <v>0.05</v>
      </c>
    </row>
    <row r="3312" spans="1:19" x14ac:dyDescent="0.25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e">
        <f>VLOOKUP('Customer Info'!A3304,'Customer Info'!A3304:I3803,2,FALSE)</f>
        <v>#N/A</v>
      </c>
      <c r="H3312" s="6" t="e">
        <f>VLOOKUP('Customer Info'!A3304,'Customer Info'!A3304:I3804,3,FALSE)</f>
        <v>#N/A</v>
      </c>
      <c r="I3312" s="6" t="e">
        <f>VLOOKUP('Customer Info'!A3304,'Customer Info'!A3304:I3803,5,FALSE)</f>
        <v>#N/A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1371</v>
      </c>
      <c r="R3312" s="2" t="s">
        <v>28</v>
      </c>
      <c r="S3312" s="9">
        <f t="shared" si="259"/>
        <v>7.0000000000000007E-2</v>
      </c>
    </row>
    <row r="3313" spans="1:19" x14ac:dyDescent="0.25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e">
        <f>VLOOKUP('Customer Info'!A3305,'Customer Info'!A3305:I3804,2,FALSE)</f>
        <v>#N/A</v>
      </c>
      <c r="H3313" s="6" t="e">
        <f>VLOOKUP('Customer Info'!A3305,'Customer Info'!A3305:I3805,3,FALSE)</f>
        <v>#N/A</v>
      </c>
      <c r="I3313" s="6" t="e">
        <f>VLOOKUP('Customer Info'!A3305,'Customer Info'!A3305:I3804,5,FALSE)</f>
        <v>#N/A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454</v>
      </c>
      <c r="R3313" s="2" t="s">
        <v>50</v>
      </c>
      <c r="S3313" s="9">
        <f t="shared" si="259"/>
        <v>0.02</v>
      </c>
    </row>
    <row r="3314" spans="1:19" x14ac:dyDescent="0.25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e">
        <f>VLOOKUP('Customer Info'!A3306,'Customer Info'!A3306:I3805,2,FALSE)</f>
        <v>#N/A</v>
      </c>
      <c r="H3314" s="6" t="e">
        <f>VLOOKUP('Customer Info'!A3306,'Customer Info'!A3306:I3806,3,FALSE)</f>
        <v>#N/A</v>
      </c>
      <c r="I3314" s="6" t="e">
        <f>VLOOKUP('Customer Info'!A3306,'Customer Info'!A3306:I3805,5,FALSE)</f>
        <v>#N/A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200</v>
      </c>
      <c r="R3314" s="2" t="s">
        <v>50</v>
      </c>
      <c r="S3314" s="9">
        <f t="shared" si="259"/>
        <v>0.05</v>
      </c>
    </row>
    <row r="3315" spans="1:19" x14ac:dyDescent="0.25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e">
        <f>VLOOKUP('Customer Info'!A3307,'Customer Info'!A3307:I3806,2,FALSE)</f>
        <v>#N/A</v>
      </c>
      <c r="H3315" s="6" t="e">
        <f>VLOOKUP('Customer Info'!A3307,'Customer Info'!A3307:I3807,3,FALSE)</f>
        <v>#N/A</v>
      </c>
      <c r="I3315" s="6" t="e">
        <f>VLOOKUP('Customer Info'!A3307,'Customer Info'!A3307:I3806,5,FALSE)</f>
        <v>#N/A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172</v>
      </c>
      <c r="R3315" s="2" t="s">
        <v>28</v>
      </c>
      <c r="S3315" s="9">
        <f t="shared" si="259"/>
        <v>0.02</v>
      </c>
    </row>
    <row r="3316" spans="1:19" x14ac:dyDescent="0.25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e">
        <f>VLOOKUP('Customer Info'!A3308,'Customer Info'!A3308:I3807,2,FALSE)</f>
        <v>#N/A</v>
      </c>
      <c r="H3316" s="6" t="e">
        <f>VLOOKUP('Customer Info'!A3308,'Customer Info'!A3308:I3808,3,FALSE)</f>
        <v>#N/A</v>
      </c>
      <c r="I3316" s="6" t="e">
        <f>VLOOKUP('Customer Info'!A3308,'Customer Info'!A3308:I3807,5,FALSE)</f>
        <v>#N/A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14</v>
      </c>
      <c r="R3316" s="2" t="s">
        <v>50</v>
      </c>
      <c r="S3316" s="9">
        <f t="shared" si="259"/>
        <v>0.02</v>
      </c>
    </row>
    <row r="3317" spans="1:19" x14ac:dyDescent="0.25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e">
        <f>VLOOKUP('Customer Info'!A3309,'Customer Info'!A3309:I3808,2,FALSE)</f>
        <v>#N/A</v>
      </c>
      <c r="H3317" s="6" t="e">
        <f>VLOOKUP('Customer Info'!A3309,'Customer Info'!A3309:I3809,3,FALSE)</f>
        <v>#N/A</v>
      </c>
      <c r="I3317" s="6" t="e">
        <f>VLOOKUP('Customer Info'!A3309,'Customer Info'!A3309:I3808,5,FALSE)</f>
        <v>#N/A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97</v>
      </c>
      <c r="R3317" s="2" t="s">
        <v>50</v>
      </c>
      <c r="S3317" s="9">
        <f t="shared" si="259"/>
        <v>0.02</v>
      </c>
    </row>
    <row r="3318" spans="1:19" x14ac:dyDescent="0.25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e">
        <f>VLOOKUP('Customer Info'!A3310,'Customer Info'!A3310:I3809,2,FALSE)</f>
        <v>#N/A</v>
      </c>
      <c r="H3318" s="6" t="e">
        <f>VLOOKUP('Customer Info'!A3310,'Customer Info'!A3310:I3810,3,FALSE)</f>
        <v>#N/A</v>
      </c>
      <c r="I3318" s="6" t="e">
        <f>VLOOKUP('Customer Info'!A3310,'Customer Info'!A3310:I3809,5,FALSE)</f>
        <v>#N/A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169</v>
      </c>
      <c r="R3318" s="2" t="s">
        <v>28</v>
      </c>
      <c r="S3318" s="9">
        <f t="shared" si="259"/>
        <v>0.02</v>
      </c>
    </row>
    <row r="3319" spans="1:19" x14ac:dyDescent="0.25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e">
        <f>VLOOKUP('Customer Info'!A3311,'Customer Info'!A3311:I3810,2,FALSE)</f>
        <v>#N/A</v>
      </c>
      <c r="H3319" s="6" t="e">
        <f>VLOOKUP('Customer Info'!A3311,'Customer Info'!A3311:I3811,3,FALSE)</f>
        <v>#N/A</v>
      </c>
      <c r="I3319" s="6" t="e">
        <f>VLOOKUP('Customer Info'!A3311,'Customer Info'!A3311:I3810,5,FALSE)</f>
        <v>#N/A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113</v>
      </c>
      <c r="R3319" s="2" t="s">
        <v>28</v>
      </c>
      <c r="S3319" s="9">
        <f t="shared" si="259"/>
        <v>0.02</v>
      </c>
    </row>
    <row r="3320" spans="1:19" x14ac:dyDescent="0.25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e">
        <f>VLOOKUP('Customer Info'!A3312,'Customer Info'!A3312:I3811,2,FALSE)</f>
        <v>#N/A</v>
      </c>
      <c r="H3320" s="6" t="e">
        <f>VLOOKUP('Customer Info'!A3312,'Customer Info'!A3312:I3812,3,FALSE)</f>
        <v>#N/A</v>
      </c>
      <c r="I3320" s="6" t="e">
        <f>VLOOKUP('Customer Info'!A3312,'Customer Info'!A3312:I3811,5,FALSE)</f>
        <v>#N/A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1199</v>
      </c>
      <c r="R3320" s="2" t="s">
        <v>28</v>
      </c>
      <c r="S3320" s="9">
        <f t="shared" si="259"/>
        <v>0.05</v>
      </c>
    </row>
    <row r="3321" spans="1:19" x14ac:dyDescent="0.25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e">
        <f>VLOOKUP('Customer Info'!A3313,'Customer Info'!A3313:I3812,2,FALSE)</f>
        <v>#N/A</v>
      </c>
      <c r="H3321" s="6" t="e">
        <f>VLOOKUP('Customer Info'!A3313,'Customer Info'!A3313:I3813,3,FALSE)</f>
        <v>#N/A</v>
      </c>
      <c r="I3321" s="6" t="e">
        <f>VLOOKUP('Customer Info'!A3313,'Customer Info'!A3313:I3812,5,FALSE)</f>
        <v>#N/A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966</v>
      </c>
      <c r="R3321" s="2" t="s">
        <v>28</v>
      </c>
      <c r="S3321" s="9">
        <f t="shared" si="259"/>
        <v>0.05</v>
      </c>
    </row>
    <row r="3322" spans="1:19" x14ac:dyDescent="0.25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e">
        <f>VLOOKUP('Customer Info'!A3314,'Customer Info'!A3314:I3813,2,FALSE)</f>
        <v>#N/A</v>
      </c>
      <c r="H3322" s="6" t="e">
        <f>VLOOKUP('Customer Info'!A3314,'Customer Info'!A3314:I3814,3,FALSE)</f>
        <v>#N/A</v>
      </c>
      <c r="I3322" s="6" t="e">
        <f>VLOOKUP('Customer Info'!A3314,'Customer Info'!A3314:I3813,5,FALSE)</f>
        <v>#N/A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302</v>
      </c>
      <c r="R3322" s="2" t="s">
        <v>28</v>
      </c>
      <c r="S3322" s="9">
        <f t="shared" si="259"/>
        <v>0.05</v>
      </c>
    </row>
    <row r="3323" spans="1:19" x14ac:dyDescent="0.25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e">
        <f>VLOOKUP('Customer Info'!A3315,'Customer Info'!A3315:I3814,2,FALSE)</f>
        <v>#N/A</v>
      </c>
      <c r="H3323" s="6" t="e">
        <f>VLOOKUP('Customer Info'!A3315,'Customer Info'!A3315:I3815,3,FALSE)</f>
        <v>#N/A</v>
      </c>
      <c r="I3323" s="6" t="e">
        <f>VLOOKUP('Customer Info'!A3315,'Customer Info'!A3315:I3814,5,FALSE)</f>
        <v>#N/A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3678</v>
      </c>
      <c r="R3323" s="2" t="s">
        <v>28</v>
      </c>
      <c r="S3323" s="9">
        <f t="shared" si="259"/>
        <v>7.0000000000000007E-2</v>
      </c>
    </row>
    <row r="3324" spans="1:19" x14ac:dyDescent="0.25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e">
        <f>VLOOKUP('Customer Info'!A3316,'Customer Info'!A3316:I3815,2,FALSE)</f>
        <v>#N/A</v>
      </c>
      <c r="H3324" s="6" t="e">
        <f>VLOOKUP('Customer Info'!A3316,'Customer Info'!A3316:I3816,3,FALSE)</f>
        <v>#N/A</v>
      </c>
      <c r="I3324" s="6" t="e">
        <f>VLOOKUP('Customer Info'!A3316,'Customer Info'!A3316:I3815,5,FALSE)</f>
        <v>#N/A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15</v>
      </c>
      <c r="R3324" s="2" t="s">
        <v>28</v>
      </c>
      <c r="S3324" s="9">
        <f t="shared" si="259"/>
        <v>0.02</v>
      </c>
    </row>
    <row r="3325" spans="1:19" x14ac:dyDescent="0.25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e">
        <f>VLOOKUP('Customer Info'!A3317,'Customer Info'!A3317:I3816,2,FALSE)</f>
        <v>#N/A</v>
      </c>
      <c r="H3325" s="6" t="e">
        <f>VLOOKUP('Customer Info'!A3317,'Customer Info'!A3317:I3817,3,FALSE)</f>
        <v>#N/A</v>
      </c>
      <c r="I3325" s="6" t="e">
        <f>VLOOKUP('Customer Info'!A3317,'Customer Info'!A3317:I3816,5,FALSE)</f>
        <v>#N/A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9889</v>
      </c>
      <c r="R3325" s="2" t="s">
        <v>26</v>
      </c>
      <c r="S3325" s="9">
        <f t="shared" si="259"/>
        <v>0.12</v>
      </c>
    </row>
    <row r="3326" spans="1:19" x14ac:dyDescent="0.25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e">
        <f>VLOOKUP('Customer Info'!A3318,'Customer Info'!A3318:I3817,2,FALSE)</f>
        <v>#N/A</v>
      </c>
      <c r="H3326" s="6" t="e">
        <f>VLOOKUP('Customer Info'!A3318,'Customer Info'!A3318:I3818,3,FALSE)</f>
        <v>#N/A</v>
      </c>
      <c r="I3326" s="6" t="e">
        <f>VLOOKUP('Customer Info'!A3318,'Customer Info'!A3318:I3817,5,FALSE)</f>
        <v>#N/A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43</v>
      </c>
      <c r="R3326" s="2" t="s">
        <v>50</v>
      </c>
      <c r="S3326" s="9">
        <f t="shared" si="259"/>
        <v>0.02</v>
      </c>
    </row>
    <row r="3327" spans="1:19" x14ac:dyDescent="0.25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e">
        <f>VLOOKUP('Customer Info'!A3319,'Customer Info'!A3319:I3818,2,FALSE)</f>
        <v>#N/A</v>
      </c>
      <c r="H3327" s="6" t="e">
        <f>VLOOKUP('Customer Info'!A3319,'Customer Info'!A3319:I3819,3,FALSE)</f>
        <v>#N/A</v>
      </c>
      <c r="I3327" s="6" t="e">
        <f>VLOOKUP('Customer Info'!A3319,'Customer Info'!A3319:I3818,5,FALSE)</f>
        <v>#N/A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117</v>
      </c>
      <c r="R3327" s="2" t="s">
        <v>28</v>
      </c>
      <c r="S3327" s="9">
        <f t="shared" si="259"/>
        <v>0.02</v>
      </c>
    </row>
    <row r="3328" spans="1:19" x14ac:dyDescent="0.25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e">
        <f>VLOOKUP('Customer Info'!A3320,'Customer Info'!A3320:I3819,2,FALSE)</f>
        <v>#N/A</v>
      </c>
      <c r="H3328" s="6" t="e">
        <f>VLOOKUP('Customer Info'!A3320,'Customer Info'!A3320:I3820,3,FALSE)</f>
        <v>#N/A</v>
      </c>
      <c r="I3328" s="6" t="e">
        <f>VLOOKUP('Customer Info'!A3320,'Customer Info'!A3320:I3819,5,FALSE)</f>
        <v>#N/A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1311</v>
      </c>
      <c r="R3328" s="2" t="s">
        <v>28</v>
      </c>
      <c r="S3328" s="9">
        <f t="shared" si="259"/>
        <v>0.05</v>
      </c>
    </row>
    <row r="3329" spans="1:19" x14ac:dyDescent="0.25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e">
        <f>VLOOKUP('Customer Info'!A3321,'Customer Info'!A3321:I3820,2,FALSE)</f>
        <v>#N/A</v>
      </c>
      <c r="H3329" s="6" t="e">
        <f>VLOOKUP('Customer Info'!A3321,'Customer Info'!A3321:I3821,3,FALSE)</f>
        <v>#N/A</v>
      </c>
      <c r="I3329" s="6" t="e">
        <f>VLOOKUP('Customer Info'!A3321,'Customer Info'!A3321:I3820,5,FALSE)</f>
        <v>#N/A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3429</v>
      </c>
      <c r="R3329" s="2" t="s">
        <v>50</v>
      </c>
      <c r="S3329" s="9">
        <f t="shared" si="259"/>
        <v>7.0000000000000007E-2</v>
      </c>
    </row>
    <row r="3330" spans="1:19" x14ac:dyDescent="0.25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e">
        <f>VLOOKUP('Customer Info'!A3322,'Customer Info'!A3322:I3821,2,FALSE)</f>
        <v>#N/A</v>
      </c>
      <c r="H3330" s="6" t="e">
        <f>VLOOKUP('Customer Info'!A3322,'Customer Info'!A3322:I3822,3,FALSE)</f>
        <v>#N/A</v>
      </c>
      <c r="I3330" s="6" t="e">
        <f>VLOOKUP('Customer Info'!A3322,'Customer Info'!A3322:I3821,5,FALSE)</f>
        <v>#N/A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355</v>
      </c>
      <c r="R3330" s="2" t="s">
        <v>50</v>
      </c>
      <c r="S3330" s="9">
        <f t="shared" si="259"/>
        <v>0.02</v>
      </c>
    </row>
    <row r="3331" spans="1:19" x14ac:dyDescent="0.25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e">
        <f>VLOOKUP('Customer Info'!A3323,'Customer Info'!A3323:I3822,2,FALSE)</f>
        <v>#N/A</v>
      </c>
      <c r="H3331" s="6" t="e">
        <f>VLOOKUP('Customer Info'!A3323,'Customer Info'!A3323:I3823,3,FALSE)</f>
        <v>#N/A</v>
      </c>
      <c r="I3331" s="6" t="e">
        <f>VLOOKUP('Customer Info'!A3323,'Customer Info'!A3323:I3822,5,FALSE)</f>
        <v>#N/A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310</v>
      </c>
      <c r="R3331" s="2" t="s">
        <v>50</v>
      </c>
      <c r="S3331" s="9">
        <f t="shared" si="259"/>
        <v>0.05</v>
      </c>
    </row>
    <row r="3332" spans="1:19" x14ac:dyDescent="0.25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e">
        <f>VLOOKUP('Customer Info'!A3324,'Customer Info'!A3324:I3823,2,FALSE)</f>
        <v>#N/A</v>
      </c>
      <c r="H3332" s="6" t="e">
        <f>VLOOKUP('Customer Info'!A3324,'Customer Info'!A3324:I3824,3,FALSE)</f>
        <v>#N/A</v>
      </c>
      <c r="I3332" s="6" t="e">
        <f>VLOOKUP('Customer Info'!A3324,'Customer Info'!A3324:I3823,5,FALSE)</f>
        <v>#N/A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290</v>
      </c>
      <c r="R3332" s="2" t="s">
        <v>50</v>
      </c>
      <c r="S3332" s="9">
        <f t="shared" si="259"/>
        <v>0.02</v>
      </c>
    </row>
    <row r="3333" spans="1:19" x14ac:dyDescent="0.25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e">
        <f>VLOOKUP('Customer Info'!A3325,'Customer Info'!A3325:I3824,2,FALSE)</f>
        <v>#N/A</v>
      </c>
      <c r="H3333" s="6" t="e">
        <f>VLOOKUP('Customer Info'!A3325,'Customer Info'!A3325:I3825,3,FALSE)</f>
        <v>#N/A</v>
      </c>
      <c r="I3333" s="6" t="e">
        <f>VLOOKUP('Customer Info'!A3325,'Customer Info'!A3325:I3824,5,FALSE)</f>
        <v>#N/A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268</v>
      </c>
      <c r="R3333" s="2" t="s">
        <v>56</v>
      </c>
      <c r="S3333" s="9">
        <f t="shared" si="259"/>
        <v>0.05</v>
      </c>
    </row>
    <row r="3334" spans="1:19" x14ac:dyDescent="0.25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e">
        <f>VLOOKUP('Customer Info'!A3326,'Customer Info'!A3326:I3825,2,FALSE)</f>
        <v>#N/A</v>
      </c>
      <c r="H3334" s="6" t="e">
        <f>VLOOKUP('Customer Info'!A3326,'Customer Info'!A3326:I3826,3,FALSE)</f>
        <v>#N/A</v>
      </c>
      <c r="I3334" s="6" t="e">
        <f>VLOOKUP('Customer Info'!A3326,'Customer Info'!A3326:I3825,5,FALSE)</f>
        <v>#N/A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2495</v>
      </c>
      <c r="R3334" s="2" t="s">
        <v>28</v>
      </c>
      <c r="S3334" s="9">
        <f t="shared" si="259"/>
        <v>0.05</v>
      </c>
    </row>
    <row r="3335" spans="1:19" x14ac:dyDescent="0.25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e">
        <f>VLOOKUP('Customer Info'!A3327,'Customer Info'!A3327:I3826,2,FALSE)</f>
        <v>#N/A</v>
      </c>
      <c r="H3335" s="6" t="e">
        <f>VLOOKUP('Customer Info'!A3327,'Customer Info'!A3327:I3827,3,FALSE)</f>
        <v>#N/A</v>
      </c>
      <c r="I3335" s="6" t="e">
        <f>VLOOKUP('Customer Info'!A3327,'Customer Info'!A3327:I3826,5,FALSE)</f>
        <v>#N/A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603</v>
      </c>
      <c r="R3335" s="2" t="s">
        <v>50</v>
      </c>
      <c r="S3335" s="9">
        <f t="shared" si="259"/>
        <v>0.05</v>
      </c>
    </row>
    <row r="3336" spans="1:19" x14ac:dyDescent="0.25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e">
        <f>VLOOKUP('Customer Info'!A3328,'Customer Info'!A3328:I3827,2,FALSE)</f>
        <v>#N/A</v>
      </c>
      <c r="H3336" s="6" t="e">
        <f>VLOOKUP('Customer Info'!A3328,'Customer Info'!A3328:I3828,3,FALSE)</f>
        <v>#N/A</v>
      </c>
      <c r="I3336" s="6" t="e">
        <f>VLOOKUP('Customer Info'!A3328,'Customer Info'!A3328:I3827,5,FALSE)</f>
        <v>#N/A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2184</v>
      </c>
      <c r="R3336" s="2" t="s">
        <v>50</v>
      </c>
      <c r="S3336" s="9">
        <f t="shared" si="259"/>
        <v>7.0000000000000007E-2</v>
      </c>
    </row>
    <row r="3337" spans="1:19" x14ac:dyDescent="0.25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e">
        <f>VLOOKUP('Customer Info'!A3329,'Customer Info'!A3329:I3828,2,FALSE)</f>
        <v>#N/A</v>
      </c>
      <c r="H3337" s="6" t="e">
        <f>VLOOKUP('Customer Info'!A3329,'Customer Info'!A3329:I3829,3,FALSE)</f>
        <v>#N/A</v>
      </c>
      <c r="I3337" s="6" t="e">
        <f>VLOOKUP('Customer Info'!A3329,'Customer Info'!A3329:I3828,5,FALSE)</f>
        <v>#N/A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232</v>
      </c>
      <c r="R3337" s="2" t="s">
        <v>28</v>
      </c>
      <c r="S3337" s="9">
        <f t="shared" si="259"/>
        <v>0.02</v>
      </c>
    </row>
    <row r="3338" spans="1:19" x14ac:dyDescent="0.25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e">
        <f>VLOOKUP('Customer Info'!A3330,'Customer Info'!A3330:I3829,2,FALSE)</f>
        <v>#N/A</v>
      </c>
      <c r="H3338" s="6" t="e">
        <f>VLOOKUP('Customer Info'!A3330,'Customer Info'!A3330:I3830,3,FALSE)</f>
        <v>#N/A</v>
      </c>
      <c r="I3338" s="6" t="e">
        <f>VLOOKUP('Customer Info'!A3330,'Customer Info'!A3330:I3829,5,FALSE)</f>
        <v>#N/A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424</v>
      </c>
      <c r="R3338" s="2" t="s">
        <v>28</v>
      </c>
      <c r="S3338" s="9">
        <f t="shared" si="259"/>
        <v>0.02</v>
      </c>
    </row>
    <row r="3339" spans="1:19" x14ac:dyDescent="0.25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e">
        <f>VLOOKUP('Customer Info'!A3331,'Customer Info'!A3331:I3830,2,FALSE)</f>
        <v>#N/A</v>
      </c>
      <c r="H3339" s="6" t="e">
        <f>VLOOKUP('Customer Info'!A3331,'Customer Info'!A3331:I3831,3,FALSE)</f>
        <v>#N/A</v>
      </c>
      <c r="I3339" s="6" t="e">
        <f>VLOOKUP('Customer Info'!A3331,'Customer Info'!A3331:I3830,5,FALSE)</f>
        <v>#N/A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8">
        <f t="shared" ref="P3339:P3402" si="262">N3339+O3339</f>
        <v>2073</v>
      </c>
      <c r="Q3339" s="8">
        <f t="shared" ref="Q3339:Q3402" si="263">P3339-M3339</f>
        <v>257</v>
      </c>
      <c r="R3339" s="2" t="s">
        <v>28</v>
      </c>
      <c r="S3339" s="9">
        <f t="shared" ref="S3339:S3402" si="264">VLOOKUP(P3339,$T$2:$U$7,2,TRUE)</f>
        <v>0.02</v>
      </c>
    </row>
    <row r="3340" spans="1:19" x14ac:dyDescent="0.25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e">
        <f>VLOOKUP('Customer Info'!A3332,'Customer Info'!A3332:I3831,2,FALSE)</f>
        <v>#N/A</v>
      </c>
      <c r="H3340" s="6" t="e">
        <f>VLOOKUP('Customer Info'!A3332,'Customer Info'!A3332:I3832,3,FALSE)</f>
        <v>#N/A</v>
      </c>
      <c r="I3340" s="6" t="e">
        <f>VLOOKUP('Customer Info'!A3332,'Customer Info'!A3332:I3831,5,FALSE)</f>
        <v>#N/A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722</v>
      </c>
      <c r="R3340" s="2" t="s">
        <v>28</v>
      </c>
      <c r="S3340" s="9">
        <f t="shared" si="264"/>
        <v>0.05</v>
      </c>
    </row>
    <row r="3341" spans="1:19" x14ac:dyDescent="0.25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e">
        <f>VLOOKUP('Customer Info'!A3333,'Customer Info'!A3333:I3832,2,FALSE)</f>
        <v>#N/A</v>
      </c>
      <c r="H3341" s="6" t="e">
        <f>VLOOKUP('Customer Info'!A3333,'Customer Info'!A3333:I3833,3,FALSE)</f>
        <v>#N/A</v>
      </c>
      <c r="I3341" s="6" t="e">
        <f>VLOOKUP('Customer Info'!A3333,'Customer Info'!A3333:I3832,5,FALSE)</f>
        <v>#N/A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2512</v>
      </c>
      <c r="R3341" s="2" t="s">
        <v>28</v>
      </c>
      <c r="S3341" s="9">
        <f t="shared" si="264"/>
        <v>7.0000000000000007E-2</v>
      </c>
    </row>
    <row r="3342" spans="1:19" x14ac:dyDescent="0.25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e">
        <f>VLOOKUP('Customer Info'!A3334,'Customer Info'!A3334:I3833,2,FALSE)</f>
        <v>#N/A</v>
      </c>
      <c r="H3342" s="6" t="e">
        <f>VLOOKUP('Customer Info'!A3334,'Customer Info'!A3334:I3834,3,FALSE)</f>
        <v>#N/A</v>
      </c>
      <c r="I3342" s="6" t="e">
        <f>VLOOKUP('Customer Info'!A3334,'Customer Info'!A3334:I3833,5,FALSE)</f>
        <v>#N/A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113</v>
      </c>
      <c r="R3342" s="2" t="s">
        <v>28</v>
      </c>
      <c r="S3342" s="9">
        <f t="shared" si="264"/>
        <v>0.02</v>
      </c>
    </row>
    <row r="3343" spans="1:19" x14ac:dyDescent="0.25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e">
        <f>VLOOKUP('Customer Info'!A3335,'Customer Info'!A3335:I3834,2,FALSE)</f>
        <v>#N/A</v>
      </c>
      <c r="H3343" s="6" t="e">
        <f>VLOOKUP('Customer Info'!A3335,'Customer Info'!A3335:I3835,3,FALSE)</f>
        <v>#N/A</v>
      </c>
      <c r="I3343" s="6" t="e">
        <f>VLOOKUP('Customer Info'!A3335,'Customer Info'!A3335:I3834,5,FALSE)</f>
        <v>#N/A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115</v>
      </c>
      <c r="R3343" s="2" t="s">
        <v>28</v>
      </c>
      <c r="S3343" s="9">
        <f t="shared" si="264"/>
        <v>0.02</v>
      </c>
    </row>
    <row r="3344" spans="1:19" x14ac:dyDescent="0.25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e">
        <f>VLOOKUP('Customer Info'!A3336,'Customer Info'!A3336:I3835,2,FALSE)</f>
        <v>#N/A</v>
      </c>
      <c r="H3344" s="6" t="e">
        <f>VLOOKUP('Customer Info'!A3336,'Customer Info'!A3336:I3836,3,FALSE)</f>
        <v>#N/A</v>
      </c>
      <c r="I3344" s="6" t="e">
        <f>VLOOKUP('Customer Info'!A3336,'Customer Info'!A3336:I3835,5,FALSE)</f>
        <v>#N/A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54</v>
      </c>
      <c r="R3344" s="2" t="s">
        <v>28</v>
      </c>
      <c r="S3344" s="9">
        <f t="shared" si="264"/>
        <v>0.02</v>
      </c>
    </row>
    <row r="3345" spans="1:19" x14ac:dyDescent="0.25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e">
        <f>VLOOKUP('Customer Info'!A3337,'Customer Info'!A3337:I3836,2,FALSE)</f>
        <v>#N/A</v>
      </c>
      <c r="H3345" s="6" t="e">
        <f>VLOOKUP('Customer Info'!A3337,'Customer Info'!A3337:I3837,3,FALSE)</f>
        <v>#N/A</v>
      </c>
      <c r="I3345" s="6" t="e">
        <f>VLOOKUP('Customer Info'!A3337,'Customer Info'!A3337:I3836,5,FALSE)</f>
        <v>#N/A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158</v>
      </c>
      <c r="R3345" s="2" t="s">
        <v>28</v>
      </c>
      <c r="S3345" s="9">
        <f t="shared" si="264"/>
        <v>0.02</v>
      </c>
    </row>
    <row r="3346" spans="1:19" x14ac:dyDescent="0.25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e">
        <f>VLOOKUP('Customer Info'!A3338,'Customer Info'!A3338:I3837,2,FALSE)</f>
        <v>#N/A</v>
      </c>
      <c r="H3346" s="6" t="e">
        <f>VLOOKUP('Customer Info'!A3338,'Customer Info'!A3338:I3838,3,FALSE)</f>
        <v>#N/A</v>
      </c>
      <c r="I3346" s="6" t="e">
        <f>VLOOKUP('Customer Info'!A3338,'Customer Info'!A3338:I3837,5,FALSE)</f>
        <v>#N/A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15</v>
      </c>
      <c r="R3346" s="2" t="s">
        <v>26</v>
      </c>
      <c r="S3346" s="9">
        <f t="shared" si="264"/>
        <v>0.02</v>
      </c>
    </row>
    <row r="3347" spans="1:19" x14ac:dyDescent="0.25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e">
        <f>VLOOKUP('Customer Info'!A3339,'Customer Info'!A3339:I3838,2,FALSE)</f>
        <v>#N/A</v>
      </c>
      <c r="H3347" s="6" t="e">
        <f>VLOOKUP('Customer Info'!A3339,'Customer Info'!A3339:I3839,3,FALSE)</f>
        <v>#N/A</v>
      </c>
      <c r="I3347" s="6" t="e">
        <f>VLOOKUP('Customer Info'!A3339,'Customer Info'!A3339:I3838,5,FALSE)</f>
        <v>#N/A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665</v>
      </c>
      <c r="R3347" s="2" t="s">
        <v>28</v>
      </c>
      <c r="S3347" s="9">
        <f t="shared" si="264"/>
        <v>0.05</v>
      </c>
    </row>
    <row r="3348" spans="1:19" x14ac:dyDescent="0.25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e">
        <f>VLOOKUP('Customer Info'!A3340,'Customer Info'!A3340:I3839,2,FALSE)</f>
        <v>#N/A</v>
      </c>
      <c r="H3348" s="6" t="e">
        <f>VLOOKUP('Customer Info'!A3340,'Customer Info'!A3340:I3840,3,FALSE)</f>
        <v>#N/A</v>
      </c>
      <c r="I3348" s="6" t="e">
        <f>VLOOKUP('Customer Info'!A3340,'Customer Info'!A3340:I3839,5,FALSE)</f>
        <v>#N/A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158</v>
      </c>
      <c r="R3348" s="2" t="s">
        <v>50</v>
      </c>
      <c r="S3348" s="9">
        <f t="shared" si="264"/>
        <v>0.02</v>
      </c>
    </row>
    <row r="3349" spans="1:19" x14ac:dyDescent="0.25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e">
        <f>VLOOKUP('Customer Info'!A3341,'Customer Info'!A3341:I3840,2,FALSE)</f>
        <v>#N/A</v>
      </c>
      <c r="H3349" s="6" t="e">
        <f>VLOOKUP('Customer Info'!A3341,'Customer Info'!A3341:I3841,3,FALSE)</f>
        <v>#N/A</v>
      </c>
      <c r="I3349" s="6" t="e">
        <f>VLOOKUP('Customer Info'!A3341,'Customer Info'!A3341:I3840,5,FALSE)</f>
        <v>#N/A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274</v>
      </c>
      <c r="R3349" s="2" t="s">
        <v>28</v>
      </c>
      <c r="S3349" s="9">
        <f t="shared" si="264"/>
        <v>0.05</v>
      </c>
    </row>
    <row r="3350" spans="1:19" x14ac:dyDescent="0.25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e">
        <f>VLOOKUP('Customer Info'!A3342,'Customer Info'!A3342:I3841,2,FALSE)</f>
        <v>#N/A</v>
      </c>
      <c r="H3350" s="6" t="e">
        <f>VLOOKUP('Customer Info'!A3342,'Customer Info'!A3342:I3842,3,FALSE)</f>
        <v>#N/A</v>
      </c>
      <c r="I3350" s="6" t="e">
        <f>VLOOKUP('Customer Info'!A3342,'Customer Info'!A3342:I3841,5,FALSE)</f>
        <v>#N/A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1777</v>
      </c>
      <c r="R3350" s="2" t="s">
        <v>28</v>
      </c>
      <c r="S3350" s="9">
        <f t="shared" si="264"/>
        <v>0.05</v>
      </c>
    </row>
    <row r="3351" spans="1:19" x14ac:dyDescent="0.25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e">
        <f>VLOOKUP('Customer Info'!A3343,'Customer Info'!A3343:I3842,2,FALSE)</f>
        <v>#N/A</v>
      </c>
      <c r="H3351" s="6" t="e">
        <f>VLOOKUP('Customer Info'!A3343,'Customer Info'!A3343:I3843,3,FALSE)</f>
        <v>#N/A</v>
      </c>
      <c r="I3351" s="6" t="e">
        <f>VLOOKUP('Customer Info'!A3343,'Customer Info'!A3343:I3842,5,FALSE)</f>
        <v>#N/A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161</v>
      </c>
      <c r="R3351" s="2" t="s">
        <v>28</v>
      </c>
      <c r="S3351" s="9">
        <f t="shared" si="264"/>
        <v>0.02</v>
      </c>
    </row>
    <row r="3352" spans="1:19" x14ac:dyDescent="0.25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e">
        <f>VLOOKUP('Customer Info'!A3344,'Customer Info'!A3344:I3843,2,FALSE)</f>
        <v>#N/A</v>
      </c>
      <c r="H3352" s="6" t="e">
        <f>VLOOKUP('Customer Info'!A3344,'Customer Info'!A3344:I3844,3,FALSE)</f>
        <v>#N/A</v>
      </c>
      <c r="I3352" s="6" t="e">
        <f>VLOOKUP('Customer Info'!A3344,'Customer Info'!A3344:I3843,5,FALSE)</f>
        <v>#N/A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200</v>
      </c>
      <c r="R3352" s="2" t="s">
        <v>26</v>
      </c>
      <c r="S3352" s="9">
        <f t="shared" si="264"/>
        <v>0.02</v>
      </c>
    </row>
    <row r="3353" spans="1:19" x14ac:dyDescent="0.25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e">
        <f>VLOOKUP('Customer Info'!A3345,'Customer Info'!A3345:I3844,2,FALSE)</f>
        <v>#N/A</v>
      </c>
      <c r="H3353" s="6" t="e">
        <f>VLOOKUP('Customer Info'!A3345,'Customer Info'!A3345:I3845,3,FALSE)</f>
        <v>#N/A</v>
      </c>
      <c r="I3353" s="6" t="e">
        <f>VLOOKUP('Customer Info'!A3345,'Customer Info'!A3345:I3844,5,FALSE)</f>
        <v>#N/A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2032</v>
      </c>
      <c r="R3353" s="2" t="s">
        <v>28</v>
      </c>
      <c r="S3353" s="9">
        <f t="shared" si="264"/>
        <v>0.05</v>
      </c>
    </row>
    <row r="3354" spans="1:19" x14ac:dyDescent="0.25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e">
        <f>VLOOKUP('Customer Info'!A3346,'Customer Info'!A3346:I3845,2,FALSE)</f>
        <v>#N/A</v>
      </c>
      <c r="H3354" s="6" t="e">
        <f>VLOOKUP('Customer Info'!A3346,'Customer Info'!A3346:I3846,3,FALSE)</f>
        <v>#N/A</v>
      </c>
      <c r="I3354" s="6" t="e">
        <f>VLOOKUP('Customer Info'!A3346,'Customer Info'!A3346:I3845,5,FALSE)</f>
        <v>#N/A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399</v>
      </c>
      <c r="R3354" s="2" t="s">
        <v>28</v>
      </c>
      <c r="S3354" s="9">
        <f t="shared" si="264"/>
        <v>0.05</v>
      </c>
    </row>
    <row r="3355" spans="1:19" x14ac:dyDescent="0.25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e">
        <f>VLOOKUP('Customer Info'!A3347,'Customer Info'!A3347:I3846,2,FALSE)</f>
        <v>#N/A</v>
      </c>
      <c r="H3355" s="6" t="e">
        <f>VLOOKUP('Customer Info'!A3347,'Customer Info'!A3347:I3847,3,FALSE)</f>
        <v>#N/A</v>
      </c>
      <c r="I3355" s="6" t="e">
        <f>VLOOKUP('Customer Info'!A3347,'Customer Info'!A3347:I3846,5,FALSE)</f>
        <v>#N/A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1399</v>
      </c>
      <c r="R3355" s="2" t="s">
        <v>50</v>
      </c>
      <c r="S3355" s="9">
        <f t="shared" si="264"/>
        <v>0.05</v>
      </c>
    </row>
    <row r="3356" spans="1:19" x14ac:dyDescent="0.25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e">
        <f>VLOOKUP('Customer Info'!A3348,'Customer Info'!A3348:I3847,2,FALSE)</f>
        <v>#N/A</v>
      </c>
      <c r="H3356" s="6" t="e">
        <f>VLOOKUP('Customer Info'!A3348,'Customer Info'!A3348:I3848,3,FALSE)</f>
        <v>#N/A</v>
      </c>
      <c r="I3356" s="6" t="e">
        <f>VLOOKUP('Customer Info'!A3348,'Customer Info'!A3348:I3847,5,FALSE)</f>
        <v>#N/A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258</v>
      </c>
      <c r="R3356" s="2" t="s">
        <v>28</v>
      </c>
      <c r="S3356" s="9">
        <f t="shared" si="264"/>
        <v>0.02</v>
      </c>
    </row>
    <row r="3357" spans="1:19" x14ac:dyDescent="0.25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e">
        <f>VLOOKUP('Customer Info'!A3349,'Customer Info'!A3349:I3848,2,FALSE)</f>
        <v>#N/A</v>
      </c>
      <c r="H3357" s="6" t="e">
        <f>VLOOKUP('Customer Info'!A3349,'Customer Info'!A3349:I3849,3,FALSE)</f>
        <v>#N/A</v>
      </c>
      <c r="I3357" s="6" t="e">
        <f>VLOOKUP('Customer Info'!A3349,'Customer Info'!A3349:I3848,5,FALSE)</f>
        <v>#N/A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24</v>
      </c>
      <c r="R3357" s="2" t="s">
        <v>28</v>
      </c>
      <c r="S3357" s="9">
        <f t="shared" si="264"/>
        <v>0.02</v>
      </c>
    </row>
    <row r="3358" spans="1:19" x14ac:dyDescent="0.25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e">
        <f>VLOOKUP('Customer Info'!A3350,'Customer Info'!A3350:I3849,2,FALSE)</f>
        <v>#N/A</v>
      </c>
      <c r="H3358" s="6" t="e">
        <f>VLOOKUP('Customer Info'!A3350,'Customer Info'!A3350:I3850,3,FALSE)</f>
        <v>#N/A</v>
      </c>
      <c r="I3358" s="6" t="e">
        <f>VLOOKUP('Customer Info'!A3350,'Customer Info'!A3350:I3849,5,FALSE)</f>
        <v>#N/A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48</v>
      </c>
      <c r="R3358" s="2" t="s">
        <v>28</v>
      </c>
      <c r="S3358" s="9">
        <f t="shared" si="264"/>
        <v>0.02</v>
      </c>
    </row>
    <row r="3359" spans="1:19" x14ac:dyDescent="0.25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e">
        <f>VLOOKUP('Customer Info'!A3351,'Customer Info'!A3351:I3850,2,FALSE)</f>
        <v>#N/A</v>
      </c>
      <c r="H3359" s="6" t="e">
        <f>VLOOKUP('Customer Info'!A3351,'Customer Info'!A3351:I3851,3,FALSE)</f>
        <v>#N/A</v>
      </c>
      <c r="I3359" s="6" t="e">
        <f>VLOOKUP('Customer Info'!A3351,'Customer Info'!A3351:I3850,5,FALSE)</f>
        <v>#N/A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270</v>
      </c>
      <c r="R3359" s="2" t="s">
        <v>28</v>
      </c>
      <c r="S3359" s="9">
        <f t="shared" si="264"/>
        <v>0.02</v>
      </c>
    </row>
    <row r="3360" spans="1:19" x14ac:dyDescent="0.25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e">
        <f>VLOOKUP('Customer Info'!A3352,'Customer Info'!A3352:I3851,2,FALSE)</f>
        <v>#N/A</v>
      </c>
      <c r="H3360" s="6" t="e">
        <f>VLOOKUP('Customer Info'!A3352,'Customer Info'!A3352:I3852,3,FALSE)</f>
        <v>#N/A</v>
      </c>
      <c r="I3360" s="6" t="e">
        <f>VLOOKUP('Customer Info'!A3352,'Customer Info'!A3352:I3851,5,FALSE)</f>
        <v>#N/A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25</v>
      </c>
      <c r="R3360" s="2" t="s">
        <v>28</v>
      </c>
      <c r="S3360" s="9">
        <f t="shared" si="264"/>
        <v>0.02</v>
      </c>
    </row>
    <row r="3361" spans="1:19" x14ac:dyDescent="0.25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e">
        <f>VLOOKUP('Customer Info'!A3353,'Customer Info'!A3353:I3852,2,FALSE)</f>
        <v>#N/A</v>
      </c>
      <c r="H3361" s="6" t="e">
        <f>VLOOKUP('Customer Info'!A3353,'Customer Info'!A3353:I3853,3,FALSE)</f>
        <v>#N/A</v>
      </c>
      <c r="I3361" s="6" t="e">
        <f>VLOOKUP('Customer Info'!A3353,'Customer Info'!A3353:I3852,5,FALSE)</f>
        <v>#N/A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60</v>
      </c>
      <c r="R3361" s="2" t="s">
        <v>28</v>
      </c>
      <c r="S3361" s="9">
        <f t="shared" si="264"/>
        <v>0.02</v>
      </c>
    </row>
    <row r="3362" spans="1:19" x14ac:dyDescent="0.25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e">
        <f>VLOOKUP('Customer Info'!A3354,'Customer Info'!A3354:I3853,2,FALSE)</f>
        <v>#N/A</v>
      </c>
      <c r="H3362" s="6" t="e">
        <f>VLOOKUP('Customer Info'!A3354,'Customer Info'!A3354:I3854,3,FALSE)</f>
        <v>#N/A</v>
      </c>
      <c r="I3362" s="6" t="e">
        <f>VLOOKUP('Customer Info'!A3354,'Customer Info'!A3354:I3853,5,FALSE)</f>
        <v>#N/A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46</v>
      </c>
      <c r="R3362" s="2" t="s">
        <v>50</v>
      </c>
      <c r="S3362" s="9">
        <f t="shared" si="264"/>
        <v>0.02</v>
      </c>
    </row>
    <row r="3363" spans="1:19" x14ac:dyDescent="0.25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e">
        <f>VLOOKUP('Customer Info'!A3355,'Customer Info'!A3355:I3854,2,FALSE)</f>
        <v>#N/A</v>
      </c>
      <c r="H3363" s="6" t="e">
        <f>VLOOKUP('Customer Info'!A3355,'Customer Info'!A3355:I3855,3,FALSE)</f>
        <v>#N/A</v>
      </c>
      <c r="I3363" s="6" t="e">
        <f>VLOOKUP('Customer Info'!A3355,'Customer Info'!A3355:I3854,5,FALSE)</f>
        <v>#N/A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1070</v>
      </c>
      <c r="R3363" s="2" t="s">
        <v>28</v>
      </c>
      <c r="S3363" s="9">
        <f t="shared" si="264"/>
        <v>0.05</v>
      </c>
    </row>
    <row r="3364" spans="1:19" x14ac:dyDescent="0.25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e">
        <f>VLOOKUP('Customer Info'!A3356,'Customer Info'!A3356:I3855,2,FALSE)</f>
        <v>#N/A</v>
      </c>
      <c r="H3364" s="6" t="e">
        <f>VLOOKUP('Customer Info'!A3356,'Customer Info'!A3356:I3856,3,FALSE)</f>
        <v>#N/A</v>
      </c>
      <c r="I3364" s="6" t="e">
        <f>VLOOKUP('Customer Info'!A3356,'Customer Info'!A3356:I3855,5,FALSE)</f>
        <v>#N/A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1141</v>
      </c>
      <c r="R3364" s="2" t="s">
        <v>28</v>
      </c>
      <c r="S3364" s="9">
        <f t="shared" si="264"/>
        <v>0.05</v>
      </c>
    </row>
    <row r="3365" spans="1:19" x14ac:dyDescent="0.25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e">
        <f>VLOOKUP('Customer Info'!A3357,'Customer Info'!A3357:I3856,2,FALSE)</f>
        <v>#N/A</v>
      </c>
      <c r="H3365" s="6" t="e">
        <f>VLOOKUP('Customer Info'!A3357,'Customer Info'!A3357:I3857,3,FALSE)</f>
        <v>#N/A</v>
      </c>
      <c r="I3365" s="6" t="e">
        <f>VLOOKUP('Customer Info'!A3357,'Customer Info'!A3357:I3856,5,FALSE)</f>
        <v>#N/A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2149</v>
      </c>
      <c r="R3365" s="2" t="s">
        <v>26</v>
      </c>
      <c r="S3365" s="9">
        <f t="shared" si="264"/>
        <v>7.0000000000000007E-2</v>
      </c>
    </row>
    <row r="3366" spans="1:19" x14ac:dyDescent="0.25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e">
        <f>VLOOKUP('Customer Info'!A3358,'Customer Info'!A3358:I3857,2,FALSE)</f>
        <v>#N/A</v>
      </c>
      <c r="H3366" s="6" t="e">
        <f>VLOOKUP('Customer Info'!A3358,'Customer Info'!A3358:I3858,3,FALSE)</f>
        <v>#N/A</v>
      </c>
      <c r="I3366" s="6" t="e">
        <f>VLOOKUP('Customer Info'!A3358,'Customer Info'!A3358:I3857,5,FALSE)</f>
        <v>#N/A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274</v>
      </c>
      <c r="R3366" s="2" t="s">
        <v>56</v>
      </c>
      <c r="S3366" s="9">
        <f t="shared" si="264"/>
        <v>0.02</v>
      </c>
    </row>
    <row r="3367" spans="1:19" x14ac:dyDescent="0.25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e">
        <f>VLOOKUP('Customer Info'!A3359,'Customer Info'!A3359:I3858,2,FALSE)</f>
        <v>#N/A</v>
      </c>
      <c r="H3367" s="6" t="e">
        <f>VLOOKUP('Customer Info'!A3359,'Customer Info'!A3359:I3859,3,FALSE)</f>
        <v>#N/A</v>
      </c>
      <c r="I3367" s="6" t="e">
        <f>VLOOKUP('Customer Info'!A3359,'Customer Info'!A3359:I3858,5,FALSE)</f>
        <v>#N/A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107</v>
      </c>
      <c r="R3367" s="2" t="s">
        <v>56</v>
      </c>
      <c r="S3367" s="9">
        <f t="shared" si="264"/>
        <v>0.02</v>
      </c>
    </row>
    <row r="3368" spans="1:19" x14ac:dyDescent="0.25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e">
        <f>VLOOKUP('Customer Info'!A3360,'Customer Info'!A3360:I3859,2,FALSE)</f>
        <v>#N/A</v>
      </c>
      <c r="H3368" s="6" t="e">
        <f>VLOOKUP('Customer Info'!A3360,'Customer Info'!A3360:I3860,3,FALSE)</f>
        <v>#N/A</v>
      </c>
      <c r="I3368" s="6" t="e">
        <f>VLOOKUP('Customer Info'!A3360,'Customer Info'!A3360:I3859,5,FALSE)</f>
        <v>#N/A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1867</v>
      </c>
      <c r="R3368" s="2" t="s">
        <v>50</v>
      </c>
      <c r="S3368" s="9">
        <f t="shared" si="264"/>
        <v>0.05</v>
      </c>
    </row>
    <row r="3369" spans="1:19" x14ac:dyDescent="0.25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e">
        <f>VLOOKUP('Customer Info'!A3361,'Customer Info'!A3361:I3860,2,FALSE)</f>
        <v>#N/A</v>
      </c>
      <c r="H3369" s="6" t="e">
        <f>VLOOKUP('Customer Info'!A3361,'Customer Info'!A3361:I3861,3,FALSE)</f>
        <v>#N/A</v>
      </c>
      <c r="I3369" s="6" t="e">
        <f>VLOOKUP('Customer Info'!A3361,'Customer Info'!A3361:I3860,5,FALSE)</f>
        <v>#N/A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5584</v>
      </c>
      <c r="R3369" s="2" t="s">
        <v>56</v>
      </c>
      <c r="S3369" s="9">
        <f t="shared" si="264"/>
        <v>0.09</v>
      </c>
    </row>
    <row r="3370" spans="1:19" x14ac:dyDescent="0.25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e">
        <f>VLOOKUP('Customer Info'!A3362,'Customer Info'!A3362:I3861,2,FALSE)</f>
        <v>#N/A</v>
      </c>
      <c r="H3370" s="6" t="e">
        <f>VLOOKUP('Customer Info'!A3362,'Customer Info'!A3362:I3862,3,FALSE)</f>
        <v>#N/A</v>
      </c>
      <c r="I3370" s="6" t="e">
        <f>VLOOKUP('Customer Info'!A3362,'Customer Info'!A3362:I3861,5,FALSE)</f>
        <v>#N/A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512</v>
      </c>
      <c r="R3370" s="2" t="s">
        <v>28</v>
      </c>
      <c r="S3370" s="9">
        <f t="shared" si="264"/>
        <v>0.02</v>
      </c>
    </row>
    <row r="3371" spans="1:19" x14ac:dyDescent="0.25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e">
        <f>VLOOKUP('Customer Info'!A3363,'Customer Info'!A3363:I3862,2,FALSE)</f>
        <v>#N/A</v>
      </c>
      <c r="H3371" s="6" t="e">
        <f>VLOOKUP('Customer Info'!A3363,'Customer Info'!A3363:I3863,3,FALSE)</f>
        <v>#N/A</v>
      </c>
      <c r="I3371" s="6" t="e">
        <f>VLOOKUP('Customer Info'!A3363,'Customer Info'!A3363:I3862,5,FALSE)</f>
        <v>#N/A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790</v>
      </c>
      <c r="R3371" s="2" t="s">
        <v>56</v>
      </c>
      <c r="S3371" s="9">
        <f t="shared" si="264"/>
        <v>0.05</v>
      </c>
    </row>
    <row r="3372" spans="1:19" x14ac:dyDescent="0.25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e">
        <f>VLOOKUP('Customer Info'!A3364,'Customer Info'!A3364:I3863,2,FALSE)</f>
        <v>#N/A</v>
      </c>
      <c r="H3372" s="6" t="e">
        <f>VLOOKUP('Customer Info'!A3364,'Customer Info'!A3364:I3864,3,FALSE)</f>
        <v>#N/A</v>
      </c>
      <c r="I3372" s="6" t="e">
        <f>VLOOKUP('Customer Info'!A3364,'Customer Info'!A3364:I3863,5,FALSE)</f>
        <v>#N/A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1222</v>
      </c>
      <c r="R3372" s="2" t="s">
        <v>50</v>
      </c>
      <c r="S3372" s="9">
        <f t="shared" si="264"/>
        <v>0.05</v>
      </c>
    </row>
    <row r="3373" spans="1:19" x14ac:dyDescent="0.25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e">
        <f>VLOOKUP('Customer Info'!A3365,'Customer Info'!A3365:I3864,2,FALSE)</f>
        <v>#N/A</v>
      </c>
      <c r="H3373" s="6" t="e">
        <f>VLOOKUP('Customer Info'!A3365,'Customer Info'!A3365:I3865,3,FALSE)</f>
        <v>#N/A</v>
      </c>
      <c r="I3373" s="6" t="e">
        <f>VLOOKUP('Customer Info'!A3365,'Customer Info'!A3365:I3864,5,FALSE)</f>
        <v>#N/A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276</v>
      </c>
      <c r="R3373" s="2" t="s">
        <v>50</v>
      </c>
      <c r="S3373" s="9">
        <f t="shared" si="264"/>
        <v>0.02</v>
      </c>
    </row>
    <row r="3374" spans="1:19" x14ac:dyDescent="0.25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e">
        <f>VLOOKUP('Customer Info'!A3366,'Customer Info'!A3366:I3865,2,FALSE)</f>
        <v>#N/A</v>
      </c>
      <c r="H3374" s="6" t="e">
        <f>VLOOKUP('Customer Info'!A3366,'Customer Info'!A3366:I3866,3,FALSE)</f>
        <v>#N/A</v>
      </c>
      <c r="I3374" s="6" t="e">
        <f>VLOOKUP('Customer Info'!A3366,'Customer Info'!A3366:I3865,5,FALSE)</f>
        <v>#N/A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1816</v>
      </c>
      <c r="R3374" s="2" t="s">
        <v>50</v>
      </c>
      <c r="S3374" s="9">
        <f t="shared" si="264"/>
        <v>7.0000000000000007E-2</v>
      </c>
    </row>
    <row r="3375" spans="1:19" x14ac:dyDescent="0.25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e">
        <f>VLOOKUP('Customer Info'!A3367,'Customer Info'!A3367:I3866,2,FALSE)</f>
        <v>#N/A</v>
      </c>
      <c r="H3375" s="6" t="e">
        <f>VLOOKUP('Customer Info'!A3367,'Customer Info'!A3367:I3867,3,FALSE)</f>
        <v>#N/A</v>
      </c>
      <c r="I3375" s="6" t="e">
        <f>VLOOKUP('Customer Info'!A3367,'Customer Info'!A3367:I3866,5,FALSE)</f>
        <v>#N/A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165</v>
      </c>
      <c r="R3375" s="2" t="s">
        <v>50</v>
      </c>
      <c r="S3375" s="9">
        <f t="shared" si="264"/>
        <v>0.02</v>
      </c>
    </row>
    <row r="3376" spans="1:19" x14ac:dyDescent="0.25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e">
        <f>VLOOKUP('Customer Info'!A3368,'Customer Info'!A3368:I3867,2,FALSE)</f>
        <v>#N/A</v>
      </c>
      <c r="H3376" s="6" t="e">
        <f>VLOOKUP('Customer Info'!A3368,'Customer Info'!A3368:I3868,3,FALSE)</f>
        <v>#N/A</v>
      </c>
      <c r="I3376" s="6" t="e">
        <f>VLOOKUP('Customer Info'!A3368,'Customer Info'!A3368:I3867,5,FALSE)</f>
        <v>#N/A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487</v>
      </c>
      <c r="R3376" s="2" t="s">
        <v>50</v>
      </c>
      <c r="S3376" s="9">
        <f t="shared" si="264"/>
        <v>0.05</v>
      </c>
    </row>
    <row r="3377" spans="1:19" x14ac:dyDescent="0.25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e">
        <f>VLOOKUP('Customer Info'!A3369,'Customer Info'!A3369:I3868,2,FALSE)</f>
        <v>#N/A</v>
      </c>
      <c r="H3377" s="6" t="e">
        <f>VLOOKUP('Customer Info'!A3369,'Customer Info'!A3369:I3869,3,FALSE)</f>
        <v>#N/A</v>
      </c>
      <c r="I3377" s="6" t="e">
        <f>VLOOKUP('Customer Info'!A3369,'Customer Info'!A3369:I3868,5,FALSE)</f>
        <v>#N/A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1792</v>
      </c>
      <c r="R3377" s="2" t="s">
        <v>26</v>
      </c>
      <c r="S3377" s="9">
        <f t="shared" si="264"/>
        <v>7.0000000000000007E-2</v>
      </c>
    </row>
    <row r="3378" spans="1:19" x14ac:dyDescent="0.25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e">
        <f>VLOOKUP('Customer Info'!A3370,'Customer Info'!A3370:I3869,2,FALSE)</f>
        <v>#N/A</v>
      </c>
      <c r="H3378" s="6" t="e">
        <f>VLOOKUP('Customer Info'!A3370,'Customer Info'!A3370:I3870,3,FALSE)</f>
        <v>#N/A</v>
      </c>
      <c r="I3378" s="6" t="e">
        <f>VLOOKUP('Customer Info'!A3370,'Customer Info'!A3370:I3869,5,FALSE)</f>
        <v>#N/A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3346</v>
      </c>
      <c r="R3378" s="2" t="s">
        <v>50</v>
      </c>
      <c r="S3378" s="9">
        <f t="shared" si="264"/>
        <v>7.0000000000000007E-2</v>
      </c>
    </row>
    <row r="3379" spans="1:19" x14ac:dyDescent="0.25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e">
        <f>VLOOKUP('Customer Info'!A3371,'Customer Info'!A3371:I3870,2,FALSE)</f>
        <v>#N/A</v>
      </c>
      <c r="H3379" s="6" t="e">
        <f>VLOOKUP('Customer Info'!A3371,'Customer Info'!A3371:I3871,3,FALSE)</f>
        <v>#N/A</v>
      </c>
      <c r="I3379" s="6" t="e">
        <f>VLOOKUP('Customer Info'!A3371,'Customer Info'!A3371:I3870,5,FALSE)</f>
        <v>#N/A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351</v>
      </c>
      <c r="R3379" s="2" t="s">
        <v>50</v>
      </c>
      <c r="S3379" s="9">
        <f t="shared" si="264"/>
        <v>0.05</v>
      </c>
    </row>
    <row r="3380" spans="1:19" x14ac:dyDescent="0.25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e">
        <f>VLOOKUP('Customer Info'!A3372,'Customer Info'!A3372:I3871,2,FALSE)</f>
        <v>#N/A</v>
      </c>
      <c r="H3380" s="6" t="e">
        <f>VLOOKUP('Customer Info'!A3372,'Customer Info'!A3372:I3872,3,FALSE)</f>
        <v>#N/A</v>
      </c>
      <c r="I3380" s="6" t="e">
        <f>VLOOKUP('Customer Info'!A3372,'Customer Info'!A3372:I3871,5,FALSE)</f>
        <v>#N/A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102</v>
      </c>
      <c r="R3380" s="2" t="s">
        <v>50</v>
      </c>
      <c r="S3380" s="9">
        <f t="shared" si="264"/>
        <v>0.02</v>
      </c>
    </row>
    <row r="3381" spans="1:19" x14ac:dyDescent="0.25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e">
        <f>VLOOKUP('Customer Info'!A3373,'Customer Info'!A3373:I3872,2,FALSE)</f>
        <v>#N/A</v>
      </c>
      <c r="H3381" s="6" t="e">
        <f>VLOOKUP('Customer Info'!A3373,'Customer Info'!A3373:I3873,3,FALSE)</f>
        <v>#N/A</v>
      </c>
      <c r="I3381" s="6" t="e">
        <f>VLOOKUP('Customer Info'!A3373,'Customer Info'!A3373:I3872,5,FALSE)</f>
        <v>#N/A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55</v>
      </c>
      <c r="R3381" s="2" t="s">
        <v>28</v>
      </c>
      <c r="S3381" s="9">
        <f t="shared" si="264"/>
        <v>0.02</v>
      </c>
    </row>
    <row r="3382" spans="1:19" x14ac:dyDescent="0.25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e">
        <f>VLOOKUP('Customer Info'!A3374,'Customer Info'!A3374:I3873,2,FALSE)</f>
        <v>#N/A</v>
      </c>
      <c r="H3382" s="6" t="e">
        <f>VLOOKUP('Customer Info'!A3374,'Customer Info'!A3374:I3874,3,FALSE)</f>
        <v>#N/A</v>
      </c>
      <c r="I3382" s="6" t="e">
        <f>VLOOKUP('Customer Info'!A3374,'Customer Info'!A3374:I3873,5,FALSE)</f>
        <v>#N/A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117</v>
      </c>
      <c r="R3382" s="2" t="s">
        <v>28</v>
      </c>
      <c r="S3382" s="9">
        <f t="shared" si="264"/>
        <v>0.02</v>
      </c>
    </row>
    <row r="3383" spans="1:19" x14ac:dyDescent="0.25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e">
        <f>VLOOKUP('Customer Info'!A3375,'Customer Info'!A3375:I3874,2,FALSE)</f>
        <v>#N/A</v>
      </c>
      <c r="H3383" s="6" t="e">
        <f>VLOOKUP('Customer Info'!A3375,'Customer Info'!A3375:I3875,3,FALSE)</f>
        <v>#N/A</v>
      </c>
      <c r="I3383" s="6" t="e">
        <f>VLOOKUP('Customer Info'!A3375,'Customer Info'!A3375:I3874,5,FALSE)</f>
        <v>#N/A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4713</v>
      </c>
      <c r="R3383" s="2" t="s">
        <v>28</v>
      </c>
      <c r="S3383" s="9">
        <f t="shared" si="264"/>
        <v>7.0000000000000007E-2</v>
      </c>
    </row>
    <row r="3384" spans="1:19" x14ac:dyDescent="0.25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e">
        <f>VLOOKUP('Customer Info'!A3376,'Customer Info'!A3376:I3875,2,FALSE)</f>
        <v>#N/A</v>
      </c>
      <c r="H3384" s="6" t="e">
        <f>VLOOKUP('Customer Info'!A3376,'Customer Info'!A3376:I3876,3,FALSE)</f>
        <v>#N/A</v>
      </c>
      <c r="I3384" s="6" t="e">
        <f>VLOOKUP('Customer Info'!A3376,'Customer Info'!A3376:I3875,5,FALSE)</f>
        <v>#N/A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66</v>
      </c>
      <c r="R3384" s="2" t="s">
        <v>28</v>
      </c>
      <c r="S3384" s="9">
        <f t="shared" si="264"/>
        <v>0.02</v>
      </c>
    </row>
    <row r="3385" spans="1:19" x14ac:dyDescent="0.25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e">
        <f>VLOOKUP('Customer Info'!A3377,'Customer Info'!A3377:I3876,2,FALSE)</f>
        <v>#N/A</v>
      </c>
      <c r="H3385" s="6" t="e">
        <f>VLOOKUP('Customer Info'!A3377,'Customer Info'!A3377:I3877,3,FALSE)</f>
        <v>#N/A</v>
      </c>
      <c r="I3385" s="6" t="e">
        <f>VLOOKUP('Customer Info'!A3377,'Customer Info'!A3377:I3876,5,FALSE)</f>
        <v>#N/A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263</v>
      </c>
      <c r="R3385" s="2" t="s">
        <v>50</v>
      </c>
      <c r="S3385" s="9">
        <f t="shared" si="264"/>
        <v>0.02</v>
      </c>
    </row>
    <row r="3386" spans="1:19" x14ac:dyDescent="0.25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e">
        <f>VLOOKUP('Customer Info'!A3378,'Customer Info'!A3378:I3877,2,FALSE)</f>
        <v>#N/A</v>
      </c>
      <c r="H3386" s="6" t="e">
        <f>VLOOKUP('Customer Info'!A3378,'Customer Info'!A3378:I3878,3,FALSE)</f>
        <v>#N/A</v>
      </c>
      <c r="I3386" s="6" t="e">
        <f>VLOOKUP('Customer Info'!A3378,'Customer Info'!A3378:I3877,5,FALSE)</f>
        <v>#N/A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523</v>
      </c>
      <c r="R3386" s="2" t="s">
        <v>28</v>
      </c>
      <c r="S3386" s="9">
        <f t="shared" si="264"/>
        <v>0.05</v>
      </c>
    </row>
    <row r="3387" spans="1:19" x14ac:dyDescent="0.25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e">
        <f>VLOOKUP('Customer Info'!A3379,'Customer Info'!A3379:I3878,2,FALSE)</f>
        <v>#N/A</v>
      </c>
      <c r="H3387" s="6" t="e">
        <f>VLOOKUP('Customer Info'!A3379,'Customer Info'!A3379:I3879,3,FALSE)</f>
        <v>#N/A</v>
      </c>
      <c r="I3387" s="6" t="e">
        <f>VLOOKUP('Customer Info'!A3379,'Customer Info'!A3379:I3878,5,FALSE)</f>
        <v>#N/A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102</v>
      </c>
      <c r="R3387" s="2" t="s">
        <v>28</v>
      </c>
      <c r="S3387" s="9">
        <f t="shared" si="264"/>
        <v>0.02</v>
      </c>
    </row>
    <row r="3388" spans="1:19" x14ac:dyDescent="0.25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e">
        <f>VLOOKUP('Customer Info'!A3380,'Customer Info'!A3380:I3879,2,FALSE)</f>
        <v>#N/A</v>
      </c>
      <c r="H3388" s="6" t="e">
        <f>VLOOKUP('Customer Info'!A3380,'Customer Info'!A3380:I3880,3,FALSE)</f>
        <v>#N/A</v>
      </c>
      <c r="I3388" s="6" t="e">
        <f>VLOOKUP('Customer Info'!A3380,'Customer Info'!A3380:I3879,5,FALSE)</f>
        <v>#N/A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310</v>
      </c>
      <c r="R3388" s="2" t="s">
        <v>28</v>
      </c>
      <c r="S3388" s="9">
        <f t="shared" si="264"/>
        <v>0.02</v>
      </c>
    </row>
    <row r="3389" spans="1:19" x14ac:dyDescent="0.25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e">
        <f>VLOOKUP('Customer Info'!A3381,'Customer Info'!A3381:I3880,2,FALSE)</f>
        <v>#N/A</v>
      </c>
      <c r="H3389" s="6" t="e">
        <f>VLOOKUP('Customer Info'!A3381,'Customer Info'!A3381:I3881,3,FALSE)</f>
        <v>#N/A</v>
      </c>
      <c r="I3389" s="6" t="e">
        <f>VLOOKUP('Customer Info'!A3381,'Customer Info'!A3381:I3880,5,FALSE)</f>
        <v>#N/A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491</v>
      </c>
      <c r="R3389" s="2" t="s">
        <v>50</v>
      </c>
      <c r="S3389" s="9">
        <f t="shared" si="264"/>
        <v>0.05</v>
      </c>
    </row>
    <row r="3390" spans="1:19" x14ac:dyDescent="0.25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e">
        <f>VLOOKUP('Customer Info'!A3382,'Customer Info'!A3382:I3881,2,FALSE)</f>
        <v>#N/A</v>
      </c>
      <c r="H3390" s="6" t="e">
        <f>VLOOKUP('Customer Info'!A3382,'Customer Info'!A3382:I3882,3,FALSE)</f>
        <v>#N/A</v>
      </c>
      <c r="I3390" s="6" t="e">
        <f>VLOOKUP('Customer Info'!A3382,'Customer Info'!A3382:I3881,5,FALSE)</f>
        <v>#N/A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203</v>
      </c>
      <c r="R3390" s="2" t="s">
        <v>56</v>
      </c>
      <c r="S3390" s="9">
        <f t="shared" si="264"/>
        <v>0.02</v>
      </c>
    </row>
    <row r="3391" spans="1:19" x14ac:dyDescent="0.25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e">
        <f>VLOOKUP('Customer Info'!A3383,'Customer Info'!A3383:I3882,2,FALSE)</f>
        <v>#N/A</v>
      </c>
      <c r="H3391" s="6" t="e">
        <f>VLOOKUP('Customer Info'!A3383,'Customer Info'!A3383:I3883,3,FALSE)</f>
        <v>#N/A</v>
      </c>
      <c r="I3391" s="6" t="e">
        <f>VLOOKUP('Customer Info'!A3383,'Customer Info'!A3383:I3882,5,FALSE)</f>
        <v>#N/A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1931</v>
      </c>
      <c r="R3391" s="2" t="s">
        <v>28</v>
      </c>
      <c r="S3391" s="9">
        <f t="shared" si="264"/>
        <v>7.0000000000000007E-2</v>
      </c>
    </row>
    <row r="3392" spans="1:19" x14ac:dyDescent="0.25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e">
        <f>VLOOKUP('Customer Info'!A3384,'Customer Info'!A3384:I3883,2,FALSE)</f>
        <v>#N/A</v>
      </c>
      <c r="H3392" s="6" t="e">
        <f>VLOOKUP('Customer Info'!A3384,'Customer Info'!A3384:I3884,3,FALSE)</f>
        <v>#N/A</v>
      </c>
      <c r="I3392" s="6" t="e">
        <f>VLOOKUP('Customer Info'!A3384,'Customer Info'!A3384:I3883,5,FALSE)</f>
        <v>#N/A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84</v>
      </c>
      <c r="R3392" s="2" t="s">
        <v>50</v>
      </c>
      <c r="S3392" s="9">
        <f t="shared" si="264"/>
        <v>0.02</v>
      </c>
    </row>
    <row r="3393" spans="1:19" x14ac:dyDescent="0.25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e">
        <f>VLOOKUP('Customer Info'!A3385,'Customer Info'!A3385:I3884,2,FALSE)</f>
        <v>#N/A</v>
      </c>
      <c r="H3393" s="6" t="e">
        <f>VLOOKUP('Customer Info'!A3385,'Customer Info'!A3385:I3885,3,FALSE)</f>
        <v>#N/A</v>
      </c>
      <c r="I3393" s="6" t="e">
        <f>VLOOKUP('Customer Info'!A3385,'Customer Info'!A3385:I3884,5,FALSE)</f>
        <v>#N/A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618</v>
      </c>
      <c r="R3393" s="2" t="s">
        <v>28</v>
      </c>
      <c r="S3393" s="9">
        <f t="shared" si="264"/>
        <v>0.05</v>
      </c>
    </row>
    <row r="3394" spans="1:19" x14ac:dyDescent="0.25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e">
        <f>VLOOKUP('Customer Info'!A3386,'Customer Info'!A3386:I3885,2,FALSE)</f>
        <v>#N/A</v>
      </c>
      <c r="H3394" s="6" t="e">
        <f>VLOOKUP('Customer Info'!A3386,'Customer Info'!A3386:I3886,3,FALSE)</f>
        <v>#N/A</v>
      </c>
      <c r="I3394" s="6" t="e">
        <f>VLOOKUP('Customer Info'!A3386,'Customer Info'!A3386:I3885,5,FALSE)</f>
        <v>#N/A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250</v>
      </c>
      <c r="R3394" s="2" t="s">
        <v>28</v>
      </c>
      <c r="S3394" s="9">
        <f t="shared" si="264"/>
        <v>0.02</v>
      </c>
    </row>
    <row r="3395" spans="1:19" x14ac:dyDescent="0.25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e">
        <f>VLOOKUP('Customer Info'!A3387,'Customer Info'!A3387:I3886,2,FALSE)</f>
        <v>#N/A</v>
      </c>
      <c r="H3395" s="6" t="e">
        <f>VLOOKUP('Customer Info'!A3387,'Customer Info'!A3387:I3887,3,FALSE)</f>
        <v>#N/A</v>
      </c>
      <c r="I3395" s="6" t="e">
        <f>VLOOKUP('Customer Info'!A3387,'Customer Info'!A3387:I3886,5,FALSE)</f>
        <v>#N/A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458</v>
      </c>
      <c r="R3395" s="2" t="s">
        <v>50</v>
      </c>
      <c r="S3395" s="9">
        <f t="shared" si="264"/>
        <v>0.05</v>
      </c>
    </row>
    <row r="3396" spans="1:19" x14ac:dyDescent="0.25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e">
        <f>VLOOKUP('Customer Info'!A3388,'Customer Info'!A3388:I3887,2,FALSE)</f>
        <v>#N/A</v>
      </c>
      <c r="H3396" s="6" t="e">
        <f>VLOOKUP('Customer Info'!A3388,'Customer Info'!A3388:I3888,3,FALSE)</f>
        <v>#N/A</v>
      </c>
      <c r="I3396" s="6" t="e">
        <f>VLOOKUP('Customer Info'!A3388,'Customer Info'!A3388:I3887,5,FALSE)</f>
        <v>#N/A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474</v>
      </c>
      <c r="R3396" s="2" t="s">
        <v>28</v>
      </c>
      <c r="S3396" s="9">
        <f t="shared" si="264"/>
        <v>0.02</v>
      </c>
    </row>
    <row r="3397" spans="1:19" x14ac:dyDescent="0.25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e">
        <f>VLOOKUP('Customer Info'!A3389,'Customer Info'!A3389:I3888,2,FALSE)</f>
        <v>#N/A</v>
      </c>
      <c r="H3397" s="6" t="e">
        <f>VLOOKUP('Customer Info'!A3389,'Customer Info'!A3389:I3889,3,FALSE)</f>
        <v>#N/A</v>
      </c>
      <c r="I3397" s="6" t="e">
        <f>VLOOKUP('Customer Info'!A3389,'Customer Info'!A3389:I3888,5,FALSE)</f>
        <v>#N/A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287</v>
      </c>
      <c r="R3397" s="2" t="s">
        <v>50</v>
      </c>
      <c r="S3397" s="9">
        <f t="shared" si="264"/>
        <v>0.02</v>
      </c>
    </row>
    <row r="3398" spans="1:19" x14ac:dyDescent="0.25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e">
        <f>VLOOKUP('Customer Info'!A3390,'Customer Info'!A3390:I3889,2,FALSE)</f>
        <v>#N/A</v>
      </c>
      <c r="H3398" s="6" t="e">
        <f>VLOOKUP('Customer Info'!A3390,'Customer Info'!A3390:I3890,3,FALSE)</f>
        <v>#N/A</v>
      </c>
      <c r="I3398" s="6" t="e">
        <f>VLOOKUP('Customer Info'!A3390,'Customer Info'!A3390:I3889,5,FALSE)</f>
        <v>#N/A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562</v>
      </c>
      <c r="R3398" s="2" t="s">
        <v>28</v>
      </c>
      <c r="S3398" s="9">
        <f t="shared" si="264"/>
        <v>0.05</v>
      </c>
    </row>
    <row r="3399" spans="1:19" x14ac:dyDescent="0.25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e">
        <f>VLOOKUP('Customer Info'!A3391,'Customer Info'!A3391:I3890,2,FALSE)</f>
        <v>#N/A</v>
      </c>
      <c r="H3399" s="6" t="e">
        <f>VLOOKUP('Customer Info'!A3391,'Customer Info'!A3391:I3891,3,FALSE)</f>
        <v>#N/A</v>
      </c>
      <c r="I3399" s="6" t="e">
        <f>VLOOKUP('Customer Info'!A3391,'Customer Info'!A3391:I3890,5,FALSE)</f>
        <v>#N/A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8315</v>
      </c>
      <c r="R3399" s="2" t="s">
        <v>56</v>
      </c>
      <c r="S3399" s="9">
        <f t="shared" si="264"/>
        <v>0.09</v>
      </c>
    </row>
    <row r="3400" spans="1:19" x14ac:dyDescent="0.25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e">
        <f>VLOOKUP('Customer Info'!A3392,'Customer Info'!A3392:I3891,2,FALSE)</f>
        <v>#N/A</v>
      </c>
      <c r="H3400" s="6" t="e">
        <f>VLOOKUP('Customer Info'!A3392,'Customer Info'!A3392:I3892,3,FALSE)</f>
        <v>#N/A</v>
      </c>
      <c r="I3400" s="6" t="e">
        <f>VLOOKUP('Customer Info'!A3392,'Customer Info'!A3392:I3891,5,FALSE)</f>
        <v>#N/A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35</v>
      </c>
      <c r="R3400" s="2" t="s">
        <v>50</v>
      </c>
      <c r="S3400" s="9">
        <f t="shared" si="264"/>
        <v>0.02</v>
      </c>
    </row>
    <row r="3401" spans="1:19" x14ac:dyDescent="0.25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e">
        <f>VLOOKUP('Customer Info'!A3393,'Customer Info'!A3393:I3892,2,FALSE)</f>
        <v>#N/A</v>
      </c>
      <c r="H3401" s="6" t="e">
        <f>VLOOKUP('Customer Info'!A3393,'Customer Info'!A3393:I3893,3,FALSE)</f>
        <v>#N/A</v>
      </c>
      <c r="I3401" s="6" t="e">
        <f>VLOOKUP('Customer Info'!A3393,'Customer Info'!A3393:I3892,5,FALSE)</f>
        <v>#N/A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496</v>
      </c>
      <c r="R3401" s="2" t="s">
        <v>50</v>
      </c>
      <c r="S3401" s="9">
        <f t="shared" si="264"/>
        <v>0.05</v>
      </c>
    </row>
    <row r="3402" spans="1:19" x14ac:dyDescent="0.25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e">
        <f>VLOOKUP('Customer Info'!A3394,'Customer Info'!A3394:I3893,2,FALSE)</f>
        <v>#N/A</v>
      </c>
      <c r="H3402" s="6" t="e">
        <f>VLOOKUP('Customer Info'!A3394,'Customer Info'!A3394:I3894,3,FALSE)</f>
        <v>#N/A</v>
      </c>
      <c r="I3402" s="6" t="e">
        <f>VLOOKUP('Customer Info'!A3394,'Customer Info'!A3394:I3893,5,FALSE)</f>
        <v>#N/A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595</v>
      </c>
      <c r="R3402" s="2" t="s">
        <v>26</v>
      </c>
      <c r="S3402" s="9">
        <f t="shared" si="264"/>
        <v>0.05</v>
      </c>
    </row>
    <row r="3403" spans="1:19" x14ac:dyDescent="0.25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e">
        <f>VLOOKUP('Customer Info'!A3395,'Customer Info'!A3395:I3894,2,FALSE)</f>
        <v>#N/A</v>
      </c>
      <c r="H3403" s="6" t="e">
        <f>VLOOKUP('Customer Info'!A3395,'Customer Info'!A3395:I3895,3,FALSE)</f>
        <v>#N/A</v>
      </c>
      <c r="I3403" s="6" t="e">
        <f>VLOOKUP('Customer Info'!A3395,'Customer Info'!A3395:I3894,5,FALSE)</f>
        <v>#N/A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8">
        <f t="shared" ref="P3403:P3466" si="267">N3403+O3403</f>
        <v>5033</v>
      </c>
      <c r="Q3403" s="8">
        <f t="shared" ref="Q3403:Q3466" si="268">P3403-M3403</f>
        <v>221</v>
      </c>
      <c r="R3403" s="2" t="s">
        <v>50</v>
      </c>
      <c r="S3403" s="9">
        <f t="shared" ref="S3403:S3466" si="269">VLOOKUP(P3403,$T$2:$U$7,2,TRUE)</f>
        <v>0.05</v>
      </c>
    </row>
    <row r="3404" spans="1:19" x14ac:dyDescent="0.25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e">
        <f>VLOOKUP('Customer Info'!A3396,'Customer Info'!A3396:I3895,2,FALSE)</f>
        <v>#N/A</v>
      </c>
      <c r="H3404" s="6" t="e">
        <f>VLOOKUP('Customer Info'!A3396,'Customer Info'!A3396:I3896,3,FALSE)</f>
        <v>#N/A</v>
      </c>
      <c r="I3404" s="6" t="e">
        <f>VLOOKUP('Customer Info'!A3396,'Customer Info'!A3396:I3895,5,FALSE)</f>
        <v>#N/A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385</v>
      </c>
      <c r="R3404" s="2" t="s">
        <v>50</v>
      </c>
      <c r="S3404" s="9">
        <f t="shared" si="269"/>
        <v>0.05</v>
      </c>
    </row>
    <row r="3405" spans="1:19" x14ac:dyDescent="0.25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e">
        <f>VLOOKUP('Customer Info'!A3397,'Customer Info'!A3397:I3896,2,FALSE)</f>
        <v>#N/A</v>
      </c>
      <c r="H3405" s="6" t="e">
        <f>VLOOKUP('Customer Info'!A3397,'Customer Info'!A3397:I3897,3,FALSE)</f>
        <v>#N/A</v>
      </c>
      <c r="I3405" s="6" t="e">
        <f>VLOOKUP('Customer Info'!A3397,'Customer Info'!A3397:I3896,5,FALSE)</f>
        <v>#N/A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529</v>
      </c>
      <c r="R3405" s="2" t="s">
        <v>50</v>
      </c>
      <c r="S3405" s="9">
        <f t="shared" si="269"/>
        <v>0.05</v>
      </c>
    </row>
    <row r="3406" spans="1:19" x14ac:dyDescent="0.25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e">
        <f>VLOOKUP('Customer Info'!A3398,'Customer Info'!A3398:I3897,2,FALSE)</f>
        <v>#N/A</v>
      </c>
      <c r="H3406" s="6" t="e">
        <f>VLOOKUP('Customer Info'!A3398,'Customer Info'!A3398:I3898,3,FALSE)</f>
        <v>#N/A</v>
      </c>
      <c r="I3406" s="6" t="e">
        <f>VLOOKUP('Customer Info'!A3398,'Customer Info'!A3398:I3897,5,FALSE)</f>
        <v>#N/A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498</v>
      </c>
      <c r="R3406" s="2" t="s">
        <v>28</v>
      </c>
      <c r="S3406" s="9">
        <f t="shared" si="269"/>
        <v>0.02</v>
      </c>
    </row>
    <row r="3407" spans="1:19" x14ac:dyDescent="0.25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e">
        <f>VLOOKUP('Customer Info'!A3399,'Customer Info'!A3399:I3898,2,FALSE)</f>
        <v>#N/A</v>
      </c>
      <c r="H3407" s="6" t="e">
        <f>VLOOKUP('Customer Info'!A3399,'Customer Info'!A3399:I3899,3,FALSE)</f>
        <v>#N/A</v>
      </c>
      <c r="I3407" s="6" t="e">
        <f>VLOOKUP('Customer Info'!A3399,'Customer Info'!A3399:I3898,5,FALSE)</f>
        <v>#N/A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78</v>
      </c>
      <c r="R3407" s="2" t="s">
        <v>50</v>
      </c>
      <c r="S3407" s="9">
        <f t="shared" si="269"/>
        <v>0.02</v>
      </c>
    </row>
    <row r="3408" spans="1:19" x14ac:dyDescent="0.25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e">
        <f>VLOOKUP('Customer Info'!A3400,'Customer Info'!A3400:I3899,2,FALSE)</f>
        <v>#N/A</v>
      </c>
      <c r="H3408" s="6" t="e">
        <f>VLOOKUP('Customer Info'!A3400,'Customer Info'!A3400:I3900,3,FALSE)</f>
        <v>#N/A</v>
      </c>
      <c r="I3408" s="6" t="e">
        <f>VLOOKUP('Customer Info'!A3400,'Customer Info'!A3400:I3899,5,FALSE)</f>
        <v>#N/A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252</v>
      </c>
      <c r="R3408" s="2" t="s">
        <v>28</v>
      </c>
      <c r="S3408" s="9">
        <f t="shared" si="269"/>
        <v>0.02</v>
      </c>
    </row>
    <row r="3409" spans="1:19" x14ac:dyDescent="0.25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e">
        <f>VLOOKUP('Customer Info'!A3401,'Customer Info'!A3401:I3900,2,FALSE)</f>
        <v>#N/A</v>
      </c>
      <c r="H3409" s="6" t="e">
        <f>VLOOKUP('Customer Info'!A3401,'Customer Info'!A3401:I3901,3,FALSE)</f>
        <v>#N/A</v>
      </c>
      <c r="I3409" s="6" t="e">
        <f>VLOOKUP('Customer Info'!A3401,'Customer Info'!A3401:I3900,5,FALSE)</f>
        <v>#N/A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264</v>
      </c>
      <c r="R3409" s="2" t="s">
        <v>28</v>
      </c>
      <c r="S3409" s="9">
        <f t="shared" si="269"/>
        <v>0.05</v>
      </c>
    </row>
    <row r="3410" spans="1:19" x14ac:dyDescent="0.25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e">
        <f>VLOOKUP('Customer Info'!A3402,'Customer Info'!A3402:I3901,2,FALSE)</f>
        <v>#N/A</v>
      </c>
      <c r="H3410" s="6" t="e">
        <f>VLOOKUP('Customer Info'!A3402,'Customer Info'!A3402:I3902,3,FALSE)</f>
        <v>#N/A</v>
      </c>
      <c r="I3410" s="6" t="e">
        <f>VLOOKUP('Customer Info'!A3402,'Customer Info'!A3402:I3901,5,FALSE)</f>
        <v>#N/A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114</v>
      </c>
      <c r="R3410" s="2" t="s">
        <v>28</v>
      </c>
      <c r="S3410" s="9">
        <f t="shared" si="269"/>
        <v>0.02</v>
      </c>
    </row>
    <row r="3411" spans="1:19" x14ac:dyDescent="0.25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e">
        <f>VLOOKUP('Customer Info'!A3403,'Customer Info'!A3403:I3902,2,FALSE)</f>
        <v>#N/A</v>
      </c>
      <c r="H3411" s="6" t="e">
        <f>VLOOKUP('Customer Info'!A3403,'Customer Info'!A3403:I3903,3,FALSE)</f>
        <v>#N/A</v>
      </c>
      <c r="I3411" s="6" t="e">
        <f>VLOOKUP('Customer Info'!A3403,'Customer Info'!A3403:I3902,5,FALSE)</f>
        <v>#N/A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54</v>
      </c>
      <c r="R3411" s="2" t="s">
        <v>50</v>
      </c>
      <c r="S3411" s="9">
        <f t="shared" si="269"/>
        <v>0.02</v>
      </c>
    </row>
    <row r="3412" spans="1:19" x14ac:dyDescent="0.25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e">
        <f>VLOOKUP('Customer Info'!A3404,'Customer Info'!A3404:I3903,2,FALSE)</f>
        <v>#N/A</v>
      </c>
      <c r="H3412" s="6" t="e">
        <f>VLOOKUP('Customer Info'!A3404,'Customer Info'!A3404:I3904,3,FALSE)</f>
        <v>#N/A</v>
      </c>
      <c r="I3412" s="6" t="e">
        <f>VLOOKUP('Customer Info'!A3404,'Customer Info'!A3404:I3903,5,FALSE)</f>
        <v>#N/A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543</v>
      </c>
      <c r="R3412" s="2" t="s">
        <v>50</v>
      </c>
      <c r="S3412" s="9">
        <f t="shared" si="269"/>
        <v>0.05</v>
      </c>
    </row>
    <row r="3413" spans="1:19" x14ac:dyDescent="0.25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e">
        <f>VLOOKUP('Customer Info'!A3405,'Customer Info'!A3405:I3904,2,FALSE)</f>
        <v>#N/A</v>
      </c>
      <c r="H3413" s="6" t="e">
        <f>VLOOKUP('Customer Info'!A3405,'Customer Info'!A3405:I3905,3,FALSE)</f>
        <v>#N/A</v>
      </c>
      <c r="I3413" s="6" t="e">
        <f>VLOOKUP('Customer Info'!A3405,'Customer Info'!A3405:I3904,5,FALSE)</f>
        <v>#N/A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1817</v>
      </c>
      <c r="R3413" s="2" t="s">
        <v>28</v>
      </c>
      <c r="S3413" s="9">
        <f t="shared" si="269"/>
        <v>0.05</v>
      </c>
    </row>
    <row r="3414" spans="1:19" x14ac:dyDescent="0.25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e">
        <f>VLOOKUP('Customer Info'!A3406,'Customer Info'!A3406:I3905,2,FALSE)</f>
        <v>#N/A</v>
      </c>
      <c r="H3414" s="6" t="e">
        <f>VLOOKUP('Customer Info'!A3406,'Customer Info'!A3406:I3906,3,FALSE)</f>
        <v>#N/A</v>
      </c>
      <c r="I3414" s="6" t="e">
        <f>VLOOKUP('Customer Info'!A3406,'Customer Info'!A3406:I3905,5,FALSE)</f>
        <v>#N/A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14</v>
      </c>
      <c r="R3414" s="2" t="s">
        <v>28</v>
      </c>
      <c r="S3414" s="9">
        <f t="shared" si="269"/>
        <v>0.02</v>
      </c>
    </row>
    <row r="3415" spans="1:19" x14ac:dyDescent="0.25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e">
        <f>VLOOKUP('Customer Info'!A3407,'Customer Info'!A3407:I3906,2,FALSE)</f>
        <v>#N/A</v>
      </c>
      <c r="H3415" s="6" t="e">
        <f>VLOOKUP('Customer Info'!A3407,'Customer Info'!A3407:I3907,3,FALSE)</f>
        <v>#N/A</v>
      </c>
      <c r="I3415" s="6" t="e">
        <f>VLOOKUP('Customer Info'!A3407,'Customer Info'!A3407:I3906,5,FALSE)</f>
        <v>#N/A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54</v>
      </c>
      <c r="R3415" s="2" t="s">
        <v>28</v>
      </c>
      <c r="S3415" s="9">
        <f t="shared" si="269"/>
        <v>0.02</v>
      </c>
    </row>
    <row r="3416" spans="1:19" x14ac:dyDescent="0.25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e">
        <f>VLOOKUP('Customer Info'!A3408,'Customer Info'!A3408:I3907,2,FALSE)</f>
        <v>#N/A</v>
      </c>
      <c r="H3416" s="6" t="e">
        <f>VLOOKUP('Customer Info'!A3408,'Customer Info'!A3408:I3908,3,FALSE)</f>
        <v>#N/A</v>
      </c>
      <c r="I3416" s="6" t="e">
        <f>VLOOKUP('Customer Info'!A3408,'Customer Info'!A3408:I3907,5,FALSE)</f>
        <v>#N/A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218</v>
      </c>
      <c r="R3416" s="2" t="s">
        <v>28</v>
      </c>
      <c r="S3416" s="9">
        <f t="shared" si="269"/>
        <v>0.02</v>
      </c>
    </row>
    <row r="3417" spans="1:19" x14ac:dyDescent="0.25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e">
        <f>VLOOKUP('Customer Info'!A3409,'Customer Info'!A3409:I3908,2,FALSE)</f>
        <v>#N/A</v>
      </c>
      <c r="H3417" s="6" t="e">
        <f>VLOOKUP('Customer Info'!A3409,'Customer Info'!A3409:I3909,3,FALSE)</f>
        <v>#N/A</v>
      </c>
      <c r="I3417" s="6" t="e">
        <f>VLOOKUP('Customer Info'!A3409,'Customer Info'!A3409:I3908,5,FALSE)</f>
        <v>#N/A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391</v>
      </c>
      <c r="R3417" s="2" t="s">
        <v>28</v>
      </c>
      <c r="S3417" s="9">
        <f t="shared" si="269"/>
        <v>0.05</v>
      </c>
    </row>
    <row r="3418" spans="1:19" x14ac:dyDescent="0.25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e">
        <f>VLOOKUP('Customer Info'!A3410,'Customer Info'!A3410:I3909,2,FALSE)</f>
        <v>#N/A</v>
      </c>
      <c r="H3418" s="6" t="e">
        <f>VLOOKUP('Customer Info'!A3410,'Customer Info'!A3410:I3910,3,FALSE)</f>
        <v>#N/A</v>
      </c>
      <c r="I3418" s="6" t="e">
        <f>VLOOKUP('Customer Info'!A3410,'Customer Info'!A3410:I3909,5,FALSE)</f>
        <v>#N/A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36</v>
      </c>
      <c r="R3418" s="2" t="s">
        <v>50</v>
      </c>
      <c r="S3418" s="9">
        <f t="shared" si="269"/>
        <v>0.02</v>
      </c>
    </row>
    <row r="3419" spans="1:19" x14ac:dyDescent="0.25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e">
        <f>VLOOKUP('Customer Info'!A3411,'Customer Info'!A3411:I3910,2,FALSE)</f>
        <v>#N/A</v>
      </c>
      <c r="H3419" s="6" t="e">
        <f>VLOOKUP('Customer Info'!A3411,'Customer Info'!A3411:I3911,3,FALSE)</f>
        <v>#N/A</v>
      </c>
      <c r="I3419" s="6" t="e">
        <f>VLOOKUP('Customer Info'!A3411,'Customer Info'!A3411:I3910,5,FALSE)</f>
        <v>#N/A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174</v>
      </c>
      <c r="R3419" s="2" t="s">
        <v>50</v>
      </c>
      <c r="S3419" s="9">
        <f t="shared" si="269"/>
        <v>0.02</v>
      </c>
    </row>
    <row r="3420" spans="1:19" x14ac:dyDescent="0.25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e">
        <f>VLOOKUP('Customer Info'!A3412,'Customer Info'!A3412:I3911,2,FALSE)</f>
        <v>#N/A</v>
      </c>
      <c r="H3420" s="6" t="e">
        <f>VLOOKUP('Customer Info'!A3412,'Customer Info'!A3412:I3912,3,FALSE)</f>
        <v>#N/A</v>
      </c>
      <c r="I3420" s="6" t="e">
        <f>VLOOKUP('Customer Info'!A3412,'Customer Info'!A3412:I3911,5,FALSE)</f>
        <v>#N/A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50</v>
      </c>
      <c r="R3420" s="2" t="s">
        <v>28</v>
      </c>
      <c r="S3420" s="9">
        <f t="shared" si="269"/>
        <v>0.02</v>
      </c>
    </row>
    <row r="3421" spans="1:19" x14ac:dyDescent="0.25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e">
        <f>VLOOKUP('Customer Info'!A3413,'Customer Info'!A3413:I3912,2,FALSE)</f>
        <v>#N/A</v>
      </c>
      <c r="H3421" s="6" t="e">
        <f>VLOOKUP('Customer Info'!A3413,'Customer Info'!A3413:I3913,3,FALSE)</f>
        <v>#N/A</v>
      </c>
      <c r="I3421" s="6" t="e">
        <f>VLOOKUP('Customer Info'!A3413,'Customer Info'!A3413:I3912,5,FALSE)</f>
        <v>#N/A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192</v>
      </c>
      <c r="R3421" s="2" t="s">
        <v>28</v>
      </c>
      <c r="S3421" s="9">
        <f t="shared" si="269"/>
        <v>0.02</v>
      </c>
    </row>
    <row r="3422" spans="1:19" x14ac:dyDescent="0.25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e">
        <f>VLOOKUP('Customer Info'!A3414,'Customer Info'!A3414:I3913,2,FALSE)</f>
        <v>#N/A</v>
      </c>
      <c r="H3422" s="6" t="e">
        <f>VLOOKUP('Customer Info'!A3414,'Customer Info'!A3414:I3914,3,FALSE)</f>
        <v>#N/A</v>
      </c>
      <c r="I3422" s="6" t="e">
        <f>VLOOKUP('Customer Info'!A3414,'Customer Info'!A3414:I3913,5,FALSE)</f>
        <v>#N/A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4305</v>
      </c>
      <c r="R3422" s="2" t="s">
        <v>28</v>
      </c>
      <c r="S3422" s="9">
        <f t="shared" si="269"/>
        <v>7.0000000000000007E-2</v>
      </c>
    </row>
    <row r="3423" spans="1:19" x14ac:dyDescent="0.25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e">
        <f>VLOOKUP('Customer Info'!A3415,'Customer Info'!A3415:I3914,2,FALSE)</f>
        <v>#N/A</v>
      </c>
      <c r="H3423" s="6" t="e">
        <f>VLOOKUP('Customer Info'!A3415,'Customer Info'!A3415:I3915,3,FALSE)</f>
        <v>#N/A</v>
      </c>
      <c r="I3423" s="6" t="e">
        <f>VLOOKUP('Customer Info'!A3415,'Customer Info'!A3415:I3914,5,FALSE)</f>
        <v>#N/A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246</v>
      </c>
      <c r="R3423" s="2" t="s">
        <v>26</v>
      </c>
      <c r="S3423" s="9">
        <f t="shared" si="269"/>
        <v>0.02</v>
      </c>
    </row>
    <row r="3424" spans="1:19" x14ac:dyDescent="0.25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e">
        <f>VLOOKUP('Customer Info'!A3416,'Customer Info'!A3416:I3915,2,FALSE)</f>
        <v>#N/A</v>
      </c>
      <c r="H3424" s="6" t="e">
        <f>VLOOKUP('Customer Info'!A3416,'Customer Info'!A3416:I3916,3,FALSE)</f>
        <v>#N/A</v>
      </c>
      <c r="I3424" s="6" t="e">
        <f>VLOOKUP('Customer Info'!A3416,'Customer Info'!A3416:I3915,5,FALSE)</f>
        <v>#N/A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146</v>
      </c>
      <c r="R3424" s="2" t="s">
        <v>56</v>
      </c>
      <c r="S3424" s="9">
        <f t="shared" si="269"/>
        <v>0.02</v>
      </c>
    </row>
    <row r="3425" spans="1:19" x14ac:dyDescent="0.25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e">
        <f>VLOOKUP('Customer Info'!A3417,'Customer Info'!A3417:I3916,2,FALSE)</f>
        <v>#N/A</v>
      </c>
      <c r="H3425" s="6" t="e">
        <f>VLOOKUP('Customer Info'!A3417,'Customer Info'!A3417:I3917,3,FALSE)</f>
        <v>#N/A</v>
      </c>
      <c r="I3425" s="6" t="e">
        <f>VLOOKUP('Customer Info'!A3417,'Customer Info'!A3417:I3916,5,FALSE)</f>
        <v>#N/A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284</v>
      </c>
      <c r="R3425" s="2" t="s">
        <v>28</v>
      </c>
      <c r="S3425" s="9">
        <f t="shared" si="269"/>
        <v>0.02</v>
      </c>
    </row>
    <row r="3426" spans="1:19" x14ac:dyDescent="0.25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e">
        <f>VLOOKUP('Customer Info'!A3418,'Customer Info'!A3418:I3917,2,FALSE)</f>
        <v>#N/A</v>
      </c>
      <c r="H3426" s="6" t="e">
        <f>VLOOKUP('Customer Info'!A3418,'Customer Info'!A3418:I3918,3,FALSE)</f>
        <v>#N/A</v>
      </c>
      <c r="I3426" s="6" t="e">
        <f>VLOOKUP('Customer Info'!A3418,'Customer Info'!A3418:I3917,5,FALSE)</f>
        <v>#N/A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710</v>
      </c>
      <c r="R3426" s="2" t="s">
        <v>50</v>
      </c>
      <c r="S3426" s="9">
        <f t="shared" si="269"/>
        <v>0.05</v>
      </c>
    </row>
    <row r="3427" spans="1:19" x14ac:dyDescent="0.25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e">
        <f>VLOOKUP('Customer Info'!A3419,'Customer Info'!A3419:I3918,2,FALSE)</f>
        <v>#N/A</v>
      </c>
      <c r="H3427" s="6" t="e">
        <f>VLOOKUP('Customer Info'!A3419,'Customer Info'!A3419:I3919,3,FALSE)</f>
        <v>#N/A</v>
      </c>
      <c r="I3427" s="6" t="e">
        <f>VLOOKUP('Customer Info'!A3419,'Customer Info'!A3419:I3918,5,FALSE)</f>
        <v>#N/A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58</v>
      </c>
      <c r="R3427" s="2" t="s">
        <v>50</v>
      </c>
      <c r="S3427" s="9">
        <f t="shared" si="269"/>
        <v>0.02</v>
      </c>
    </row>
    <row r="3428" spans="1:19" x14ac:dyDescent="0.25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e">
        <f>VLOOKUP('Customer Info'!A3420,'Customer Info'!A3420:I3919,2,FALSE)</f>
        <v>#N/A</v>
      </c>
      <c r="H3428" s="6" t="e">
        <f>VLOOKUP('Customer Info'!A3420,'Customer Info'!A3420:I3920,3,FALSE)</f>
        <v>#N/A</v>
      </c>
      <c r="I3428" s="6" t="e">
        <f>VLOOKUP('Customer Info'!A3420,'Customer Info'!A3420:I3919,5,FALSE)</f>
        <v>#N/A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1800</v>
      </c>
      <c r="R3428" s="2" t="s">
        <v>50</v>
      </c>
      <c r="S3428" s="9">
        <f t="shared" si="269"/>
        <v>0.05</v>
      </c>
    </row>
    <row r="3429" spans="1:19" x14ac:dyDescent="0.25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e">
        <f>VLOOKUP('Customer Info'!A3421,'Customer Info'!A3421:I3920,2,FALSE)</f>
        <v>#N/A</v>
      </c>
      <c r="H3429" s="6" t="e">
        <f>VLOOKUP('Customer Info'!A3421,'Customer Info'!A3421:I3921,3,FALSE)</f>
        <v>#N/A</v>
      </c>
      <c r="I3429" s="6" t="e">
        <f>VLOOKUP('Customer Info'!A3421,'Customer Info'!A3421:I3920,5,FALSE)</f>
        <v>#N/A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4189</v>
      </c>
      <c r="R3429" s="2" t="s">
        <v>28</v>
      </c>
      <c r="S3429" s="9">
        <f t="shared" si="269"/>
        <v>0.09</v>
      </c>
    </row>
    <row r="3430" spans="1:19" x14ac:dyDescent="0.25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e">
        <f>VLOOKUP('Customer Info'!A3422,'Customer Info'!A3422:I3921,2,FALSE)</f>
        <v>#N/A</v>
      </c>
      <c r="H3430" s="6" t="e">
        <f>VLOOKUP('Customer Info'!A3422,'Customer Info'!A3422:I3922,3,FALSE)</f>
        <v>#N/A</v>
      </c>
      <c r="I3430" s="6" t="e">
        <f>VLOOKUP('Customer Info'!A3422,'Customer Info'!A3422:I3921,5,FALSE)</f>
        <v>#N/A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19</v>
      </c>
      <c r="R3430" s="2" t="s">
        <v>50</v>
      </c>
      <c r="S3430" s="9">
        <f t="shared" si="269"/>
        <v>0.02</v>
      </c>
    </row>
    <row r="3431" spans="1:19" x14ac:dyDescent="0.25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e">
        <f>VLOOKUP('Customer Info'!A3423,'Customer Info'!A3423:I3922,2,FALSE)</f>
        <v>#N/A</v>
      </c>
      <c r="H3431" s="6" t="e">
        <f>VLOOKUP('Customer Info'!A3423,'Customer Info'!A3423:I3923,3,FALSE)</f>
        <v>#N/A</v>
      </c>
      <c r="I3431" s="6" t="e">
        <f>VLOOKUP('Customer Info'!A3423,'Customer Info'!A3423:I3922,5,FALSE)</f>
        <v>#N/A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998</v>
      </c>
      <c r="R3431" s="2" t="s">
        <v>28</v>
      </c>
      <c r="S3431" s="9">
        <f t="shared" si="269"/>
        <v>0.05</v>
      </c>
    </row>
    <row r="3432" spans="1:19" x14ac:dyDescent="0.25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e">
        <f>VLOOKUP('Customer Info'!A3424,'Customer Info'!A3424:I3923,2,FALSE)</f>
        <v>#N/A</v>
      </c>
      <c r="H3432" s="6" t="e">
        <f>VLOOKUP('Customer Info'!A3424,'Customer Info'!A3424:I3924,3,FALSE)</f>
        <v>#N/A</v>
      </c>
      <c r="I3432" s="6" t="e">
        <f>VLOOKUP('Customer Info'!A3424,'Customer Info'!A3424:I3923,5,FALSE)</f>
        <v>#N/A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64</v>
      </c>
      <c r="R3432" s="2" t="s">
        <v>28</v>
      </c>
      <c r="S3432" s="9">
        <f t="shared" si="269"/>
        <v>0.02</v>
      </c>
    </row>
    <row r="3433" spans="1:19" x14ac:dyDescent="0.25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e">
        <f>VLOOKUP('Customer Info'!A3425,'Customer Info'!A3425:I3924,2,FALSE)</f>
        <v>#N/A</v>
      </c>
      <c r="H3433" s="6" t="e">
        <f>VLOOKUP('Customer Info'!A3425,'Customer Info'!A3425:I3925,3,FALSE)</f>
        <v>#N/A</v>
      </c>
      <c r="I3433" s="6" t="e">
        <f>VLOOKUP('Customer Info'!A3425,'Customer Info'!A3425:I3924,5,FALSE)</f>
        <v>#N/A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507</v>
      </c>
      <c r="R3433" s="2" t="s">
        <v>50</v>
      </c>
      <c r="S3433" s="9">
        <f t="shared" si="269"/>
        <v>0.05</v>
      </c>
    </row>
    <row r="3434" spans="1:19" x14ac:dyDescent="0.25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e">
        <f>VLOOKUP('Customer Info'!A3426,'Customer Info'!A3426:I3925,2,FALSE)</f>
        <v>#N/A</v>
      </c>
      <c r="H3434" s="6" t="e">
        <f>VLOOKUP('Customer Info'!A3426,'Customer Info'!A3426:I3926,3,FALSE)</f>
        <v>#N/A</v>
      </c>
      <c r="I3434" s="6" t="e">
        <f>VLOOKUP('Customer Info'!A3426,'Customer Info'!A3426:I3925,5,FALSE)</f>
        <v>#N/A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1802</v>
      </c>
      <c r="R3434" s="2" t="s">
        <v>28</v>
      </c>
      <c r="S3434" s="9">
        <f t="shared" si="269"/>
        <v>0.05</v>
      </c>
    </row>
    <row r="3435" spans="1:19" x14ac:dyDescent="0.25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e">
        <f>VLOOKUP('Customer Info'!A3427,'Customer Info'!A3427:I3926,2,FALSE)</f>
        <v>#N/A</v>
      </c>
      <c r="H3435" s="6" t="e">
        <f>VLOOKUP('Customer Info'!A3427,'Customer Info'!A3427:I3927,3,FALSE)</f>
        <v>#N/A</v>
      </c>
      <c r="I3435" s="6" t="e">
        <f>VLOOKUP('Customer Info'!A3427,'Customer Info'!A3427:I3926,5,FALSE)</f>
        <v>#N/A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471</v>
      </c>
      <c r="R3435" s="2" t="s">
        <v>50</v>
      </c>
      <c r="S3435" s="9">
        <f t="shared" si="269"/>
        <v>0.05</v>
      </c>
    </row>
    <row r="3436" spans="1:19" x14ac:dyDescent="0.25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e">
        <f>VLOOKUP('Customer Info'!A3428,'Customer Info'!A3428:I3927,2,FALSE)</f>
        <v>#N/A</v>
      </c>
      <c r="H3436" s="6" t="e">
        <f>VLOOKUP('Customer Info'!A3428,'Customer Info'!A3428:I3928,3,FALSE)</f>
        <v>#N/A</v>
      </c>
      <c r="I3436" s="6" t="e">
        <f>VLOOKUP('Customer Info'!A3428,'Customer Info'!A3428:I3927,5,FALSE)</f>
        <v>#N/A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318</v>
      </c>
      <c r="R3436" s="2" t="s">
        <v>28</v>
      </c>
      <c r="S3436" s="9">
        <f t="shared" si="269"/>
        <v>0.02</v>
      </c>
    </row>
    <row r="3437" spans="1:19" x14ac:dyDescent="0.25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e">
        <f>VLOOKUP('Customer Info'!A3429,'Customer Info'!A3429:I3928,2,FALSE)</f>
        <v>#N/A</v>
      </c>
      <c r="H3437" s="6" t="e">
        <f>VLOOKUP('Customer Info'!A3429,'Customer Info'!A3429:I3929,3,FALSE)</f>
        <v>#N/A</v>
      </c>
      <c r="I3437" s="6" t="e">
        <f>VLOOKUP('Customer Info'!A3429,'Customer Info'!A3429:I3928,5,FALSE)</f>
        <v>#N/A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2981</v>
      </c>
      <c r="R3437" s="2" t="s">
        <v>50</v>
      </c>
      <c r="S3437" s="9">
        <f t="shared" si="269"/>
        <v>7.0000000000000007E-2</v>
      </c>
    </row>
    <row r="3438" spans="1:19" x14ac:dyDescent="0.25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e">
        <f>VLOOKUP('Customer Info'!A3430,'Customer Info'!A3430:I3929,2,FALSE)</f>
        <v>#N/A</v>
      </c>
      <c r="H3438" s="6" t="e">
        <f>VLOOKUP('Customer Info'!A3430,'Customer Info'!A3430:I3930,3,FALSE)</f>
        <v>#N/A</v>
      </c>
      <c r="I3438" s="6" t="e">
        <f>VLOOKUP('Customer Info'!A3430,'Customer Info'!A3430:I3929,5,FALSE)</f>
        <v>#N/A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190</v>
      </c>
      <c r="R3438" s="2" t="s">
        <v>28</v>
      </c>
      <c r="S3438" s="9">
        <f t="shared" si="269"/>
        <v>0.02</v>
      </c>
    </row>
    <row r="3439" spans="1:19" x14ac:dyDescent="0.25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e">
        <f>VLOOKUP('Customer Info'!A3431,'Customer Info'!A3431:I3930,2,FALSE)</f>
        <v>#N/A</v>
      </c>
      <c r="H3439" s="6" t="e">
        <f>VLOOKUP('Customer Info'!A3431,'Customer Info'!A3431:I3931,3,FALSE)</f>
        <v>#N/A</v>
      </c>
      <c r="I3439" s="6" t="e">
        <f>VLOOKUP('Customer Info'!A3431,'Customer Info'!A3431:I3930,5,FALSE)</f>
        <v>#N/A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711</v>
      </c>
      <c r="R3439" s="2" t="s">
        <v>28</v>
      </c>
      <c r="S3439" s="9">
        <f t="shared" si="269"/>
        <v>0.05</v>
      </c>
    </row>
    <row r="3440" spans="1:19" x14ac:dyDescent="0.25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e">
        <f>VLOOKUP('Customer Info'!A3432,'Customer Info'!A3432:I3931,2,FALSE)</f>
        <v>#N/A</v>
      </c>
      <c r="H3440" s="6" t="e">
        <f>VLOOKUP('Customer Info'!A3432,'Customer Info'!A3432:I3932,3,FALSE)</f>
        <v>#N/A</v>
      </c>
      <c r="I3440" s="6" t="e">
        <f>VLOOKUP('Customer Info'!A3432,'Customer Info'!A3432:I3931,5,FALSE)</f>
        <v>#N/A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180</v>
      </c>
      <c r="R3440" s="2" t="s">
        <v>50</v>
      </c>
      <c r="S3440" s="9">
        <f t="shared" si="269"/>
        <v>0.02</v>
      </c>
    </row>
    <row r="3441" spans="1:19" x14ac:dyDescent="0.25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e">
        <f>VLOOKUP('Customer Info'!A3433,'Customer Info'!A3433:I3932,2,FALSE)</f>
        <v>#N/A</v>
      </c>
      <c r="H3441" s="6" t="e">
        <f>VLOOKUP('Customer Info'!A3433,'Customer Info'!A3433:I3933,3,FALSE)</f>
        <v>#N/A</v>
      </c>
      <c r="I3441" s="6" t="e">
        <f>VLOOKUP('Customer Info'!A3433,'Customer Info'!A3433:I3932,5,FALSE)</f>
        <v>#N/A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414</v>
      </c>
      <c r="R3441" s="2" t="s">
        <v>28</v>
      </c>
      <c r="S3441" s="9">
        <f t="shared" si="269"/>
        <v>0.05</v>
      </c>
    </row>
    <row r="3442" spans="1:19" x14ac:dyDescent="0.25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e">
        <f>VLOOKUP('Customer Info'!A3434,'Customer Info'!A3434:I3933,2,FALSE)</f>
        <v>#N/A</v>
      </c>
      <c r="H3442" s="6" t="e">
        <f>VLOOKUP('Customer Info'!A3434,'Customer Info'!A3434:I3934,3,FALSE)</f>
        <v>#N/A</v>
      </c>
      <c r="I3442" s="6" t="e">
        <f>VLOOKUP('Customer Info'!A3434,'Customer Info'!A3434:I3933,5,FALSE)</f>
        <v>#N/A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85</v>
      </c>
      <c r="R3442" s="2" t="s">
        <v>50</v>
      </c>
      <c r="S3442" s="9">
        <f t="shared" si="269"/>
        <v>0.02</v>
      </c>
    </row>
    <row r="3443" spans="1:19" x14ac:dyDescent="0.25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e">
        <f>VLOOKUP('Customer Info'!A3435,'Customer Info'!A3435:I3934,2,FALSE)</f>
        <v>#N/A</v>
      </c>
      <c r="H3443" s="6" t="e">
        <f>VLOOKUP('Customer Info'!A3435,'Customer Info'!A3435:I3935,3,FALSE)</f>
        <v>#N/A</v>
      </c>
      <c r="I3443" s="6" t="e">
        <f>VLOOKUP('Customer Info'!A3435,'Customer Info'!A3435:I3934,5,FALSE)</f>
        <v>#N/A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513</v>
      </c>
      <c r="R3443" s="2" t="s">
        <v>28</v>
      </c>
      <c r="S3443" s="9">
        <f t="shared" si="269"/>
        <v>0.05</v>
      </c>
    </row>
    <row r="3444" spans="1:19" x14ac:dyDescent="0.25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e">
        <f>VLOOKUP('Customer Info'!A3436,'Customer Info'!A3436:I3935,2,FALSE)</f>
        <v>#N/A</v>
      </c>
      <c r="H3444" s="6" t="e">
        <f>VLOOKUP('Customer Info'!A3436,'Customer Info'!A3436:I3936,3,FALSE)</f>
        <v>#N/A</v>
      </c>
      <c r="I3444" s="6" t="e">
        <f>VLOOKUP('Customer Info'!A3436,'Customer Info'!A3436:I3935,5,FALSE)</f>
        <v>#N/A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60</v>
      </c>
      <c r="R3444" s="2" t="s">
        <v>28</v>
      </c>
      <c r="S3444" s="9">
        <f t="shared" si="269"/>
        <v>0.02</v>
      </c>
    </row>
    <row r="3445" spans="1:19" x14ac:dyDescent="0.25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e">
        <f>VLOOKUP('Customer Info'!A3437,'Customer Info'!A3437:I3936,2,FALSE)</f>
        <v>#N/A</v>
      </c>
      <c r="H3445" s="6" t="e">
        <f>VLOOKUP('Customer Info'!A3437,'Customer Info'!A3437:I3937,3,FALSE)</f>
        <v>#N/A</v>
      </c>
      <c r="I3445" s="6" t="e">
        <f>VLOOKUP('Customer Info'!A3437,'Customer Info'!A3437:I3936,5,FALSE)</f>
        <v>#N/A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615</v>
      </c>
      <c r="R3445" s="2" t="s">
        <v>28</v>
      </c>
      <c r="S3445" s="9">
        <f t="shared" si="269"/>
        <v>0.05</v>
      </c>
    </row>
    <row r="3446" spans="1:19" x14ac:dyDescent="0.25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e">
        <f>VLOOKUP('Customer Info'!A3438,'Customer Info'!A3438:I3937,2,FALSE)</f>
        <v>#N/A</v>
      </c>
      <c r="H3446" s="6" t="e">
        <f>VLOOKUP('Customer Info'!A3438,'Customer Info'!A3438:I3938,3,FALSE)</f>
        <v>#N/A</v>
      </c>
      <c r="I3446" s="6" t="e">
        <f>VLOOKUP('Customer Info'!A3438,'Customer Info'!A3438:I3937,5,FALSE)</f>
        <v>#N/A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115</v>
      </c>
      <c r="R3446" s="2" t="s">
        <v>28</v>
      </c>
      <c r="S3446" s="9">
        <f t="shared" si="269"/>
        <v>0.02</v>
      </c>
    </row>
    <row r="3447" spans="1:19" x14ac:dyDescent="0.25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e">
        <f>VLOOKUP('Customer Info'!A3439,'Customer Info'!A3439:I3938,2,FALSE)</f>
        <v>#N/A</v>
      </c>
      <c r="H3447" s="6" t="e">
        <f>VLOOKUP('Customer Info'!A3439,'Customer Info'!A3439:I3939,3,FALSE)</f>
        <v>#N/A</v>
      </c>
      <c r="I3447" s="6" t="e">
        <f>VLOOKUP('Customer Info'!A3439,'Customer Info'!A3439:I3938,5,FALSE)</f>
        <v>#N/A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1069</v>
      </c>
      <c r="R3447" s="2" t="s">
        <v>50</v>
      </c>
      <c r="S3447" s="9">
        <f t="shared" si="269"/>
        <v>0.05</v>
      </c>
    </row>
    <row r="3448" spans="1:19" x14ac:dyDescent="0.25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e">
        <f>VLOOKUP('Customer Info'!A3440,'Customer Info'!A3440:I3939,2,FALSE)</f>
        <v>#N/A</v>
      </c>
      <c r="H3448" s="6" t="e">
        <f>VLOOKUP('Customer Info'!A3440,'Customer Info'!A3440:I3940,3,FALSE)</f>
        <v>#N/A</v>
      </c>
      <c r="I3448" s="6" t="e">
        <f>VLOOKUP('Customer Info'!A3440,'Customer Info'!A3440:I3939,5,FALSE)</f>
        <v>#N/A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351</v>
      </c>
      <c r="R3448" s="2" t="s">
        <v>28</v>
      </c>
      <c r="S3448" s="9">
        <f t="shared" si="269"/>
        <v>0.02</v>
      </c>
    </row>
    <row r="3449" spans="1:19" x14ac:dyDescent="0.25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e">
        <f>VLOOKUP('Customer Info'!A3441,'Customer Info'!A3441:I3940,2,FALSE)</f>
        <v>#N/A</v>
      </c>
      <c r="H3449" s="6" t="e">
        <f>VLOOKUP('Customer Info'!A3441,'Customer Info'!A3441:I3941,3,FALSE)</f>
        <v>#N/A</v>
      </c>
      <c r="I3449" s="6" t="e">
        <f>VLOOKUP('Customer Info'!A3441,'Customer Info'!A3441:I3940,5,FALSE)</f>
        <v>#N/A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226</v>
      </c>
      <c r="R3449" s="2" t="s">
        <v>28</v>
      </c>
      <c r="S3449" s="9">
        <f t="shared" si="269"/>
        <v>0.02</v>
      </c>
    </row>
    <row r="3450" spans="1:19" x14ac:dyDescent="0.25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e">
        <f>VLOOKUP('Customer Info'!A3442,'Customer Info'!A3442:I3941,2,FALSE)</f>
        <v>#N/A</v>
      </c>
      <c r="H3450" s="6" t="e">
        <f>VLOOKUP('Customer Info'!A3442,'Customer Info'!A3442:I3942,3,FALSE)</f>
        <v>#N/A</v>
      </c>
      <c r="I3450" s="6" t="e">
        <f>VLOOKUP('Customer Info'!A3442,'Customer Info'!A3442:I3941,5,FALSE)</f>
        <v>#N/A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721</v>
      </c>
      <c r="R3450" s="2" t="s">
        <v>28</v>
      </c>
      <c r="S3450" s="9">
        <f t="shared" si="269"/>
        <v>0.05</v>
      </c>
    </row>
    <row r="3451" spans="1:19" x14ac:dyDescent="0.25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e">
        <f>VLOOKUP('Customer Info'!A3443,'Customer Info'!A3443:I3942,2,FALSE)</f>
        <v>#N/A</v>
      </c>
      <c r="H3451" s="6" t="e">
        <f>VLOOKUP('Customer Info'!A3443,'Customer Info'!A3443:I3943,3,FALSE)</f>
        <v>#N/A</v>
      </c>
      <c r="I3451" s="6" t="e">
        <f>VLOOKUP('Customer Info'!A3443,'Customer Info'!A3443:I3942,5,FALSE)</f>
        <v>#N/A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1178</v>
      </c>
      <c r="R3451" s="2" t="s">
        <v>26</v>
      </c>
      <c r="S3451" s="9">
        <f t="shared" si="269"/>
        <v>0.05</v>
      </c>
    </row>
    <row r="3452" spans="1:19" x14ac:dyDescent="0.25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e">
        <f>VLOOKUP('Customer Info'!A3444,'Customer Info'!A3444:I3943,2,FALSE)</f>
        <v>#N/A</v>
      </c>
      <c r="H3452" s="6" t="e">
        <f>VLOOKUP('Customer Info'!A3444,'Customer Info'!A3444:I3944,3,FALSE)</f>
        <v>#N/A</v>
      </c>
      <c r="I3452" s="6" t="e">
        <f>VLOOKUP('Customer Info'!A3444,'Customer Info'!A3444:I3943,5,FALSE)</f>
        <v>#N/A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3696</v>
      </c>
      <c r="R3452" s="2" t="s">
        <v>50</v>
      </c>
      <c r="S3452" s="9">
        <f t="shared" si="269"/>
        <v>7.0000000000000007E-2</v>
      </c>
    </row>
    <row r="3453" spans="1:19" x14ac:dyDescent="0.25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e">
        <f>VLOOKUP('Customer Info'!A3445,'Customer Info'!A3445:I3944,2,FALSE)</f>
        <v>#N/A</v>
      </c>
      <c r="H3453" s="6" t="e">
        <f>VLOOKUP('Customer Info'!A3445,'Customer Info'!A3445:I3945,3,FALSE)</f>
        <v>#N/A</v>
      </c>
      <c r="I3453" s="6" t="e">
        <f>VLOOKUP('Customer Info'!A3445,'Customer Info'!A3445:I3944,5,FALSE)</f>
        <v>#N/A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76</v>
      </c>
      <c r="R3453" s="2" t="s">
        <v>28</v>
      </c>
      <c r="S3453" s="9">
        <f t="shared" si="269"/>
        <v>0.02</v>
      </c>
    </row>
    <row r="3454" spans="1:19" x14ac:dyDescent="0.25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e">
        <f>VLOOKUP('Customer Info'!A3446,'Customer Info'!A3446:I3945,2,FALSE)</f>
        <v>#N/A</v>
      </c>
      <c r="H3454" s="6" t="e">
        <f>VLOOKUP('Customer Info'!A3446,'Customer Info'!A3446:I3946,3,FALSE)</f>
        <v>#N/A</v>
      </c>
      <c r="I3454" s="6" t="e">
        <f>VLOOKUP('Customer Info'!A3446,'Customer Info'!A3446:I3945,5,FALSE)</f>
        <v>#N/A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1438</v>
      </c>
      <c r="R3454" s="2" t="s">
        <v>50</v>
      </c>
      <c r="S3454" s="9">
        <f t="shared" si="269"/>
        <v>0.05</v>
      </c>
    </row>
    <row r="3455" spans="1:19" x14ac:dyDescent="0.25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e">
        <f>VLOOKUP('Customer Info'!A3447,'Customer Info'!A3447:I3946,2,FALSE)</f>
        <v>#N/A</v>
      </c>
      <c r="H3455" s="6" t="e">
        <f>VLOOKUP('Customer Info'!A3447,'Customer Info'!A3447:I3947,3,FALSE)</f>
        <v>#N/A</v>
      </c>
      <c r="I3455" s="6" t="e">
        <f>VLOOKUP('Customer Info'!A3447,'Customer Info'!A3447:I3946,5,FALSE)</f>
        <v>#N/A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277</v>
      </c>
      <c r="R3455" s="2" t="s">
        <v>50</v>
      </c>
      <c r="S3455" s="9">
        <f t="shared" si="269"/>
        <v>0.02</v>
      </c>
    </row>
    <row r="3456" spans="1:19" x14ac:dyDescent="0.25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e">
        <f>VLOOKUP('Customer Info'!A3448,'Customer Info'!A3448:I3947,2,FALSE)</f>
        <v>#N/A</v>
      </c>
      <c r="H3456" s="6" t="e">
        <f>VLOOKUP('Customer Info'!A3448,'Customer Info'!A3448:I3948,3,FALSE)</f>
        <v>#N/A</v>
      </c>
      <c r="I3456" s="6" t="e">
        <f>VLOOKUP('Customer Info'!A3448,'Customer Info'!A3448:I3947,5,FALSE)</f>
        <v>#N/A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400</v>
      </c>
      <c r="R3456" s="2" t="s">
        <v>28</v>
      </c>
      <c r="S3456" s="9">
        <f t="shared" si="269"/>
        <v>0.05</v>
      </c>
    </row>
    <row r="3457" spans="1:19" x14ac:dyDescent="0.25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e">
        <f>VLOOKUP('Customer Info'!A3449,'Customer Info'!A3449:I3948,2,FALSE)</f>
        <v>#N/A</v>
      </c>
      <c r="H3457" s="6" t="e">
        <f>VLOOKUP('Customer Info'!A3449,'Customer Info'!A3449:I3949,3,FALSE)</f>
        <v>#N/A</v>
      </c>
      <c r="I3457" s="6" t="e">
        <f>VLOOKUP('Customer Info'!A3449,'Customer Info'!A3449:I3948,5,FALSE)</f>
        <v>#N/A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202</v>
      </c>
      <c r="R3457" s="2" t="s">
        <v>26</v>
      </c>
      <c r="S3457" s="9">
        <f t="shared" si="269"/>
        <v>0.05</v>
      </c>
    </row>
    <row r="3458" spans="1:19" x14ac:dyDescent="0.25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e">
        <f>VLOOKUP('Customer Info'!A3450,'Customer Info'!A3450:I3949,2,FALSE)</f>
        <v>#N/A</v>
      </c>
      <c r="H3458" s="6" t="e">
        <f>VLOOKUP('Customer Info'!A3450,'Customer Info'!A3450:I3950,3,FALSE)</f>
        <v>#N/A</v>
      </c>
      <c r="I3458" s="6" t="e">
        <f>VLOOKUP('Customer Info'!A3450,'Customer Info'!A3450:I3949,5,FALSE)</f>
        <v>#N/A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213</v>
      </c>
      <c r="R3458" s="2" t="s">
        <v>28</v>
      </c>
      <c r="S3458" s="9">
        <f t="shared" si="269"/>
        <v>0.02</v>
      </c>
    </row>
    <row r="3459" spans="1:19" x14ac:dyDescent="0.25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e">
        <f>VLOOKUP('Customer Info'!A3451,'Customer Info'!A3451:I3950,2,FALSE)</f>
        <v>#N/A</v>
      </c>
      <c r="H3459" s="6" t="e">
        <f>VLOOKUP('Customer Info'!A3451,'Customer Info'!A3451:I3951,3,FALSE)</f>
        <v>#N/A</v>
      </c>
      <c r="I3459" s="6" t="e">
        <f>VLOOKUP('Customer Info'!A3451,'Customer Info'!A3451:I3950,5,FALSE)</f>
        <v>#N/A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22</v>
      </c>
      <c r="R3459" s="2" t="s">
        <v>28</v>
      </c>
      <c r="S3459" s="9">
        <f t="shared" si="269"/>
        <v>0.02</v>
      </c>
    </row>
    <row r="3460" spans="1:19" x14ac:dyDescent="0.25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e">
        <f>VLOOKUP('Customer Info'!A3452,'Customer Info'!A3452:I3951,2,FALSE)</f>
        <v>#N/A</v>
      </c>
      <c r="H3460" s="6" t="e">
        <f>VLOOKUP('Customer Info'!A3452,'Customer Info'!A3452:I3952,3,FALSE)</f>
        <v>#N/A</v>
      </c>
      <c r="I3460" s="6" t="e">
        <f>VLOOKUP('Customer Info'!A3452,'Customer Info'!A3452:I3951,5,FALSE)</f>
        <v>#N/A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797</v>
      </c>
      <c r="R3460" s="2" t="s">
        <v>28</v>
      </c>
      <c r="S3460" s="9">
        <f t="shared" si="269"/>
        <v>0.05</v>
      </c>
    </row>
    <row r="3461" spans="1:19" x14ac:dyDescent="0.25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e">
        <f>VLOOKUP('Customer Info'!A3453,'Customer Info'!A3453:I3952,2,FALSE)</f>
        <v>#N/A</v>
      </c>
      <c r="H3461" s="6" t="e">
        <f>VLOOKUP('Customer Info'!A3453,'Customer Info'!A3453:I3953,3,FALSE)</f>
        <v>#N/A</v>
      </c>
      <c r="I3461" s="6" t="e">
        <f>VLOOKUP('Customer Info'!A3453,'Customer Info'!A3453:I3952,5,FALSE)</f>
        <v>#N/A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13</v>
      </c>
      <c r="R3461" s="2" t="s">
        <v>56</v>
      </c>
      <c r="S3461" s="9">
        <f t="shared" si="269"/>
        <v>0.02</v>
      </c>
    </row>
    <row r="3462" spans="1:19" x14ac:dyDescent="0.25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e">
        <f>VLOOKUP('Customer Info'!A3454,'Customer Info'!A3454:I3953,2,FALSE)</f>
        <v>#N/A</v>
      </c>
      <c r="H3462" s="6" t="e">
        <f>VLOOKUP('Customer Info'!A3454,'Customer Info'!A3454:I3954,3,FALSE)</f>
        <v>#N/A</v>
      </c>
      <c r="I3462" s="6" t="e">
        <f>VLOOKUP('Customer Info'!A3454,'Customer Info'!A3454:I3953,5,FALSE)</f>
        <v>#N/A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219</v>
      </c>
      <c r="R3462" s="2" t="s">
        <v>28</v>
      </c>
      <c r="S3462" s="9">
        <f t="shared" si="269"/>
        <v>0.02</v>
      </c>
    </row>
    <row r="3463" spans="1:19" x14ac:dyDescent="0.25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e">
        <f>VLOOKUP('Customer Info'!A3455,'Customer Info'!A3455:I3954,2,FALSE)</f>
        <v>#N/A</v>
      </c>
      <c r="H3463" s="6" t="e">
        <f>VLOOKUP('Customer Info'!A3455,'Customer Info'!A3455:I3955,3,FALSE)</f>
        <v>#N/A</v>
      </c>
      <c r="I3463" s="6" t="e">
        <f>VLOOKUP('Customer Info'!A3455,'Customer Info'!A3455:I3954,5,FALSE)</f>
        <v>#N/A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107</v>
      </c>
      <c r="R3463" s="2" t="s">
        <v>26</v>
      </c>
      <c r="S3463" s="9">
        <f t="shared" si="269"/>
        <v>0.02</v>
      </c>
    </row>
    <row r="3464" spans="1:19" x14ac:dyDescent="0.25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e">
        <f>VLOOKUP('Customer Info'!A3456,'Customer Info'!A3456:I3955,2,FALSE)</f>
        <v>#N/A</v>
      </c>
      <c r="H3464" s="6" t="e">
        <f>VLOOKUP('Customer Info'!A3456,'Customer Info'!A3456:I3956,3,FALSE)</f>
        <v>#N/A</v>
      </c>
      <c r="I3464" s="6" t="e">
        <f>VLOOKUP('Customer Info'!A3456,'Customer Info'!A3456:I3955,5,FALSE)</f>
        <v>#N/A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192</v>
      </c>
      <c r="R3464" s="2" t="s">
        <v>28</v>
      </c>
      <c r="S3464" s="9">
        <f t="shared" si="269"/>
        <v>0.02</v>
      </c>
    </row>
    <row r="3465" spans="1:19" x14ac:dyDescent="0.25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e">
        <f>VLOOKUP('Customer Info'!A3457,'Customer Info'!A3457:I3956,2,FALSE)</f>
        <v>#N/A</v>
      </c>
      <c r="H3465" s="6" t="e">
        <f>VLOOKUP('Customer Info'!A3457,'Customer Info'!A3457:I3957,3,FALSE)</f>
        <v>#N/A</v>
      </c>
      <c r="I3465" s="6" t="e">
        <f>VLOOKUP('Customer Info'!A3457,'Customer Info'!A3457:I3956,5,FALSE)</f>
        <v>#N/A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678</v>
      </c>
      <c r="R3465" s="2" t="s">
        <v>50</v>
      </c>
      <c r="S3465" s="9">
        <f t="shared" si="269"/>
        <v>0.05</v>
      </c>
    </row>
    <row r="3466" spans="1:19" x14ac:dyDescent="0.25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e">
        <f>VLOOKUP('Customer Info'!A3458,'Customer Info'!A3458:I3957,2,FALSE)</f>
        <v>#N/A</v>
      </c>
      <c r="H3466" s="6" t="e">
        <f>VLOOKUP('Customer Info'!A3458,'Customer Info'!A3458:I3958,3,FALSE)</f>
        <v>#N/A</v>
      </c>
      <c r="I3466" s="6" t="e">
        <f>VLOOKUP('Customer Info'!A3458,'Customer Info'!A3458:I3957,5,FALSE)</f>
        <v>#N/A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174</v>
      </c>
      <c r="R3466" s="2" t="s">
        <v>28</v>
      </c>
      <c r="S3466" s="9">
        <f t="shared" si="269"/>
        <v>0.05</v>
      </c>
    </row>
    <row r="3467" spans="1:19" x14ac:dyDescent="0.25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e">
        <f>VLOOKUP('Customer Info'!A3459,'Customer Info'!A3459:I3958,2,FALSE)</f>
        <v>#N/A</v>
      </c>
      <c r="H3467" s="6" t="e">
        <f>VLOOKUP('Customer Info'!A3459,'Customer Info'!A3459:I3959,3,FALSE)</f>
        <v>#N/A</v>
      </c>
      <c r="I3467" s="6" t="e">
        <f>VLOOKUP('Customer Info'!A3459,'Customer Info'!A3459:I3958,5,FALSE)</f>
        <v>#N/A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8">
        <f t="shared" ref="P3467:P3530" si="272">N3467+O3467</f>
        <v>181</v>
      </c>
      <c r="Q3467" s="8">
        <f t="shared" ref="Q3467:Q3530" si="273">P3467-M3467</f>
        <v>42</v>
      </c>
      <c r="R3467" s="2" t="s">
        <v>50</v>
      </c>
      <c r="S3467" s="9">
        <f t="shared" ref="S3467:S3530" si="274">VLOOKUP(P3467,$T$2:$U$7,2,TRUE)</f>
        <v>0.02</v>
      </c>
    </row>
    <row r="3468" spans="1:19" x14ac:dyDescent="0.25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e">
        <f>VLOOKUP('Customer Info'!A3460,'Customer Info'!A3460:I3959,2,FALSE)</f>
        <v>#N/A</v>
      </c>
      <c r="H3468" s="6" t="e">
        <f>VLOOKUP('Customer Info'!A3460,'Customer Info'!A3460:I3960,3,FALSE)</f>
        <v>#N/A</v>
      </c>
      <c r="I3468" s="6" t="e">
        <f>VLOOKUP('Customer Info'!A3460,'Customer Info'!A3460:I3959,5,FALSE)</f>
        <v>#N/A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1049</v>
      </c>
      <c r="R3468" s="2" t="s">
        <v>28</v>
      </c>
      <c r="S3468" s="9">
        <f t="shared" si="274"/>
        <v>0.05</v>
      </c>
    </row>
    <row r="3469" spans="1:19" x14ac:dyDescent="0.25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e">
        <f>VLOOKUP('Customer Info'!A3461,'Customer Info'!A3461:I3960,2,FALSE)</f>
        <v>#N/A</v>
      </c>
      <c r="H3469" s="6" t="e">
        <f>VLOOKUP('Customer Info'!A3461,'Customer Info'!A3461:I3961,3,FALSE)</f>
        <v>#N/A</v>
      </c>
      <c r="I3469" s="6" t="e">
        <f>VLOOKUP('Customer Info'!A3461,'Customer Info'!A3461:I3960,5,FALSE)</f>
        <v>#N/A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406</v>
      </c>
      <c r="R3469" s="2" t="s">
        <v>26</v>
      </c>
      <c r="S3469" s="9">
        <f t="shared" si="274"/>
        <v>0.05</v>
      </c>
    </row>
    <row r="3470" spans="1:19" x14ac:dyDescent="0.25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e">
        <f>VLOOKUP('Customer Info'!A3462,'Customer Info'!A3462:I3961,2,FALSE)</f>
        <v>#N/A</v>
      </c>
      <c r="H3470" s="6" t="e">
        <f>VLOOKUP('Customer Info'!A3462,'Customer Info'!A3462:I3962,3,FALSE)</f>
        <v>#N/A</v>
      </c>
      <c r="I3470" s="6" t="e">
        <f>VLOOKUP('Customer Info'!A3462,'Customer Info'!A3462:I3961,5,FALSE)</f>
        <v>#N/A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357</v>
      </c>
      <c r="R3470" s="2" t="s">
        <v>28</v>
      </c>
      <c r="S3470" s="9">
        <f t="shared" si="274"/>
        <v>0.02</v>
      </c>
    </row>
    <row r="3471" spans="1:19" x14ac:dyDescent="0.25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e">
        <f>VLOOKUP('Customer Info'!A3463,'Customer Info'!A3463:I3962,2,FALSE)</f>
        <v>#N/A</v>
      </c>
      <c r="H3471" s="6" t="e">
        <f>VLOOKUP('Customer Info'!A3463,'Customer Info'!A3463:I3963,3,FALSE)</f>
        <v>#N/A</v>
      </c>
      <c r="I3471" s="6" t="e">
        <f>VLOOKUP('Customer Info'!A3463,'Customer Info'!A3463:I3962,5,FALSE)</f>
        <v>#N/A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1316</v>
      </c>
      <c r="R3471" s="2" t="s">
        <v>50</v>
      </c>
      <c r="S3471" s="9">
        <f t="shared" si="274"/>
        <v>0.05</v>
      </c>
    </row>
    <row r="3472" spans="1:19" x14ac:dyDescent="0.25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e">
        <f>VLOOKUP('Customer Info'!A3464,'Customer Info'!A3464:I3963,2,FALSE)</f>
        <v>#N/A</v>
      </c>
      <c r="H3472" s="6" t="e">
        <f>VLOOKUP('Customer Info'!A3464,'Customer Info'!A3464:I3964,3,FALSE)</f>
        <v>#N/A</v>
      </c>
      <c r="I3472" s="6" t="e">
        <f>VLOOKUP('Customer Info'!A3464,'Customer Info'!A3464:I3963,5,FALSE)</f>
        <v>#N/A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1032</v>
      </c>
      <c r="R3472" s="2" t="s">
        <v>28</v>
      </c>
      <c r="S3472" s="9">
        <f t="shared" si="274"/>
        <v>0.05</v>
      </c>
    </row>
    <row r="3473" spans="1:19" x14ac:dyDescent="0.25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e">
        <f>VLOOKUP('Customer Info'!A3465,'Customer Info'!A3465:I3964,2,FALSE)</f>
        <v>#N/A</v>
      </c>
      <c r="H3473" s="6" t="e">
        <f>VLOOKUP('Customer Info'!A3465,'Customer Info'!A3465:I3965,3,FALSE)</f>
        <v>#N/A</v>
      </c>
      <c r="I3473" s="6" t="e">
        <f>VLOOKUP('Customer Info'!A3465,'Customer Info'!A3465:I3964,5,FALSE)</f>
        <v>#N/A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66</v>
      </c>
      <c r="R3473" s="2" t="s">
        <v>28</v>
      </c>
      <c r="S3473" s="9">
        <f t="shared" si="274"/>
        <v>0.02</v>
      </c>
    </row>
    <row r="3474" spans="1:19" x14ac:dyDescent="0.25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e">
        <f>VLOOKUP('Customer Info'!A3466,'Customer Info'!A3466:I3965,2,FALSE)</f>
        <v>#N/A</v>
      </c>
      <c r="H3474" s="6" t="e">
        <f>VLOOKUP('Customer Info'!A3466,'Customer Info'!A3466:I3966,3,FALSE)</f>
        <v>#N/A</v>
      </c>
      <c r="I3474" s="6" t="e">
        <f>VLOOKUP('Customer Info'!A3466,'Customer Info'!A3466:I3965,5,FALSE)</f>
        <v>#N/A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173</v>
      </c>
      <c r="R3474" s="2" t="s">
        <v>28</v>
      </c>
      <c r="S3474" s="9">
        <f t="shared" si="274"/>
        <v>0.02</v>
      </c>
    </row>
    <row r="3475" spans="1:19" x14ac:dyDescent="0.25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e">
        <f>VLOOKUP('Customer Info'!A3467,'Customer Info'!A3467:I3966,2,FALSE)</f>
        <v>#N/A</v>
      </c>
      <c r="H3475" s="6" t="e">
        <f>VLOOKUP('Customer Info'!A3467,'Customer Info'!A3467:I3967,3,FALSE)</f>
        <v>#N/A</v>
      </c>
      <c r="I3475" s="6" t="e">
        <f>VLOOKUP('Customer Info'!A3467,'Customer Info'!A3467:I3966,5,FALSE)</f>
        <v>#N/A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15</v>
      </c>
      <c r="R3475" s="2" t="s">
        <v>50</v>
      </c>
      <c r="S3475" s="9">
        <f t="shared" si="274"/>
        <v>0.02</v>
      </c>
    </row>
    <row r="3476" spans="1:19" x14ac:dyDescent="0.25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e">
        <f>VLOOKUP('Customer Info'!A3468,'Customer Info'!A3468:I3967,2,FALSE)</f>
        <v>#N/A</v>
      </c>
      <c r="H3476" s="6" t="e">
        <f>VLOOKUP('Customer Info'!A3468,'Customer Info'!A3468:I3968,3,FALSE)</f>
        <v>#N/A</v>
      </c>
      <c r="I3476" s="6" t="e">
        <f>VLOOKUP('Customer Info'!A3468,'Customer Info'!A3468:I3967,5,FALSE)</f>
        <v>#N/A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45</v>
      </c>
      <c r="R3476" s="2" t="s">
        <v>28</v>
      </c>
      <c r="S3476" s="9">
        <f t="shared" si="274"/>
        <v>0.02</v>
      </c>
    </row>
    <row r="3477" spans="1:19" x14ac:dyDescent="0.25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e">
        <f>VLOOKUP('Customer Info'!A3469,'Customer Info'!A3469:I3968,2,FALSE)</f>
        <v>#N/A</v>
      </c>
      <c r="H3477" s="6" t="e">
        <f>VLOOKUP('Customer Info'!A3469,'Customer Info'!A3469:I3969,3,FALSE)</f>
        <v>#N/A</v>
      </c>
      <c r="I3477" s="6" t="e">
        <f>VLOOKUP('Customer Info'!A3469,'Customer Info'!A3469:I3968,5,FALSE)</f>
        <v>#N/A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732</v>
      </c>
      <c r="R3477" s="2" t="s">
        <v>28</v>
      </c>
      <c r="S3477" s="9">
        <f t="shared" si="274"/>
        <v>0.05</v>
      </c>
    </row>
    <row r="3478" spans="1:19" x14ac:dyDescent="0.25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e">
        <f>VLOOKUP('Customer Info'!A3470,'Customer Info'!A3470:I3969,2,FALSE)</f>
        <v>#N/A</v>
      </c>
      <c r="H3478" s="6" t="e">
        <f>VLOOKUP('Customer Info'!A3470,'Customer Info'!A3470:I3970,3,FALSE)</f>
        <v>#N/A</v>
      </c>
      <c r="I3478" s="6" t="e">
        <f>VLOOKUP('Customer Info'!A3470,'Customer Info'!A3470:I3969,5,FALSE)</f>
        <v>#N/A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100</v>
      </c>
      <c r="R3478" s="2" t="s">
        <v>28</v>
      </c>
      <c r="S3478" s="9">
        <f t="shared" si="274"/>
        <v>0.02</v>
      </c>
    </row>
    <row r="3479" spans="1:19" x14ac:dyDescent="0.25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e">
        <f>VLOOKUP('Customer Info'!A3471,'Customer Info'!A3471:I3970,2,FALSE)</f>
        <v>#N/A</v>
      </c>
      <c r="H3479" s="6" t="e">
        <f>VLOOKUP('Customer Info'!A3471,'Customer Info'!A3471:I3971,3,FALSE)</f>
        <v>#N/A</v>
      </c>
      <c r="I3479" s="6" t="e">
        <f>VLOOKUP('Customer Info'!A3471,'Customer Info'!A3471:I3970,5,FALSE)</f>
        <v>#N/A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304</v>
      </c>
      <c r="R3479" s="2" t="s">
        <v>28</v>
      </c>
      <c r="S3479" s="9">
        <f t="shared" si="274"/>
        <v>0.02</v>
      </c>
    </row>
    <row r="3480" spans="1:19" x14ac:dyDescent="0.25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e">
        <f>VLOOKUP('Customer Info'!A3472,'Customer Info'!A3472:I3971,2,FALSE)</f>
        <v>#N/A</v>
      </c>
      <c r="H3480" s="6" t="e">
        <f>VLOOKUP('Customer Info'!A3472,'Customer Info'!A3472:I3972,3,FALSE)</f>
        <v>#N/A</v>
      </c>
      <c r="I3480" s="6" t="e">
        <f>VLOOKUP('Customer Info'!A3472,'Customer Info'!A3472:I3971,5,FALSE)</f>
        <v>#N/A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178</v>
      </c>
      <c r="R3480" s="2" t="s">
        <v>50</v>
      </c>
      <c r="S3480" s="9">
        <f t="shared" si="274"/>
        <v>0.02</v>
      </c>
    </row>
    <row r="3481" spans="1:19" x14ac:dyDescent="0.25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e">
        <f>VLOOKUP('Customer Info'!A3473,'Customer Info'!A3473:I3972,2,FALSE)</f>
        <v>#N/A</v>
      </c>
      <c r="H3481" s="6" t="e">
        <f>VLOOKUP('Customer Info'!A3473,'Customer Info'!A3473:I3973,3,FALSE)</f>
        <v>#N/A</v>
      </c>
      <c r="I3481" s="6" t="e">
        <f>VLOOKUP('Customer Info'!A3473,'Customer Info'!A3473:I3972,5,FALSE)</f>
        <v>#N/A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455</v>
      </c>
      <c r="R3481" s="2" t="s">
        <v>50</v>
      </c>
      <c r="S3481" s="9">
        <f t="shared" si="274"/>
        <v>0.02</v>
      </c>
    </row>
    <row r="3482" spans="1:19" x14ac:dyDescent="0.25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e">
        <f>VLOOKUP('Customer Info'!A3474,'Customer Info'!A3474:I3973,2,FALSE)</f>
        <v>#N/A</v>
      </c>
      <c r="H3482" s="6" t="e">
        <f>VLOOKUP('Customer Info'!A3474,'Customer Info'!A3474:I3974,3,FALSE)</f>
        <v>#N/A</v>
      </c>
      <c r="I3482" s="6" t="e">
        <f>VLOOKUP('Customer Info'!A3474,'Customer Info'!A3474:I3973,5,FALSE)</f>
        <v>#N/A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68</v>
      </c>
      <c r="R3482" s="2" t="s">
        <v>28</v>
      </c>
      <c r="S3482" s="9">
        <f t="shared" si="274"/>
        <v>0.02</v>
      </c>
    </row>
    <row r="3483" spans="1:19" x14ac:dyDescent="0.25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e">
        <f>VLOOKUP('Customer Info'!A3475,'Customer Info'!A3475:I3974,2,FALSE)</f>
        <v>#N/A</v>
      </c>
      <c r="H3483" s="6" t="e">
        <f>VLOOKUP('Customer Info'!A3475,'Customer Info'!A3475:I3975,3,FALSE)</f>
        <v>#N/A</v>
      </c>
      <c r="I3483" s="6" t="e">
        <f>VLOOKUP('Customer Info'!A3475,'Customer Info'!A3475:I3974,5,FALSE)</f>
        <v>#N/A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138</v>
      </c>
      <c r="R3483" s="2" t="s">
        <v>50</v>
      </c>
      <c r="S3483" s="9">
        <f t="shared" si="274"/>
        <v>0.02</v>
      </c>
    </row>
    <row r="3484" spans="1:19" x14ac:dyDescent="0.25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e">
        <f>VLOOKUP('Customer Info'!A3476,'Customer Info'!A3476:I3975,2,FALSE)</f>
        <v>#N/A</v>
      </c>
      <c r="H3484" s="6" t="e">
        <f>VLOOKUP('Customer Info'!A3476,'Customer Info'!A3476:I3976,3,FALSE)</f>
        <v>#N/A</v>
      </c>
      <c r="I3484" s="6" t="e">
        <f>VLOOKUP('Customer Info'!A3476,'Customer Info'!A3476:I3975,5,FALSE)</f>
        <v>#N/A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316</v>
      </c>
      <c r="R3484" s="2" t="s">
        <v>28</v>
      </c>
      <c r="S3484" s="9">
        <f t="shared" si="274"/>
        <v>0.02</v>
      </c>
    </row>
    <row r="3485" spans="1:19" x14ac:dyDescent="0.25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e">
        <f>VLOOKUP('Customer Info'!A3477,'Customer Info'!A3477:I3976,2,FALSE)</f>
        <v>#N/A</v>
      </c>
      <c r="H3485" s="6" t="e">
        <f>VLOOKUP('Customer Info'!A3477,'Customer Info'!A3477:I3977,3,FALSE)</f>
        <v>#N/A</v>
      </c>
      <c r="I3485" s="6" t="e">
        <f>VLOOKUP('Customer Info'!A3477,'Customer Info'!A3477:I3976,5,FALSE)</f>
        <v>#N/A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290</v>
      </c>
      <c r="R3485" s="2" t="s">
        <v>50</v>
      </c>
      <c r="S3485" s="9">
        <f t="shared" si="274"/>
        <v>0.02</v>
      </c>
    </row>
    <row r="3486" spans="1:19" x14ac:dyDescent="0.25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e">
        <f>VLOOKUP('Customer Info'!A3478,'Customer Info'!A3478:I3977,2,FALSE)</f>
        <v>#N/A</v>
      </c>
      <c r="H3486" s="6" t="e">
        <f>VLOOKUP('Customer Info'!A3478,'Customer Info'!A3478:I3978,3,FALSE)</f>
        <v>#N/A</v>
      </c>
      <c r="I3486" s="6" t="e">
        <f>VLOOKUP('Customer Info'!A3478,'Customer Info'!A3478:I3977,5,FALSE)</f>
        <v>#N/A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108</v>
      </c>
      <c r="R3486" s="2" t="s">
        <v>50</v>
      </c>
      <c r="S3486" s="9">
        <f t="shared" si="274"/>
        <v>0.02</v>
      </c>
    </row>
    <row r="3487" spans="1:19" x14ac:dyDescent="0.25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e">
        <f>VLOOKUP('Customer Info'!A3479,'Customer Info'!A3479:I3978,2,FALSE)</f>
        <v>#N/A</v>
      </c>
      <c r="H3487" s="6" t="e">
        <f>VLOOKUP('Customer Info'!A3479,'Customer Info'!A3479:I3979,3,FALSE)</f>
        <v>#N/A</v>
      </c>
      <c r="I3487" s="6" t="e">
        <f>VLOOKUP('Customer Info'!A3479,'Customer Info'!A3479:I3978,5,FALSE)</f>
        <v>#N/A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413</v>
      </c>
      <c r="R3487" s="2" t="s">
        <v>26</v>
      </c>
      <c r="S3487" s="9">
        <f t="shared" si="274"/>
        <v>0.02</v>
      </c>
    </row>
    <row r="3488" spans="1:19" x14ac:dyDescent="0.25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e">
        <f>VLOOKUP('Customer Info'!A3480,'Customer Info'!A3480:I3979,2,FALSE)</f>
        <v>#N/A</v>
      </c>
      <c r="H3488" s="6" t="e">
        <f>VLOOKUP('Customer Info'!A3480,'Customer Info'!A3480:I3980,3,FALSE)</f>
        <v>#N/A</v>
      </c>
      <c r="I3488" s="6" t="e">
        <f>VLOOKUP('Customer Info'!A3480,'Customer Info'!A3480:I3979,5,FALSE)</f>
        <v>#N/A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5140</v>
      </c>
      <c r="R3488" s="2" t="s">
        <v>28</v>
      </c>
      <c r="S3488" s="9">
        <f t="shared" si="274"/>
        <v>0.09</v>
      </c>
    </row>
    <row r="3489" spans="1:19" x14ac:dyDescent="0.25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e">
        <f>VLOOKUP('Customer Info'!A3481,'Customer Info'!A3481:I3980,2,FALSE)</f>
        <v>#N/A</v>
      </c>
      <c r="H3489" s="6" t="e">
        <f>VLOOKUP('Customer Info'!A3481,'Customer Info'!A3481:I3981,3,FALSE)</f>
        <v>#N/A</v>
      </c>
      <c r="I3489" s="6" t="e">
        <f>VLOOKUP('Customer Info'!A3481,'Customer Info'!A3481:I3980,5,FALSE)</f>
        <v>#N/A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149</v>
      </c>
      <c r="R3489" s="2" t="s">
        <v>50</v>
      </c>
      <c r="S3489" s="9">
        <f t="shared" si="274"/>
        <v>0.02</v>
      </c>
    </row>
    <row r="3490" spans="1:19" x14ac:dyDescent="0.25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e">
        <f>VLOOKUP('Customer Info'!A3482,'Customer Info'!A3482:I3981,2,FALSE)</f>
        <v>#N/A</v>
      </c>
      <c r="H3490" s="6" t="e">
        <f>VLOOKUP('Customer Info'!A3482,'Customer Info'!A3482:I3982,3,FALSE)</f>
        <v>#N/A</v>
      </c>
      <c r="I3490" s="6" t="e">
        <f>VLOOKUP('Customer Info'!A3482,'Customer Info'!A3482:I3981,5,FALSE)</f>
        <v>#N/A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419</v>
      </c>
      <c r="R3490" s="2" t="s">
        <v>28</v>
      </c>
      <c r="S3490" s="9">
        <f t="shared" si="274"/>
        <v>0.02</v>
      </c>
    </row>
    <row r="3491" spans="1:19" x14ac:dyDescent="0.25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e">
        <f>VLOOKUP('Customer Info'!A3483,'Customer Info'!A3483:I3982,2,FALSE)</f>
        <v>#N/A</v>
      </c>
      <c r="H3491" s="6" t="e">
        <f>VLOOKUP('Customer Info'!A3483,'Customer Info'!A3483:I3983,3,FALSE)</f>
        <v>#N/A</v>
      </c>
      <c r="I3491" s="6" t="e">
        <f>VLOOKUP('Customer Info'!A3483,'Customer Info'!A3483:I3982,5,FALSE)</f>
        <v>#N/A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221</v>
      </c>
      <c r="R3491" s="2" t="s">
        <v>26</v>
      </c>
      <c r="S3491" s="9">
        <f t="shared" si="274"/>
        <v>0.02</v>
      </c>
    </row>
    <row r="3492" spans="1:19" x14ac:dyDescent="0.25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e">
        <f>VLOOKUP('Customer Info'!A3484,'Customer Info'!A3484:I3983,2,FALSE)</f>
        <v>#N/A</v>
      </c>
      <c r="H3492" s="6" t="e">
        <f>VLOOKUP('Customer Info'!A3484,'Customer Info'!A3484:I3984,3,FALSE)</f>
        <v>#N/A</v>
      </c>
      <c r="I3492" s="6" t="e">
        <f>VLOOKUP('Customer Info'!A3484,'Customer Info'!A3484:I3983,5,FALSE)</f>
        <v>#N/A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1037</v>
      </c>
      <c r="R3492" s="2" t="s">
        <v>50</v>
      </c>
      <c r="S3492" s="9">
        <f t="shared" si="274"/>
        <v>0.05</v>
      </c>
    </row>
    <row r="3493" spans="1:19" x14ac:dyDescent="0.25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e">
        <f>VLOOKUP('Customer Info'!A3485,'Customer Info'!A3485:I3984,2,FALSE)</f>
        <v>#N/A</v>
      </c>
      <c r="H3493" s="6" t="e">
        <f>VLOOKUP('Customer Info'!A3485,'Customer Info'!A3485:I3985,3,FALSE)</f>
        <v>#N/A</v>
      </c>
      <c r="I3493" s="6" t="e">
        <f>VLOOKUP('Customer Info'!A3485,'Customer Info'!A3485:I3984,5,FALSE)</f>
        <v>#N/A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691</v>
      </c>
      <c r="R3493" s="2" t="s">
        <v>50</v>
      </c>
      <c r="S3493" s="9">
        <f t="shared" si="274"/>
        <v>7.0000000000000007E-2</v>
      </c>
    </row>
    <row r="3494" spans="1:19" x14ac:dyDescent="0.25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e">
        <f>VLOOKUP('Customer Info'!A3486,'Customer Info'!A3486:I3985,2,FALSE)</f>
        <v>#N/A</v>
      </c>
      <c r="H3494" s="6" t="e">
        <f>VLOOKUP('Customer Info'!A3486,'Customer Info'!A3486:I3986,3,FALSE)</f>
        <v>#N/A</v>
      </c>
      <c r="I3494" s="6" t="e">
        <f>VLOOKUP('Customer Info'!A3486,'Customer Info'!A3486:I3985,5,FALSE)</f>
        <v>#N/A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457</v>
      </c>
      <c r="R3494" s="2" t="s">
        <v>28</v>
      </c>
      <c r="S3494" s="9">
        <f t="shared" si="274"/>
        <v>0.05</v>
      </c>
    </row>
    <row r="3495" spans="1:19" x14ac:dyDescent="0.25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e">
        <f>VLOOKUP('Customer Info'!A3487,'Customer Info'!A3487:I3986,2,FALSE)</f>
        <v>#N/A</v>
      </c>
      <c r="H3495" s="6" t="e">
        <f>VLOOKUP('Customer Info'!A3487,'Customer Info'!A3487:I3987,3,FALSE)</f>
        <v>#N/A</v>
      </c>
      <c r="I3495" s="6" t="e">
        <f>VLOOKUP('Customer Info'!A3487,'Customer Info'!A3487:I3986,5,FALSE)</f>
        <v>#N/A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245</v>
      </c>
      <c r="R3495" s="2" t="s">
        <v>28</v>
      </c>
      <c r="S3495" s="9">
        <f t="shared" si="274"/>
        <v>0.02</v>
      </c>
    </row>
    <row r="3496" spans="1:19" x14ac:dyDescent="0.25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e">
        <f>VLOOKUP('Customer Info'!A3488,'Customer Info'!A3488:I3987,2,FALSE)</f>
        <v>#N/A</v>
      </c>
      <c r="H3496" s="6" t="e">
        <f>VLOOKUP('Customer Info'!A3488,'Customer Info'!A3488:I3988,3,FALSE)</f>
        <v>#N/A</v>
      </c>
      <c r="I3496" s="6" t="e">
        <f>VLOOKUP('Customer Info'!A3488,'Customer Info'!A3488:I3987,5,FALSE)</f>
        <v>#N/A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2092</v>
      </c>
      <c r="R3496" s="2" t="s">
        <v>28</v>
      </c>
      <c r="S3496" s="9">
        <f t="shared" si="274"/>
        <v>0.05</v>
      </c>
    </row>
    <row r="3497" spans="1:19" x14ac:dyDescent="0.25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e">
        <f>VLOOKUP('Customer Info'!A3489,'Customer Info'!A3489:I3988,2,FALSE)</f>
        <v>#N/A</v>
      </c>
      <c r="H3497" s="6" t="e">
        <f>VLOOKUP('Customer Info'!A3489,'Customer Info'!A3489:I3989,3,FALSE)</f>
        <v>#N/A</v>
      </c>
      <c r="I3497" s="6" t="e">
        <f>VLOOKUP('Customer Info'!A3489,'Customer Info'!A3489:I3988,5,FALSE)</f>
        <v>#N/A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234</v>
      </c>
      <c r="R3497" s="2" t="s">
        <v>28</v>
      </c>
      <c r="S3497" s="9">
        <f t="shared" si="274"/>
        <v>0.05</v>
      </c>
    </row>
    <row r="3498" spans="1:19" x14ac:dyDescent="0.25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e">
        <f>VLOOKUP('Customer Info'!A3490,'Customer Info'!A3490:I3989,2,FALSE)</f>
        <v>#N/A</v>
      </c>
      <c r="H3498" s="6" t="e">
        <f>VLOOKUP('Customer Info'!A3490,'Customer Info'!A3490:I3990,3,FALSE)</f>
        <v>#N/A</v>
      </c>
      <c r="I3498" s="6" t="e">
        <f>VLOOKUP('Customer Info'!A3490,'Customer Info'!A3490:I3989,5,FALSE)</f>
        <v>#N/A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1949</v>
      </c>
      <c r="R3498" s="2" t="s">
        <v>50</v>
      </c>
      <c r="S3498" s="9">
        <f t="shared" si="274"/>
        <v>0.05</v>
      </c>
    </row>
    <row r="3499" spans="1:19" x14ac:dyDescent="0.25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e">
        <f>VLOOKUP('Customer Info'!A3491,'Customer Info'!A3491:I3990,2,FALSE)</f>
        <v>#N/A</v>
      </c>
      <c r="H3499" s="6" t="e">
        <f>VLOOKUP('Customer Info'!A3491,'Customer Info'!A3491:I3991,3,FALSE)</f>
        <v>#N/A</v>
      </c>
      <c r="I3499" s="6" t="e">
        <f>VLOOKUP('Customer Info'!A3491,'Customer Info'!A3491:I3990,5,FALSE)</f>
        <v>#N/A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472</v>
      </c>
      <c r="R3499" s="2" t="s">
        <v>28</v>
      </c>
      <c r="S3499" s="9">
        <f t="shared" si="274"/>
        <v>0.05</v>
      </c>
    </row>
    <row r="3500" spans="1:19" x14ac:dyDescent="0.25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e">
        <f>VLOOKUP('Customer Info'!A3492,'Customer Info'!A3492:I3991,2,FALSE)</f>
        <v>#N/A</v>
      </c>
      <c r="H3500" s="6" t="e">
        <f>VLOOKUP('Customer Info'!A3492,'Customer Info'!A3492:I3992,3,FALSE)</f>
        <v>#N/A</v>
      </c>
      <c r="I3500" s="6" t="e">
        <f>VLOOKUP('Customer Info'!A3492,'Customer Info'!A3492:I3991,5,FALSE)</f>
        <v>#N/A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55</v>
      </c>
      <c r="R3500" s="2" t="s">
        <v>28</v>
      </c>
      <c r="S3500" s="9">
        <f t="shared" si="274"/>
        <v>0.02</v>
      </c>
    </row>
    <row r="3501" spans="1:19" x14ac:dyDescent="0.25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e">
        <f>VLOOKUP('Customer Info'!A3493,'Customer Info'!A3493:I3992,2,FALSE)</f>
        <v>#N/A</v>
      </c>
      <c r="H3501" s="6" t="e">
        <f>VLOOKUP('Customer Info'!A3493,'Customer Info'!A3493:I3993,3,FALSE)</f>
        <v>#N/A</v>
      </c>
      <c r="I3501" s="6" t="e">
        <f>VLOOKUP('Customer Info'!A3493,'Customer Info'!A3493:I3992,5,FALSE)</f>
        <v>#N/A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441</v>
      </c>
      <c r="R3501" s="2" t="s">
        <v>28</v>
      </c>
      <c r="S3501" s="9">
        <f t="shared" si="274"/>
        <v>0.05</v>
      </c>
    </row>
    <row r="3502" spans="1:19" x14ac:dyDescent="0.25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e">
        <f>VLOOKUP('Customer Info'!A3494,'Customer Info'!A3494:I3993,2,FALSE)</f>
        <v>#N/A</v>
      </c>
      <c r="H3502" s="6" t="e">
        <f>VLOOKUP('Customer Info'!A3494,'Customer Info'!A3494:I3994,3,FALSE)</f>
        <v>#N/A</v>
      </c>
      <c r="I3502" s="6" t="e">
        <f>VLOOKUP('Customer Info'!A3494,'Customer Info'!A3494:I3993,5,FALSE)</f>
        <v>#N/A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145</v>
      </c>
      <c r="R3502" s="2" t="s">
        <v>28</v>
      </c>
      <c r="S3502" s="9">
        <f t="shared" si="274"/>
        <v>0.02</v>
      </c>
    </row>
    <row r="3503" spans="1:19" x14ac:dyDescent="0.25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e">
        <f>VLOOKUP('Customer Info'!A3495,'Customer Info'!A3495:I3994,2,FALSE)</f>
        <v>#N/A</v>
      </c>
      <c r="H3503" s="6" t="e">
        <f>VLOOKUP('Customer Info'!A3495,'Customer Info'!A3495:I3995,3,FALSE)</f>
        <v>#N/A</v>
      </c>
      <c r="I3503" s="6" t="e">
        <f>VLOOKUP('Customer Info'!A3495,'Customer Info'!A3495:I3994,5,FALSE)</f>
        <v>#N/A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476</v>
      </c>
      <c r="R3503" s="2" t="s">
        <v>26</v>
      </c>
      <c r="S3503" s="9">
        <f t="shared" si="274"/>
        <v>0.05</v>
      </c>
    </row>
    <row r="3504" spans="1:19" x14ac:dyDescent="0.25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e">
        <f>VLOOKUP('Customer Info'!A3496,'Customer Info'!A3496:I3995,2,FALSE)</f>
        <v>#N/A</v>
      </c>
      <c r="H3504" s="6" t="e">
        <f>VLOOKUP('Customer Info'!A3496,'Customer Info'!A3496:I3996,3,FALSE)</f>
        <v>#N/A</v>
      </c>
      <c r="I3504" s="6" t="e">
        <f>VLOOKUP('Customer Info'!A3496,'Customer Info'!A3496:I3995,5,FALSE)</f>
        <v>#N/A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675</v>
      </c>
      <c r="R3504" s="2" t="s">
        <v>28</v>
      </c>
      <c r="S3504" s="9">
        <f t="shared" si="274"/>
        <v>0.05</v>
      </c>
    </row>
    <row r="3505" spans="1:19" x14ac:dyDescent="0.25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e">
        <f>VLOOKUP('Customer Info'!A3497,'Customer Info'!A3497:I3996,2,FALSE)</f>
        <v>#N/A</v>
      </c>
      <c r="H3505" s="6" t="e">
        <f>VLOOKUP('Customer Info'!A3497,'Customer Info'!A3497:I3997,3,FALSE)</f>
        <v>#N/A</v>
      </c>
      <c r="I3505" s="6" t="e">
        <f>VLOOKUP('Customer Info'!A3497,'Customer Info'!A3497:I3996,5,FALSE)</f>
        <v>#N/A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450</v>
      </c>
      <c r="R3505" s="2" t="s">
        <v>28</v>
      </c>
      <c r="S3505" s="9">
        <f t="shared" si="274"/>
        <v>0.05</v>
      </c>
    </row>
    <row r="3506" spans="1:19" x14ac:dyDescent="0.25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e">
        <f>VLOOKUP('Customer Info'!A3498,'Customer Info'!A3498:I3997,2,FALSE)</f>
        <v>#N/A</v>
      </c>
      <c r="H3506" s="6" t="e">
        <f>VLOOKUP('Customer Info'!A3498,'Customer Info'!A3498:I3998,3,FALSE)</f>
        <v>#N/A</v>
      </c>
      <c r="I3506" s="6" t="e">
        <f>VLOOKUP('Customer Info'!A3498,'Customer Info'!A3498:I3997,5,FALSE)</f>
        <v>#N/A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473</v>
      </c>
      <c r="R3506" s="2" t="s">
        <v>28</v>
      </c>
      <c r="S3506" s="9">
        <f t="shared" si="274"/>
        <v>0.05</v>
      </c>
    </row>
    <row r="3507" spans="1:19" x14ac:dyDescent="0.25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e">
        <f>VLOOKUP('Customer Info'!A3499,'Customer Info'!A3499:I3998,2,FALSE)</f>
        <v>#N/A</v>
      </c>
      <c r="H3507" s="6" t="e">
        <f>VLOOKUP('Customer Info'!A3499,'Customer Info'!A3499:I3999,3,FALSE)</f>
        <v>#N/A</v>
      </c>
      <c r="I3507" s="6" t="e">
        <f>VLOOKUP('Customer Info'!A3499,'Customer Info'!A3499:I3998,5,FALSE)</f>
        <v>#N/A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84</v>
      </c>
      <c r="R3507" s="2" t="s">
        <v>50</v>
      </c>
      <c r="S3507" s="9">
        <f t="shared" si="274"/>
        <v>0.02</v>
      </c>
    </row>
    <row r="3508" spans="1:19" x14ac:dyDescent="0.25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e">
        <f>VLOOKUP('Customer Info'!A3500,'Customer Info'!A3500:I3999,2,FALSE)</f>
        <v>#N/A</v>
      </c>
      <c r="H3508" s="6" t="e">
        <f>VLOOKUP('Customer Info'!A3500,'Customer Info'!A3500:I4000,3,FALSE)</f>
        <v>#N/A</v>
      </c>
      <c r="I3508" s="6" t="e">
        <f>VLOOKUP('Customer Info'!A3500,'Customer Info'!A3500:I3999,5,FALSE)</f>
        <v>#N/A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414</v>
      </c>
      <c r="R3508" s="2" t="s">
        <v>26</v>
      </c>
      <c r="S3508" s="9">
        <f t="shared" si="274"/>
        <v>0.02</v>
      </c>
    </row>
    <row r="3509" spans="1:19" x14ac:dyDescent="0.25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e">
        <f>VLOOKUP('Customer Info'!A3501,'Customer Info'!A3501:I4000,2,FALSE)</f>
        <v>#N/A</v>
      </c>
      <c r="H3509" s="6" t="e">
        <f>VLOOKUP('Customer Info'!A3501,'Customer Info'!A3501:I4001,3,FALSE)</f>
        <v>#N/A</v>
      </c>
      <c r="I3509" s="6" t="e">
        <f>VLOOKUP('Customer Info'!A3501,'Customer Info'!A3501:I4000,5,FALSE)</f>
        <v>#N/A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6013</v>
      </c>
      <c r="R3509" s="2" t="s">
        <v>26</v>
      </c>
      <c r="S3509" s="9">
        <f t="shared" si="274"/>
        <v>0.09</v>
      </c>
    </row>
    <row r="3510" spans="1:19" x14ac:dyDescent="0.25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e">
        <f>VLOOKUP('Customer Info'!A3502,'Customer Info'!A3502:I4001,2,FALSE)</f>
        <v>#N/A</v>
      </c>
      <c r="H3510" s="6" t="e">
        <f>VLOOKUP('Customer Info'!A3502,'Customer Info'!A3502:I4002,3,FALSE)</f>
        <v>#N/A</v>
      </c>
      <c r="I3510" s="6" t="e">
        <f>VLOOKUP('Customer Info'!A3502,'Customer Info'!A3502:I4001,5,FALSE)</f>
        <v>#N/A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398</v>
      </c>
      <c r="R3510" s="2" t="s">
        <v>28</v>
      </c>
      <c r="S3510" s="9">
        <f t="shared" si="274"/>
        <v>0.02</v>
      </c>
    </row>
    <row r="3511" spans="1:19" x14ac:dyDescent="0.25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e">
        <f>VLOOKUP('Customer Info'!A3503,'Customer Info'!A3503:I4002,2,FALSE)</f>
        <v>#N/A</v>
      </c>
      <c r="H3511" s="6" t="e">
        <f>VLOOKUP('Customer Info'!A3503,'Customer Info'!A3503:I4003,3,FALSE)</f>
        <v>#N/A</v>
      </c>
      <c r="I3511" s="6" t="e">
        <f>VLOOKUP('Customer Info'!A3503,'Customer Info'!A3503:I4002,5,FALSE)</f>
        <v>#N/A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750</v>
      </c>
      <c r="R3511" s="2" t="s">
        <v>28</v>
      </c>
      <c r="S3511" s="9">
        <f t="shared" si="274"/>
        <v>0.05</v>
      </c>
    </row>
    <row r="3512" spans="1:19" x14ac:dyDescent="0.25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e">
        <f>VLOOKUP('Customer Info'!A3504,'Customer Info'!A3504:I4003,2,FALSE)</f>
        <v>#N/A</v>
      </c>
      <c r="H3512" s="6" t="e">
        <f>VLOOKUP('Customer Info'!A3504,'Customer Info'!A3504:I4004,3,FALSE)</f>
        <v>#N/A</v>
      </c>
      <c r="I3512" s="6" t="e">
        <f>VLOOKUP('Customer Info'!A3504,'Customer Info'!A3504:I4003,5,FALSE)</f>
        <v>#N/A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163</v>
      </c>
      <c r="R3512" s="2" t="s">
        <v>50</v>
      </c>
      <c r="S3512" s="9">
        <f t="shared" si="274"/>
        <v>0.02</v>
      </c>
    </row>
    <row r="3513" spans="1:19" x14ac:dyDescent="0.25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e">
        <f>VLOOKUP('Customer Info'!A3505,'Customer Info'!A3505:I4004,2,FALSE)</f>
        <v>#N/A</v>
      </c>
      <c r="H3513" s="6" t="e">
        <f>VLOOKUP('Customer Info'!A3505,'Customer Info'!A3505:I4005,3,FALSE)</f>
        <v>#N/A</v>
      </c>
      <c r="I3513" s="6" t="e">
        <f>VLOOKUP('Customer Info'!A3505,'Customer Info'!A3505:I4004,5,FALSE)</f>
        <v>#N/A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126</v>
      </c>
      <c r="R3513" s="2" t="s">
        <v>28</v>
      </c>
      <c r="S3513" s="9">
        <f t="shared" si="274"/>
        <v>0.02</v>
      </c>
    </row>
    <row r="3514" spans="1:19" x14ac:dyDescent="0.25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e">
        <f>VLOOKUP('Customer Info'!A3506,'Customer Info'!A3506:I4005,2,FALSE)</f>
        <v>#N/A</v>
      </c>
      <c r="H3514" s="6" t="e">
        <f>VLOOKUP('Customer Info'!A3506,'Customer Info'!A3506:I4006,3,FALSE)</f>
        <v>#N/A</v>
      </c>
      <c r="I3514" s="6" t="e">
        <f>VLOOKUP('Customer Info'!A3506,'Customer Info'!A3506:I4005,5,FALSE)</f>
        <v>#N/A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385</v>
      </c>
      <c r="R3514" s="2" t="s">
        <v>28</v>
      </c>
      <c r="S3514" s="9">
        <f t="shared" si="274"/>
        <v>0.02</v>
      </c>
    </row>
    <row r="3515" spans="1:19" x14ac:dyDescent="0.25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e">
        <f>VLOOKUP('Customer Info'!A3507,'Customer Info'!A3507:I4006,2,FALSE)</f>
        <v>#N/A</v>
      </c>
      <c r="H3515" s="6" t="e">
        <f>VLOOKUP('Customer Info'!A3507,'Customer Info'!A3507:I4007,3,FALSE)</f>
        <v>#N/A</v>
      </c>
      <c r="I3515" s="6" t="e">
        <f>VLOOKUP('Customer Info'!A3507,'Customer Info'!A3507:I4006,5,FALSE)</f>
        <v>#N/A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149</v>
      </c>
      <c r="R3515" s="2" t="s">
        <v>28</v>
      </c>
      <c r="S3515" s="9">
        <f t="shared" si="274"/>
        <v>0.02</v>
      </c>
    </row>
    <row r="3516" spans="1:19" x14ac:dyDescent="0.25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e">
        <f>VLOOKUP('Customer Info'!A3508,'Customer Info'!A3508:I4007,2,FALSE)</f>
        <v>#N/A</v>
      </c>
      <c r="H3516" s="6" t="e">
        <f>VLOOKUP('Customer Info'!A3508,'Customer Info'!A3508:I4008,3,FALSE)</f>
        <v>#N/A</v>
      </c>
      <c r="I3516" s="6" t="e">
        <f>VLOOKUP('Customer Info'!A3508,'Customer Info'!A3508:I4007,5,FALSE)</f>
        <v>#N/A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35</v>
      </c>
      <c r="R3516" s="2" t="s">
        <v>28</v>
      </c>
      <c r="S3516" s="9">
        <f t="shared" si="274"/>
        <v>0.02</v>
      </c>
    </row>
    <row r="3517" spans="1:19" x14ac:dyDescent="0.25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e">
        <f>VLOOKUP('Customer Info'!A3509,'Customer Info'!A3509:I4008,2,FALSE)</f>
        <v>#N/A</v>
      </c>
      <c r="H3517" s="6" t="e">
        <f>VLOOKUP('Customer Info'!A3509,'Customer Info'!A3509:I4009,3,FALSE)</f>
        <v>#N/A</v>
      </c>
      <c r="I3517" s="6" t="e">
        <f>VLOOKUP('Customer Info'!A3509,'Customer Info'!A3509:I4008,5,FALSE)</f>
        <v>#N/A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1251</v>
      </c>
      <c r="R3517" s="2" t="s">
        <v>50</v>
      </c>
      <c r="S3517" s="9">
        <f t="shared" si="274"/>
        <v>7.0000000000000007E-2</v>
      </c>
    </row>
    <row r="3518" spans="1:19" x14ac:dyDescent="0.25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e">
        <f>VLOOKUP('Customer Info'!A3510,'Customer Info'!A3510:I4009,2,FALSE)</f>
        <v>#N/A</v>
      </c>
      <c r="H3518" s="6" t="e">
        <f>VLOOKUP('Customer Info'!A3510,'Customer Info'!A3510:I4010,3,FALSE)</f>
        <v>#N/A</v>
      </c>
      <c r="I3518" s="6" t="e">
        <f>VLOOKUP('Customer Info'!A3510,'Customer Info'!A3510:I4009,5,FALSE)</f>
        <v>#N/A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359</v>
      </c>
      <c r="R3518" s="2" t="s">
        <v>28</v>
      </c>
      <c r="S3518" s="9">
        <f t="shared" si="274"/>
        <v>0.05</v>
      </c>
    </row>
    <row r="3519" spans="1:19" x14ac:dyDescent="0.25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e">
        <f>VLOOKUP('Customer Info'!A3511,'Customer Info'!A3511:I4010,2,FALSE)</f>
        <v>#N/A</v>
      </c>
      <c r="H3519" s="6" t="e">
        <f>VLOOKUP('Customer Info'!A3511,'Customer Info'!A3511:I4011,3,FALSE)</f>
        <v>#N/A</v>
      </c>
      <c r="I3519" s="6" t="e">
        <f>VLOOKUP('Customer Info'!A3511,'Customer Info'!A3511:I4010,5,FALSE)</f>
        <v>#N/A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81</v>
      </c>
      <c r="R3519" s="2" t="s">
        <v>28</v>
      </c>
      <c r="S3519" s="9">
        <f t="shared" si="274"/>
        <v>0.02</v>
      </c>
    </row>
    <row r="3520" spans="1:19" x14ac:dyDescent="0.25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e">
        <f>VLOOKUP('Customer Info'!A3512,'Customer Info'!A3512:I4011,2,FALSE)</f>
        <v>#N/A</v>
      </c>
      <c r="H3520" s="6" t="e">
        <f>VLOOKUP('Customer Info'!A3512,'Customer Info'!A3512:I4012,3,FALSE)</f>
        <v>#N/A</v>
      </c>
      <c r="I3520" s="6" t="e">
        <f>VLOOKUP('Customer Info'!A3512,'Customer Info'!A3512:I4011,5,FALSE)</f>
        <v>#N/A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76</v>
      </c>
      <c r="R3520" s="2" t="s">
        <v>28</v>
      </c>
      <c r="S3520" s="9">
        <f t="shared" si="274"/>
        <v>0.05</v>
      </c>
    </row>
    <row r="3521" spans="1:19" x14ac:dyDescent="0.25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e">
        <f>VLOOKUP('Customer Info'!A3513,'Customer Info'!A3513:I4012,2,FALSE)</f>
        <v>#N/A</v>
      </c>
      <c r="H3521" s="6" t="e">
        <f>VLOOKUP('Customer Info'!A3513,'Customer Info'!A3513:I4013,3,FALSE)</f>
        <v>#N/A</v>
      </c>
      <c r="I3521" s="6" t="e">
        <f>VLOOKUP('Customer Info'!A3513,'Customer Info'!A3513:I4012,5,FALSE)</f>
        <v>#N/A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2388</v>
      </c>
      <c r="R3521" s="2" t="s">
        <v>28</v>
      </c>
      <c r="S3521" s="9">
        <f t="shared" si="274"/>
        <v>7.0000000000000007E-2</v>
      </c>
    </row>
    <row r="3522" spans="1:19" x14ac:dyDescent="0.25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e">
        <f>VLOOKUP('Customer Info'!A3514,'Customer Info'!A3514:I4013,2,FALSE)</f>
        <v>#N/A</v>
      </c>
      <c r="H3522" s="6" t="e">
        <f>VLOOKUP('Customer Info'!A3514,'Customer Info'!A3514:I4014,3,FALSE)</f>
        <v>#N/A</v>
      </c>
      <c r="I3522" s="6" t="e">
        <f>VLOOKUP('Customer Info'!A3514,'Customer Info'!A3514:I4013,5,FALSE)</f>
        <v>#N/A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111</v>
      </c>
      <c r="R3522" s="2" t="s">
        <v>28</v>
      </c>
      <c r="S3522" s="9">
        <f t="shared" si="274"/>
        <v>0.02</v>
      </c>
    </row>
    <row r="3523" spans="1:19" x14ac:dyDescent="0.25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e">
        <f>VLOOKUP('Customer Info'!A3515,'Customer Info'!A3515:I4014,2,FALSE)</f>
        <v>#N/A</v>
      </c>
      <c r="H3523" s="6" t="e">
        <f>VLOOKUP('Customer Info'!A3515,'Customer Info'!A3515:I4015,3,FALSE)</f>
        <v>#N/A</v>
      </c>
      <c r="I3523" s="6" t="e">
        <f>VLOOKUP('Customer Info'!A3515,'Customer Info'!A3515:I4014,5,FALSE)</f>
        <v>#N/A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745</v>
      </c>
      <c r="R3523" s="2" t="s">
        <v>50</v>
      </c>
      <c r="S3523" s="9">
        <f t="shared" si="274"/>
        <v>0.05</v>
      </c>
    </row>
    <row r="3524" spans="1:19" x14ac:dyDescent="0.25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e">
        <f>VLOOKUP('Customer Info'!A3516,'Customer Info'!A3516:I4015,2,FALSE)</f>
        <v>#N/A</v>
      </c>
      <c r="H3524" s="6" t="e">
        <f>VLOOKUP('Customer Info'!A3516,'Customer Info'!A3516:I4016,3,FALSE)</f>
        <v>#N/A</v>
      </c>
      <c r="I3524" s="6" t="e">
        <f>VLOOKUP('Customer Info'!A3516,'Customer Info'!A3516:I4015,5,FALSE)</f>
        <v>#N/A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458</v>
      </c>
      <c r="R3524" s="2" t="s">
        <v>28</v>
      </c>
      <c r="S3524" s="9">
        <f t="shared" si="274"/>
        <v>0.05</v>
      </c>
    </row>
    <row r="3525" spans="1:19" x14ac:dyDescent="0.25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e">
        <f>VLOOKUP('Customer Info'!A3517,'Customer Info'!A3517:I4016,2,FALSE)</f>
        <v>#N/A</v>
      </c>
      <c r="H3525" s="6" t="e">
        <f>VLOOKUP('Customer Info'!A3517,'Customer Info'!A3517:I4017,3,FALSE)</f>
        <v>#N/A</v>
      </c>
      <c r="I3525" s="6" t="e">
        <f>VLOOKUP('Customer Info'!A3517,'Customer Info'!A3517:I4016,5,FALSE)</f>
        <v>#N/A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361</v>
      </c>
      <c r="R3525" s="2" t="s">
        <v>28</v>
      </c>
      <c r="S3525" s="9">
        <f t="shared" si="274"/>
        <v>0.02</v>
      </c>
    </row>
    <row r="3526" spans="1:19" x14ac:dyDescent="0.25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e">
        <f>VLOOKUP('Customer Info'!A3518,'Customer Info'!A3518:I4017,2,FALSE)</f>
        <v>#N/A</v>
      </c>
      <c r="H3526" s="6" t="e">
        <f>VLOOKUP('Customer Info'!A3518,'Customer Info'!A3518:I4018,3,FALSE)</f>
        <v>#N/A</v>
      </c>
      <c r="I3526" s="6" t="e">
        <f>VLOOKUP('Customer Info'!A3518,'Customer Info'!A3518:I4017,5,FALSE)</f>
        <v>#N/A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1857</v>
      </c>
      <c r="R3526" s="2" t="s">
        <v>56</v>
      </c>
      <c r="S3526" s="9">
        <f t="shared" si="274"/>
        <v>0.05</v>
      </c>
    </row>
    <row r="3527" spans="1:19" x14ac:dyDescent="0.25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e">
        <f>VLOOKUP('Customer Info'!A3519,'Customer Info'!A3519:I4018,2,FALSE)</f>
        <v>#N/A</v>
      </c>
      <c r="H3527" s="6" t="e">
        <f>VLOOKUP('Customer Info'!A3519,'Customer Info'!A3519:I4019,3,FALSE)</f>
        <v>#N/A</v>
      </c>
      <c r="I3527" s="6" t="e">
        <f>VLOOKUP('Customer Info'!A3519,'Customer Info'!A3519:I4018,5,FALSE)</f>
        <v>#N/A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1650</v>
      </c>
      <c r="R3527" s="2" t="s">
        <v>28</v>
      </c>
      <c r="S3527" s="9">
        <f t="shared" si="274"/>
        <v>0.05</v>
      </c>
    </row>
    <row r="3528" spans="1:19" x14ac:dyDescent="0.25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e">
        <f>VLOOKUP('Customer Info'!A3520,'Customer Info'!A3520:I4019,2,FALSE)</f>
        <v>#N/A</v>
      </c>
      <c r="H3528" s="6" t="e">
        <f>VLOOKUP('Customer Info'!A3520,'Customer Info'!A3520:I4020,3,FALSE)</f>
        <v>#N/A</v>
      </c>
      <c r="I3528" s="6" t="e">
        <f>VLOOKUP('Customer Info'!A3520,'Customer Info'!A3520:I4019,5,FALSE)</f>
        <v>#N/A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571</v>
      </c>
      <c r="R3528" s="2" t="s">
        <v>28</v>
      </c>
      <c r="S3528" s="9">
        <f t="shared" si="274"/>
        <v>0.05</v>
      </c>
    </row>
    <row r="3529" spans="1:19" x14ac:dyDescent="0.25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e">
        <f>VLOOKUP('Customer Info'!A3521,'Customer Info'!A3521:I4020,2,FALSE)</f>
        <v>#N/A</v>
      </c>
      <c r="H3529" s="6" t="e">
        <f>VLOOKUP('Customer Info'!A3521,'Customer Info'!A3521:I4021,3,FALSE)</f>
        <v>#N/A</v>
      </c>
      <c r="I3529" s="6" t="e">
        <f>VLOOKUP('Customer Info'!A3521,'Customer Info'!A3521:I4020,5,FALSE)</f>
        <v>#N/A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218</v>
      </c>
      <c r="R3529" s="2" t="s">
        <v>28</v>
      </c>
      <c r="S3529" s="9">
        <f t="shared" si="274"/>
        <v>0.02</v>
      </c>
    </row>
    <row r="3530" spans="1:19" x14ac:dyDescent="0.25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e">
        <f>VLOOKUP('Customer Info'!A3522,'Customer Info'!A3522:I4021,2,FALSE)</f>
        <v>#N/A</v>
      </c>
      <c r="H3530" s="6" t="e">
        <f>VLOOKUP('Customer Info'!A3522,'Customer Info'!A3522:I4022,3,FALSE)</f>
        <v>#N/A</v>
      </c>
      <c r="I3530" s="6" t="e">
        <f>VLOOKUP('Customer Info'!A3522,'Customer Info'!A3522:I4021,5,FALSE)</f>
        <v>#N/A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206</v>
      </c>
      <c r="R3530" s="2" t="s">
        <v>28</v>
      </c>
      <c r="S3530" s="9">
        <f t="shared" si="274"/>
        <v>0.02</v>
      </c>
    </row>
    <row r="3531" spans="1:19" x14ac:dyDescent="0.25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e">
        <f>VLOOKUP('Customer Info'!A3523,'Customer Info'!A3523:I4022,2,FALSE)</f>
        <v>#N/A</v>
      </c>
      <c r="H3531" s="6" t="e">
        <f>VLOOKUP('Customer Info'!A3523,'Customer Info'!A3523:I4023,3,FALSE)</f>
        <v>#N/A</v>
      </c>
      <c r="I3531" s="6" t="e">
        <f>VLOOKUP('Customer Info'!A3523,'Customer Info'!A3523:I4022,5,FALSE)</f>
        <v>#N/A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8">
        <f t="shared" ref="P3531:P3594" si="277">N3531+O3531</f>
        <v>5587</v>
      </c>
      <c r="Q3531" s="8">
        <f t="shared" ref="Q3531:Q3594" si="278">P3531-M3531</f>
        <v>355</v>
      </c>
      <c r="R3531" s="2" t="s">
        <v>28</v>
      </c>
      <c r="S3531" s="9">
        <f t="shared" ref="S3531:S3594" si="279">VLOOKUP(P3531,$T$2:$U$7,2,TRUE)</f>
        <v>0.05</v>
      </c>
    </row>
    <row r="3532" spans="1:19" x14ac:dyDescent="0.25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e">
        <f>VLOOKUP('Customer Info'!A3524,'Customer Info'!A3524:I4023,2,FALSE)</f>
        <v>#N/A</v>
      </c>
      <c r="H3532" s="6" t="e">
        <f>VLOOKUP('Customer Info'!A3524,'Customer Info'!A3524:I4024,3,FALSE)</f>
        <v>#N/A</v>
      </c>
      <c r="I3532" s="6" t="e">
        <f>VLOOKUP('Customer Info'!A3524,'Customer Info'!A3524:I4023,5,FALSE)</f>
        <v>#N/A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160</v>
      </c>
      <c r="R3532" s="2" t="s">
        <v>50</v>
      </c>
      <c r="S3532" s="9">
        <f t="shared" si="279"/>
        <v>0.02</v>
      </c>
    </row>
    <row r="3533" spans="1:19" x14ac:dyDescent="0.25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e">
        <f>VLOOKUP('Customer Info'!A3525,'Customer Info'!A3525:I4024,2,FALSE)</f>
        <v>#N/A</v>
      </c>
      <c r="H3533" s="6" t="e">
        <f>VLOOKUP('Customer Info'!A3525,'Customer Info'!A3525:I4025,3,FALSE)</f>
        <v>#N/A</v>
      </c>
      <c r="I3533" s="6" t="e">
        <f>VLOOKUP('Customer Info'!A3525,'Customer Info'!A3525:I4024,5,FALSE)</f>
        <v>#N/A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110</v>
      </c>
      <c r="R3533" s="2" t="s">
        <v>50</v>
      </c>
      <c r="S3533" s="9">
        <f t="shared" si="279"/>
        <v>0.02</v>
      </c>
    </row>
    <row r="3534" spans="1:19" x14ac:dyDescent="0.25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e">
        <f>VLOOKUP('Customer Info'!A3526,'Customer Info'!A3526:I4025,2,FALSE)</f>
        <v>#N/A</v>
      </c>
      <c r="H3534" s="6" t="e">
        <f>VLOOKUP('Customer Info'!A3526,'Customer Info'!A3526:I4026,3,FALSE)</f>
        <v>#N/A</v>
      </c>
      <c r="I3534" s="6" t="e">
        <f>VLOOKUP('Customer Info'!A3526,'Customer Info'!A3526:I4025,5,FALSE)</f>
        <v>#N/A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798</v>
      </c>
      <c r="R3534" s="2" t="s">
        <v>50</v>
      </c>
      <c r="S3534" s="9">
        <f t="shared" si="279"/>
        <v>0.05</v>
      </c>
    </row>
    <row r="3535" spans="1:19" x14ac:dyDescent="0.25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e">
        <f>VLOOKUP('Customer Info'!A3527,'Customer Info'!A3527:I4026,2,FALSE)</f>
        <v>#N/A</v>
      </c>
      <c r="H3535" s="6" t="e">
        <f>VLOOKUP('Customer Info'!A3527,'Customer Info'!A3527:I4027,3,FALSE)</f>
        <v>#N/A</v>
      </c>
      <c r="I3535" s="6" t="e">
        <f>VLOOKUP('Customer Info'!A3527,'Customer Info'!A3527:I4026,5,FALSE)</f>
        <v>#N/A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353</v>
      </c>
      <c r="R3535" s="2" t="s">
        <v>50</v>
      </c>
      <c r="S3535" s="9">
        <f t="shared" si="279"/>
        <v>0.05</v>
      </c>
    </row>
    <row r="3536" spans="1:19" x14ac:dyDescent="0.25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e">
        <f>VLOOKUP('Customer Info'!A3528,'Customer Info'!A3528:I4027,2,FALSE)</f>
        <v>#N/A</v>
      </c>
      <c r="H3536" s="6" t="e">
        <f>VLOOKUP('Customer Info'!A3528,'Customer Info'!A3528:I4028,3,FALSE)</f>
        <v>#N/A</v>
      </c>
      <c r="I3536" s="6" t="e">
        <f>VLOOKUP('Customer Info'!A3528,'Customer Info'!A3528:I4027,5,FALSE)</f>
        <v>#N/A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492</v>
      </c>
      <c r="R3536" s="2" t="s">
        <v>28</v>
      </c>
      <c r="S3536" s="9">
        <f t="shared" si="279"/>
        <v>0.02</v>
      </c>
    </row>
    <row r="3537" spans="1:19" x14ac:dyDescent="0.25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e">
        <f>VLOOKUP('Customer Info'!A3529,'Customer Info'!A3529:I4028,2,FALSE)</f>
        <v>#N/A</v>
      </c>
      <c r="H3537" s="6" t="e">
        <f>VLOOKUP('Customer Info'!A3529,'Customer Info'!A3529:I4029,3,FALSE)</f>
        <v>#N/A</v>
      </c>
      <c r="I3537" s="6" t="e">
        <f>VLOOKUP('Customer Info'!A3529,'Customer Info'!A3529:I4028,5,FALSE)</f>
        <v>#N/A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3328</v>
      </c>
      <c r="R3537" s="2" t="s">
        <v>28</v>
      </c>
      <c r="S3537" s="9">
        <f t="shared" si="279"/>
        <v>7.0000000000000007E-2</v>
      </c>
    </row>
    <row r="3538" spans="1:19" x14ac:dyDescent="0.25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e">
        <f>VLOOKUP('Customer Info'!A3530,'Customer Info'!A3530:I4029,2,FALSE)</f>
        <v>#N/A</v>
      </c>
      <c r="H3538" s="6" t="e">
        <f>VLOOKUP('Customer Info'!A3530,'Customer Info'!A3530:I4030,3,FALSE)</f>
        <v>#N/A</v>
      </c>
      <c r="I3538" s="6" t="e">
        <f>VLOOKUP('Customer Info'!A3530,'Customer Info'!A3530:I4029,5,FALSE)</f>
        <v>#N/A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80</v>
      </c>
      <c r="R3538" s="2" t="s">
        <v>26</v>
      </c>
      <c r="S3538" s="9">
        <f t="shared" si="279"/>
        <v>0.02</v>
      </c>
    </row>
    <row r="3539" spans="1:19" x14ac:dyDescent="0.25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e">
        <f>VLOOKUP('Customer Info'!A3531,'Customer Info'!A3531:I4030,2,FALSE)</f>
        <v>#N/A</v>
      </c>
      <c r="H3539" s="6" t="e">
        <f>VLOOKUP('Customer Info'!A3531,'Customer Info'!A3531:I4031,3,FALSE)</f>
        <v>#N/A</v>
      </c>
      <c r="I3539" s="6" t="e">
        <f>VLOOKUP('Customer Info'!A3531,'Customer Info'!A3531:I4030,5,FALSE)</f>
        <v>#N/A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628</v>
      </c>
      <c r="R3539" s="2" t="s">
        <v>26</v>
      </c>
      <c r="S3539" s="9">
        <f t="shared" si="279"/>
        <v>0.02</v>
      </c>
    </row>
    <row r="3540" spans="1:19" x14ac:dyDescent="0.25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e">
        <f>VLOOKUP('Customer Info'!A3532,'Customer Info'!A3532:I4031,2,FALSE)</f>
        <v>#N/A</v>
      </c>
      <c r="H3540" s="6" t="e">
        <f>VLOOKUP('Customer Info'!A3532,'Customer Info'!A3532:I4032,3,FALSE)</f>
        <v>#N/A</v>
      </c>
      <c r="I3540" s="6" t="e">
        <f>VLOOKUP('Customer Info'!A3532,'Customer Info'!A3532:I4031,5,FALSE)</f>
        <v>#N/A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20</v>
      </c>
      <c r="R3540" s="2" t="s">
        <v>28</v>
      </c>
      <c r="S3540" s="9">
        <f t="shared" si="279"/>
        <v>0.02</v>
      </c>
    </row>
    <row r="3541" spans="1:19" x14ac:dyDescent="0.25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e">
        <f>VLOOKUP('Customer Info'!A3533,'Customer Info'!A3533:I4032,2,FALSE)</f>
        <v>#N/A</v>
      </c>
      <c r="H3541" s="6" t="e">
        <f>VLOOKUP('Customer Info'!A3533,'Customer Info'!A3533:I4033,3,FALSE)</f>
        <v>#N/A</v>
      </c>
      <c r="I3541" s="6" t="e">
        <f>VLOOKUP('Customer Info'!A3533,'Customer Info'!A3533:I4032,5,FALSE)</f>
        <v>#N/A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369</v>
      </c>
      <c r="R3541" s="2" t="s">
        <v>28</v>
      </c>
      <c r="S3541" s="9">
        <f t="shared" si="279"/>
        <v>0.05</v>
      </c>
    </row>
    <row r="3542" spans="1:19" x14ac:dyDescent="0.25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e">
        <f>VLOOKUP('Customer Info'!A3534,'Customer Info'!A3534:I4033,2,FALSE)</f>
        <v>#N/A</v>
      </c>
      <c r="H3542" s="6" t="e">
        <f>VLOOKUP('Customer Info'!A3534,'Customer Info'!A3534:I4034,3,FALSE)</f>
        <v>#N/A</v>
      </c>
      <c r="I3542" s="6" t="e">
        <f>VLOOKUP('Customer Info'!A3534,'Customer Info'!A3534:I4033,5,FALSE)</f>
        <v>#N/A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436</v>
      </c>
      <c r="R3542" s="2" t="s">
        <v>50</v>
      </c>
      <c r="S3542" s="9">
        <f t="shared" si="279"/>
        <v>0.05</v>
      </c>
    </row>
    <row r="3543" spans="1:19" x14ac:dyDescent="0.25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e">
        <f>VLOOKUP('Customer Info'!A3535,'Customer Info'!A3535:I4034,2,FALSE)</f>
        <v>#N/A</v>
      </c>
      <c r="H3543" s="6" t="e">
        <f>VLOOKUP('Customer Info'!A3535,'Customer Info'!A3535:I4035,3,FALSE)</f>
        <v>#N/A</v>
      </c>
      <c r="I3543" s="6" t="e">
        <f>VLOOKUP('Customer Info'!A3535,'Customer Info'!A3535:I4034,5,FALSE)</f>
        <v>#N/A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286</v>
      </c>
      <c r="R3543" s="2" t="s">
        <v>26</v>
      </c>
      <c r="S3543" s="9">
        <f t="shared" si="279"/>
        <v>0.02</v>
      </c>
    </row>
    <row r="3544" spans="1:19" x14ac:dyDescent="0.25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e">
        <f>VLOOKUP('Customer Info'!A3536,'Customer Info'!A3536:I4035,2,FALSE)</f>
        <v>#N/A</v>
      </c>
      <c r="H3544" s="6" t="e">
        <f>VLOOKUP('Customer Info'!A3536,'Customer Info'!A3536:I4036,3,FALSE)</f>
        <v>#N/A</v>
      </c>
      <c r="I3544" s="6" t="e">
        <f>VLOOKUP('Customer Info'!A3536,'Customer Info'!A3536:I4035,5,FALSE)</f>
        <v>#N/A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724</v>
      </c>
      <c r="R3544" s="2" t="s">
        <v>50</v>
      </c>
      <c r="S3544" s="9">
        <f t="shared" si="279"/>
        <v>0.05</v>
      </c>
    </row>
    <row r="3545" spans="1:19" x14ac:dyDescent="0.25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e">
        <f>VLOOKUP('Customer Info'!A3537,'Customer Info'!A3537:I4036,2,FALSE)</f>
        <v>#N/A</v>
      </c>
      <c r="H3545" s="6" t="e">
        <f>VLOOKUP('Customer Info'!A3537,'Customer Info'!A3537:I4037,3,FALSE)</f>
        <v>#N/A</v>
      </c>
      <c r="I3545" s="6" t="e">
        <f>VLOOKUP('Customer Info'!A3537,'Customer Info'!A3537:I4036,5,FALSE)</f>
        <v>#N/A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301</v>
      </c>
      <c r="R3545" s="2" t="s">
        <v>28</v>
      </c>
      <c r="S3545" s="9">
        <f t="shared" si="279"/>
        <v>0.05</v>
      </c>
    </row>
    <row r="3546" spans="1:19" x14ac:dyDescent="0.25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e">
        <f>VLOOKUP('Customer Info'!A3538,'Customer Info'!A3538:I4037,2,FALSE)</f>
        <v>#N/A</v>
      </c>
      <c r="H3546" s="6" t="e">
        <f>VLOOKUP('Customer Info'!A3538,'Customer Info'!A3538:I4038,3,FALSE)</f>
        <v>#N/A</v>
      </c>
      <c r="I3546" s="6" t="e">
        <f>VLOOKUP('Customer Info'!A3538,'Customer Info'!A3538:I4037,5,FALSE)</f>
        <v>#N/A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275</v>
      </c>
      <c r="R3546" s="2" t="s">
        <v>28</v>
      </c>
      <c r="S3546" s="9">
        <f t="shared" si="279"/>
        <v>0.02</v>
      </c>
    </row>
    <row r="3547" spans="1:19" x14ac:dyDescent="0.25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e">
        <f>VLOOKUP('Customer Info'!A3539,'Customer Info'!A3539:I4038,2,FALSE)</f>
        <v>#N/A</v>
      </c>
      <c r="H3547" s="6" t="e">
        <f>VLOOKUP('Customer Info'!A3539,'Customer Info'!A3539:I4039,3,FALSE)</f>
        <v>#N/A</v>
      </c>
      <c r="I3547" s="6" t="e">
        <f>VLOOKUP('Customer Info'!A3539,'Customer Info'!A3539:I4038,5,FALSE)</f>
        <v>#N/A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658</v>
      </c>
      <c r="R3547" s="2" t="s">
        <v>50</v>
      </c>
      <c r="S3547" s="9">
        <f t="shared" si="279"/>
        <v>0.05</v>
      </c>
    </row>
    <row r="3548" spans="1:19" x14ac:dyDescent="0.25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e">
        <f>VLOOKUP('Customer Info'!A3540,'Customer Info'!A3540:I4039,2,FALSE)</f>
        <v>#N/A</v>
      </c>
      <c r="H3548" s="6" t="e">
        <f>VLOOKUP('Customer Info'!A3540,'Customer Info'!A3540:I4040,3,FALSE)</f>
        <v>#N/A</v>
      </c>
      <c r="I3548" s="6" t="e">
        <f>VLOOKUP('Customer Info'!A3540,'Customer Info'!A3540:I4039,5,FALSE)</f>
        <v>#N/A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22</v>
      </c>
      <c r="R3548" s="2" t="s">
        <v>26</v>
      </c>
      <c r="S3548" s="9">
        <f t="shared" si="279"/>
        <v>0.02</v>
      </c>
    </row>
    <row r="3549" spans="1:19" x14ac:dyDescent="0.25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e">
        <f>VLOOKUP('Customer Info'!A3541,'Customer Info'!A3541:I4040,2,FALSE)</f>
        <v>#N/A</v>
      </c>
      <c r="H3549" s="6" t="e">
        <f>VLOOKUP('Customer Info'!A3541,'Customer Info'!A3541:I4041,3,FALSE)</f>
        <v>#N/A</v>
      </c>
      <c r="I3549" s="6" t="e">
        <f>VLOOKUP('Customer Info'!A3541,'Customer Info'!A3541:I4040,5,FALSE)</f>
        <v>#N/A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9699</v>
      </c>
      <c r="R3549" s="2" t="s">
        <v>28</v>
      </c>
      <c r="S3549" s="9">
        <f t="shared" si="279"/>
        <v>0.12</v>
      </c>
    </row>
    <row r="3550" spans="1:19" x14ac:dyDescent="0.25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e">
        <f>VLOOKUP('Customer Info'!A3542,'Customer Info'!A3542:I4041,2,FALSE)</f>
        <v>#N/A</v>
      </c>
      <c r="H3550" s="6" t="e">
        <f>VLOOKUP('Customer Info'!A3542,'Customer Info'!A3542:I4042,3,FALSE)</f>
        <v>#N/A</v>
      </c>
      <c r="I3550" s="6" t="e">
        <f>VLOOKUP('Customer Info'!A3542,'Customer Info'!A3542:I4041,5,FALSE)</f>
        <v>#N/A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69</v>
      </c>
      <c r="R3550" s="2" t="s">
        <v>50</v>
      </c>
      <c r="S3550" s="9">
        <f t="shared" si="279"/>
        <v>0.02</v>
      </c>
    </row>
    <row r="3551" spans="1:19" x14ac:dyDescent="0.25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e">
        <f>VLOOKUP('Customer Info'!A3543,'Customer Info'!A3543:I4042,2,FALSE)</f>
        <v>#N/A</v>
      </c>
      <c r="H3551" s="6" t="e">
        <f>VLOOKUP('Customer Info'!A3543,'Customer Info'!A3543:I4043,3,FALSE)</f>
        <v>#N/A</v>
      </c>
      <c r="I3551" s="6" t="e">
        <f>VLOOKUP('Customer Info'!A3543,'Customer Info'!A3543:I4042,5,FALSE)</f>
        <v>#N/A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116</v>
      </c>
      <c r="R3551" s="2" t="s">
        <v>50</v>
      </c>
      <c r="S3551" s="9">
        <f t="shared" si="279"/>
        <v>0.05</v>
      </c>
    </row>
    <row r="3552" spans="1:19" x14ac:dyDescent="0.25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e">
        <f>VLOOKUP('Customer Info'!A3544,'Customer Info'!A3544:I4043,2,FALSE)</f>
        <v>#N/A</v>
      </c>
      <c r="H3552" s="6" t="e">
        <f>VLOOKUP('Customer Info'!A3544,'Customer Info'!A3544:I4044,3,FALSE)</f>
        <v>#N/A</v>
      </c>
      <c r="I3552" s="6" t="e">
        <f>VLOOKUP('Customer Info'!A3544,'Customer Info'!A3544:I4043,5,FALSE)</f>
        <v>#N/A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123</v>
      </c>
      <c r="R3552" s="2" t="s">
        <v>50</v>
      </c>
      <c r="S3552" s="9">
        <f t="shared" si="279"/>
        <v>0.02</v>
      </c>
    </row>
    <row r="3553" spans="1:19" x14ac:dyDescent="0.25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e">
        <f>VLOOKUP('Customer Info'!A3545,'Customer Info'!A3545:I4044,2,FALSE)</f>
        <v>#N/A</v>
      </c>
      <c r="H3553" s="6" t="e">
        <f>VLOOKUP('Customer Info'!A3545,'Customer Info'!A3545:I4045,3,FALSE)</f>
        <v>#N/A</v>
      </c>
      <c r="I3553" s="6" t="e">
        <f>VLOOKUP('Customer Info'!A3545,'Customer Info'!A3545:I4044,5,FALSE)</f>
        <v>#N/A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60</v>
      </c>
      <c r="R3553" s="2" t="s">
        <v>50</v>
      </c>
      <c r="S3553" s="9">
        <f t="shared" si="279"/>
        <v>0.02</v>
      </c>
    </row>
    <row r="3554" spans="1:19" x14ac:dyDescent="0.25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e">
        <f>VLOOKUP('Customer Info'!A3546,'Customer Info'!A3546:I4045,2,FALSE)</f>
        <v>#N/A</v>
      </c>
      <c r="H3554" s="6" t="e">
        <f>VLOOKUP('Customer Info'!A3546,'Customer Info'!A3546:I4046,3,FALSE)</f>
        <v>#N/A</v>
      </c>
      <c r="I3554" s="6" t="e">
        <f>VLOOKUP('Customer Info'!A3546,'Customer Info'!A3546:I4045,5,FALSE)</f>
        <v>#N/A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692</v>
      </c>
      <c r="R3554" s="2" t="s">
        <v>28</v>
      </c>
      <c r="S3554" s="9">
        <f t="shared" si="279"/>
        <v>0.05</v>
      </c>
    </row>
    <row r="3555" spans="1:19" x14ac:dyDescent="0.25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e">
        <f>VLOOKUP('Customer Info'!A3547,'Customer Info'!A3547:I4046,2,FALSE)</f>
        <v>#N/A</v>
      </c>
      <c r="H3555" s="6" t="e">
        <f>VLOOKUP('Customer Info'!A3547,'Customer Info'!A3547:I4047,3,FALSE)</f>
        <v>#N/A</v>
      </c>
      <c r="I3555" s="6" t="e">
        <f>VLOOKUP('Customer Info'!A3547,'Customer Info'!A3547:I4046,5,FALSE)</f>
        <v>#N/A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153</v>
      </c>
      <c r="R3555" s="2" t="s">
        <v>56</v>
      </c>
      <c r="S3555" s="9">
        <f t="shared" si="279"/>
        <v>0.02</v>
      </c>
    </row>
    <row r="3556" spans="1:19" x14ac:dyDescent="0.25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e">
        <f>VLOOKUP('Customer Info'!A3548,'Customer Info'!A3548:I4047,2,FALSE)</f>
        <v>#N/A</v>
      </c>
      <c r="H3556" s="6" t="e">
        <f>VLOOKUP('Customer Info'!A3548,'Customer Info'!A3548:I4048,3,FALSE)</f>
        <v>#N/A</v>
      </c>
      <c r="I3556" s="6" t="e">
        <f>VLOOKUP('Customer Info'!A3548,'Customer Info'!A3548:I4047,5,FALSE)</f>
        <v>#N/A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102</v>
      </c>
      <c r="R3556" s="2" t="s">
        <v>28</v>
      </c>
      <c r="S3556" s="9">
        <f t="shared" si="279"/>
        <v>0.02</v>
      </c>
    </row>
    <row r="3557" spans="1:19" x14ac:dyDescent="0.25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e">
        <f>VLOOKUP('Customer Info'!A3549,'Customer Info'!A3549:I4048,2,FALSE)</f>
        <v>#N/A</v>
      </c>
      <c r="H3557" s="6" t="e">
        <f>VLOOKUP('Customer Info'!A3549,'Customer Info'!A3549:I4049,3,FALSE)</f>
        <v>#N/A</v>
      </c>
      <c r="I3557" s="6" t="e">
        <f>VLOOKUP('Customer Info'!A3549,'Customer Info'!A3549:I4048,5,FALSE)</f>
        <v>#N/A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376</v>
      </c>
      <c r="R3557" s="2" t="s">
        <v>26</v>
      </c>
      <c r="S3557" s="9">
        <f t="shared" si="279"/>
        <v>0.02</v>
      </c>
    </row>
    <row r="3558" spans="1:19" x14ac:dyDescent="0.25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e">
        <f>VLOOKUP('Customer Info'!A3550,'Customer Info'!A3550:I4049,2,FALSE)</f>
        <v>#N/A</v>
      </c>
      <c r="H3558" s="6" t="e">
        <f>VLOOKUP('Customer Info'!A3550,'Customer Info'!A3550:I4050,3,FALSE)</f>
        <v>#N/A</v>
      </c>
      <c r="I3558" s="6" t="e">
        <f>VLOOKUP('Customer Info'!A3550,'Customer Info'!A3550:I4049,5,FALSE)</f>
        <v>#N/A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1913</v>
      </c>
      <c r="R3558" s="2" t="s">
        <v>50</v>
      </c>
      <c r="S3558" s="9">
        <f t="shared" si="279"/>
        <v>7.0000000000000007E-2</v>
      </c>
    </row>
    <row r="3559" spans="1:19" x14ac:dyDescent="0.25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e">
        <f>VLOOKUP('Customer Info'!A3551,'Customer Info'!A3551:I4050,2,FALSE)</f>
        <v>#N/A</v>
      </c>
      <c r="H3559" s="6" t="e">
        <f>VLOOKUP('Customer Info'!A3551,'Customer Info'!A3551:I4051,3,FALSE)</f>
        <v>#N/A</v>
      </c>
      <c r="I3559" s="6" t="e">
        <f>VLOOKUP('Customer Info'!A3551,'Customer Info'!A3551:I4050,5,FALSE)</f>
        <v>#N/A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795</v>
      </c>
      <c r="R3559" s="2" t="s">
        <v>50</v>
      </c>
      <c r="S3559" s="9">
        <f t="shared" si="279"/>
        <v>0.05</v>
      </c>
    </row>
    <row r="3560" spans="1:19" x14ac:dyDescent="0.25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e">
        <f>VLOOKUP('Customer Info'!A3552,'Customer Info'!A3552:I4051,2,FALSE)</f>
        <v>#N/A</v>
      </c>
      <c r="H3560" s="6" t="e">
        <f>VLOOKUP('Customer Info'!A3552,'Customer Info'!A3552:I4052,3,FALSE)</f>
        <v>#N/A</v>
      </c>
      <c r="I3560" s="6" t="e">
        <f>VLOOKUP('Customer Info'!A3552,'Customer Info'!A3552:I4051,5,FALSE)</f>
        <v>#N/A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174</v>
      </c>
      <c r="R3560" s="2" t="s">
        <v>26</v>
      </c>
      <c r="S3560" s="9">
        <f t="shared" si="279"/>
        <v>0.02</v>
      </c>
    </row>
    <row r="3561" spans="1:19" x14ac:dyDescent="0.25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e">
        <f>VLOOKUP('Customer Info'!A3553,'Customer Info'!A3553:I4052,2,FALSE)</f>
        <v>#N/A</v>
      </c>
      <c r="H3561" s="6" t="e">
        <f>VLOOKUP('Customer Info'!A3553,'Customer Info'!A3553:I4053,3,FALSE)</f>
        <v>#N/A</v>
      </c>
      <c r="I3561" s="6" t="e">
        <f>VLOOKUP('Customer Info'!A3553,'Customer Info'!A3553:I4052,5,FALSE)</f>
        <v>#N/A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388</v>
      </c>
      <c r="R3561" s="2" t="s">
        <v>28</v>
      </c>
      <c r="S3561" s="9">
        <f t="shared" si="279"/>
        <v>0.05</v>
      </c>
    </row>
    <row r="3562" spans="1:19" x14ac:dyDescent="0.25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e">
        <f>VLOOKUP('Customer Info'!A3554,'Customer Info'!A3554:I4053,2,FALSE)</f>
        <v>#N/A</v>
      </c>
      <c r="H3562" s="6" t="e">
        <f>VLOOKUP('Customer Info'!A3554,'Customer Info'!A3554:I4054,3,FALSE)</f>
        <v>#N/A</v>
      </c>
      <c r="I3562" s="6" t="e">
        <f>VLOOKUP('Customer Info'!A3554,'Customer Info'!A3554:I4053,5,FALSE)</f>
        <v>#N/A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55</v>
      </c>
      <c r="R3562" s="2" t="s">
        <v>28</v>
      </c>
      <c r="S3562" s="9">
        <f t="shared" si="279"/>
        <v>0.02</v>
      </c>
    </row>
    <row r="3563" spans="1:19" x14ac:dyDescent="0.25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e">
        <f>VLOOKUP('Customer Info'!A3555,'Customer Info'!A3555:I4054,2,FALSE)</f>
        <v>#N/A</v>
      </c>
      <c r="H3563" s="6" t="e">
        <f>VLOOKUP('Customer Info'!A3555,'Customer Info'!A3555:I4055,3,FALSE)</f>
        <v>#N/A</v>
      </c>
      <c r="I3563" s="6" t="e">
        <f>VLOOKUP('Customer Info'!A3555,'Customer Info'!A3555:I4054,5,FALSE)</f>
        <v>#N/A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157</v>
      </c>
      <c r="R3563" s="2" t="s">
        <v>28</v>
      </c>
      <c r="S3563" s="9">
        <f t="shared" si="279"/>
        <v>0.02</v>
      </c>
    </row>
    <row r="3564" spans="1:19" x14ac:dyDescent="0.25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e">
        <f>VLOOKUP('Customer Info'!A3556,'Customer Info'!A3556:I4055,2,FALSE)</f>
        <v>#N/A</v>
      </c>
      <c r="H3564" s="6" t="e">
        <f>VLOOKUP('Customer Info'!A3556,'Customer Info'!A3556:I4056,3,FALSE)</f>
        <v>#N/A</v>
      </c>
      <c r="I3564" s="6" t="e">
        <f>VLOOKUP('Customer Info'!A3556,'Customer Info'!A3556:I4055,5,FALSE)</f>
        <v>#N/A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90</v>
      </c>
      <c r="R3564" s="2" t="s">
        <v>28</v>
      </c>
      <c r="S3564" s="9">
        <f t="shared" si="279"/>
        <v>0.02</v>
      </c>
    </row>
    <row r="3565" spans="1:19" x14ac:dyDescent="0.25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e">
        <f>VLOOKUP('Customer Info'!A3557,'Customer Info'!A3557:I4056,2,FALSE)</f>
        <v>#N/A</v>
      </c>
      <c r="H3565" s="6" t="e">
        <f>VLOOKUP('Customer Info'!A3557,'Customer Info'!A3557:I4057,3,FALSE)</f>
        <v>#N/A</v>
      </c>
      <c r="I3565" s="6" t="e">
        <f>VLOOKUP('Customer Info'!A3557,'Customer Info'!A3557:I4056,5,FALSE)</f>
        <v>#N/A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2446</v>
      </c>
      <c r="R3565" s="2" t="s">
        <v>28</v>
      </c>
      <c r="S3565" s="9">
        <f t="shared" si="279"/>
        <v>7.0000000000000007E-2</v>
      </c>
    </row>
    <row r="3566" spans="1:19" x14ac:dyDescent="0.25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e">
        <f>VLOOKUP('Customer Info'!A3558,'Customer Info'!A3558:I4057,2,FALSE)</f>
        <v>#N/A</v>
      </c>
      <c r="H3566" s="6" t="e">
        <f>VLOOKUP('Customer Info'!A3558,'Customer Info'!A3558:I4058,3,FALSE)</f>
        <v>#N/A</v>
      </c>
      <c r="I3566" s="6" t="e">
        <f>VLOOKUP('Customer Info'!A3558,'Customer Info'!A3558:I4057,5,FALSE)</f>
        <v>#N/A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141</v>
      </c>
      <c r="R3566" s="2" t="s">
        <v>28</v>
      </c>
      <c r="S3566" s="9">
        <f t="shared" si="279"/>
        <v>0.02</v>
      </c>
    </row>
    <row r="3567" spans="1:19" x14ac:dyDescent="0.25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e">
        <f>VLOOKUP('Customer Info'!A3559,'Customer Info'!A3559:I4058,2,FALSE)</f>
        <v>#N/A</v>
      </c>
      <c r="H3567" s="6" t="e">
        <f>VLOOKUP('Customer Info'!A3559,'Customer Info'!A3559:I4059,3,FALSE)</f>
        <v>#N/A</v>
      </c>
      <c r="I3567" s="6" t="e">
        <f>VLOOKUP('Customer Info'!A3559,'Customer Info'!A3559:I4058,5,FALSE)</f>
        <v>#N/A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18</v>
      </c>
      <c r="R3567" s="2" t="s">
        <v>50</v>
      </c>
      <c r="S3567" s="9">
        <f t="shared" si="279"/>
        <v>0.02</v>
      </c>
    </row>
    <row r="3568" spans="1:19" x14ac:dyDescent="0.25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e">
        <f>VLOOKUP('Customer Info'!A3560,'Customer Info'!A3560:I4059,2,FALSE)</f>
        <v>#N/A</v>
      </c>
      <c r="H3568" s="6" t="e">
        <f>VLOOKUP('Customer Info'!A3560,'Customer Info'!A3560:I4060,3,FALSE)</f>
        <v>#N/A</v>
      </c>
      <c r="I3568" s="6" t="e">
        <f>VLOOKUP('Customer Info'!A3560,'Customer Info'!A3560:I4059,5,FALSE)</f>
        <v>#N/A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893</v>
      </c>
      <c r="R3568" s="2" t="s">
        <v>28</v>
      </c>
      <c r="S3568" s="9">
        <f t="shared" si="279"/>
        <v>0.05</v>
      </c>
    </row>
    <row r="3569" spans="1:19" x14ac:dyDescent="0.25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e">
        <f>VLOOKUP('Customer Info'!A3561,'Customer Info'!A3561:I4060,2,FALSE)</f>
        <v>#N/A</v>
      </c>
      <c r="H3569" s="6" t="e">
        <f>VLOOKUP('Customer Info'!A3561,'Customer Info'!A3561:I4061,3,FALSE)</f>
        <v>#N/A</v>
      </c>
      <c r="I3569" s="6" t="e">
        <f>VLOOKUP('Customer Info'!A3561,'Customer Info'!A3561:I4060,5,FALSE)</f>
        <v>#N/A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238</v>
      </c>
      <c r="R3569" s="2" t="s">
        <v>28</v>
      </c>
      <c r="S3569" s="9">
        <f t="shared" si="279"/>
        <v>0.02</v>
      </c>
    </row>
    <row r="3570" spans="1:19" x14ac:dyDescent="0.25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e">
        <f>VLOOKUP('Customer Info'!A3562,'Customer Info'!A3562:I4061,2,FALSE)</f>
        <v>#N/A</v>
      </c>
      <c r="H3570" s="6" t="e">
        <f>VLOOKUP('Customer Info'!A3562,'Customer Info'!A3562:I4062,3,FALSE)</f>
        <v>#N/A</v>
      </c>
      <c r="I3570" s="6" t="e">
        <f>VLOOKUP('Customer Info'!A3562,'Customer Info'!A3562:I4061,5,FALSE)</f>
        <v>#N/A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111</v>
      </c>
      <c r="R3570" s="2" t="s">
        <v>50</v>
      </c>
      <c r="S3570" s="9">
        <f t="shared" si="279"/>
        <v>0.02</v>
      </c>
    </row>
    <row r="3571" spans="1:19" x14ac:dyDescent="0.25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e">
        <f>VLOOKUP('Customer Info'!A3563,'Customer Info'!A3563:I4062,2,FALSE)</f>
        <v>#N/A</v>
      </c>
      <c r="H3571" s="6" t="e">
        <f>VLOOKUP('Customer Info'!A3563,'Customer Info'!A3563:I4063,3,FALSE)</f>
        <v>#N/A</v>
      </c>
      <c r="I3571" s="6" t="e">
        <f>VLOOKUP('Customer Info'!A3563,'Customer Info'!A3563:I4062,5,FALSE)</f>
        <v>#N/A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2029</v>
      </c>
      <c r="R3571" s="2" t="s">
        <v>28</v>
      </c>
      <c r="S3571" s="9">
        <f t="shared" si="279"/>
        <v>7.0000000000000007E-2</v>
      </c>
    </row>
    <row r="3572" spans="1:19" x14ac:dyDescent="0.25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e">
        <f>VLOOKUP('Customer Info'!A3564,'Customer Info'!A3564:I4063,2,FALSE)</f>
        <v>#N/A</v>
      </c>
      <c r="H3572" s="6" t="e">
        <f>VLOOKUP('Customer Info'!A3564,'Customer Info'!A3564:I4064,3,FALSE)</f>
        <v>#N/A</v>
      </c>
      <c r="I3572" s="6" t="e">
        <f>VLOOKUP('Customer Info'!A3564,'Customer Info'!A3564:I4063,5,FALSE)</f>
        <v>#N/A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639</v>
      </c>
      <c r="R3572" s="2" t="s">
        <v>28</v>
      </c>
      <c r="S3572" s="9">
        <f t="shared" si="279"/>
        <v>0.05</v>
      </c>
    </row>
    <row r="3573" spans="1:19" x14ac:dyDescent="0.25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e">
        <f>VLOOKUP('Customer Info'!A3565,'Customer Info'!A3565:I4064,2,FALSE)</f>
        <v>#N/A</v>
      </c>
      <c r="H3573" s="6" t="e">
        <f>VLOOKUP('Customer Info'!A3565,'Customer Info'!A3565:I4065,3,FALSE)</f>
        <v>#N/A</v>
      </c>
      <c r="I3573" s="6" t="e">
        <f>VLOOKUP('Customer Info'!A3565,'Customer Info'!A3565:I4064,5,FALSE)</f>
        <v>#N/A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772</v>
      </c>
      <c r="R3573" s="2" t="s">
        <v>28</v>
      </c>
      <c r="S3573" s="9">
        <f t="shared" si="279"/>
        <v>0.05</v>
      </c>
    </row>
    <row r="3574" spans="1:19" x14ac:dyDescent="0.25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e">
        <f>VLOOKUP('Customer Info'!A3566,'Customer Info'!A3566:I4065,2,FALSE)</f>
        <v>#N/A</v>
      </c>
      <c r="H3574" s="6" t="e">
        <f>VLOOKUP('Customer Info'!A3566,'Customer Info'!A3566:I4066,3,FALSE)</f>
        <v>#N/A</v>
      </c>
      <c r="I3574" s="6" t="e">
        <f>VLOOKUP('Customer Info'!A3566,'Customer Info'!A3566:I4065,5,FALSE)</f>
        <v>#N/A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56</v>
      </c>
      <c r="R3574" s="2" t="s">
        <v>50</v>
      </c>
      <c r="S3574" s="9">
        <f t="shared" si="279"/>
        <v>0.02</v>
      </c>
    </row>
    <row r="3575" spans="1:19" x14ac:dyDescent="0.25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e">
        <f>VLOOKUP('Customer Info'!A3567,'Customer Info'!A3567:I4066,2,FALSE)</f>
        <v>#N/A</v>
      </c>
      <c r="H3575" s="6" t="e">
        <f>VLOOKUP('Customer Info'!A3567,'Customer Info'!A3567:I4067,3,FALSE)</f>
        <v>#N/A</v>
      </c>
      <c r="I3575" s="6" t="e">
        <f>VLOOKUP('Customer Info'!A3567,'Customer Info'!A3567:I4066,5,FALSE)</f>
        <v>#N/A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97</v>
      </c>
      <c r="R3575" s="2" t="s">
        <v>28</v>
      </c>
      <c r="S3575" s="9">
        <f t="shared" si="279"/>
        <v>0.02</v>
      </c>
    </row>
    <row r="3576" spans="1:19" x14ac:dyDescent="0.25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e">
        <f>VLOOKUP('Customer Info'!A3568,'Customer Info'!A3568:I4067,2,FALSE)</f>
        <v>#N/A</v>
      </c>
      <c r="H3576" s="6" t="e">
        <f>VLOOKUP('Customer Info'!A3568,'Customer Info'!A3568:I4068,3,FALSE)</f>
        <v>#N/A</v>
      </c>
      <c r="I3576" s="6" t="e">
        <f>VLOOKUP('Customer Info'!A3568,'Customer Info'!A3568:I4067,5,FALSE)</f>
        <v>#N/A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577</v>
      </c>
      <c r="R3576" s="2" t="s">
        <v>28</v>
      </c>
      <c r="S3576" s="9">
        <f t="shared" si="279"/>
        <v>0.05</v>
      </c>
    </row>
    <row r="3577" spans="1:19" x14ac:dyDescent="0.25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e">
        <f>VLOOKUP('Customer Info'!A3569,'Customer Info'!A3569:I4068,2,FALSE)</f>
        <v>#N/A</v>
      </c>
      <c r="H3577" s="6" t="e">
        <f>VLOOKUP('Customer Info'!A3569,'Customer Info'!A3569:I4069,3,FALSE)</f>
        <v>#N/A</v>
      </c>
      <c r="I3577" s="6" t="e">
        <f>VLOOKUP('Customer Info'!A3569,'Customer Info'!A3569:I4068,5,FALSE)</f>
        <v>#N/A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78</v>
      </c>
      <c r="R3577" s="2" t="s">
        <v>28</v>
      </c>
      <c r="S3577" s="9">
        <f t="shared" si="279"/>
        <v>0.02</v>
      </c>
    </row>
    <row r="3578" spans="1:19" x14ac:dyDescent="0.25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e">
        <f>VLOOKUP('Customer Info'!A3570,'Customer Info'!A3570:I4069,2,FALSE)</f>
        <v>#N/A</v>
      </c>
      <c r="H3578" s="6" t="e">
        <f>VLOOKUP('Customer Info'!A3570,'Customer Info'!A3570:I4070,3,FALSE)</f>
        <v>#N/A</v>
      </c>
      <c r="I3578" s="6" t="e">
        <f>VLOOKUP('Customer Info'!A3570,'Customer Info'!A3570:I4069,5,FALSE)</f>
        <v>#N/A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78</v>
      </c>
      <c r="R3578" s="2" t="s">
        <v>50</v>
      </c>
      <c r="S3578" s="9">
        <f t="shared" si="279"/>
        <v>0.02</v>
      </c>
    </row>
    <row r="3579" spans="1:19" x14ac:dyDescent="0.25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e">
        <f>VLOOKUP('Customer Info'!A3571,'Customer Info'!A3571:I4070,2,FALSE)</f>
        <v>#N/A</v>
      </c>
      <c r="H3579" s="6" t="e">
        <f>VLOOKUP('Customer Info'!A3571,'Customer Info'!A3571:I4071,3,FALSE)</f>
        <v>#N/A</v>
      </c>
      <c r="I3579" s="6" t="e">
        <f>VLOOKUP('Customer Info'!A3571,'Customer Info'!A3571:I4070,5,FALSE)</f>
        <v>#N/A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1804</v>
      </c>
      <c r="R3579" s="2" t="s">
        <v>50</v>
      </c>
      <c r="S3579" s="9">
        <f t="shared" si="279"/>
        <v>0.05</v>
      </c>
    </row>
    <row r="3580" spans="1:19" x14ac:dyDescent="0.25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e">
        <f>VLOOKUP('Customer Info'!A3572,'Customer Info'!A3572:I4071,2,FALSE)</f>
        <v>#N/A</v>
      </c>
      <c r="H3580" s="6" t="e">
        <f>VLOOKUP('Customer Info'!A3572,'Customer Info'!A3572:I4072,3,FALSE)</f>
        <v>#N/A</v>
      </c>
      <c r="I3580" s="6" t="e">
        <f>VLOOKUP('Customer Info'!A3572,'Customer Info'!A3572:I4071,5,FALSE)</f>
        <v>#N/A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24</v>
      </c>
      <c r="R3580" s="2" t="s">
        <v>56</v>
      </c>
      <c r="S3580" s="9">
        <f t="shared" si="279"/>
        <v>0.02</v>
      </c>
    </row>
    <row r="3581" spans="1:19" x14ac:dyDescent="0.25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e">
        <f>VLOOKUP('Customer Info'!A3573,'Customer Info'!A3573:I4072,2,FALSE)</f>
        <v>#N/A</v>
      </c>
      <c r="H3581" s="6" t="e">
        <f>VLOOKUP('Customer Info'!A3573,'Customer Info'!A3573:I4073,3,FALSE)</f>
        <v>#N/A</v>
      </c>
      <c r="I3581" s="6" t="e">
        <f>VLOOKUP('Customer Info'!A3573,'Customer Info'!A3573:I4072,5,FALSE)</f>
        <v>#N/A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184</v>
      </c>
      <c r="R3581" s="2" t="s">
        <v>28</v>
      </c>
      <c r="S3581" s="9">
        <f t="shared" si="279"/>
        <v>0.02</v>
      </c>
    </row>
    <row r="3582" spans="1:19" x14ac:dyDescent="0.25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e">
        <f>VLOOKUP('Customer Info'!A3574,'Customer Info'!A3574:I4073,2,FALSE)</f>
        <v>#N/A</v>
      </c>
      <c r="H3582" s="6" t="e">
        <f>VLOOKUP('Customer Info'!A3574,'Customer Info'!A3574:I4074,3,FALSE)</f>
        <v>#N/A</v>
      </c>
      <c r="I3582" s="6" t="e">
        <f>VLOOKUP('Customer Info'!A3574,'Customer Info'!A3574:I4073,5,FALSE)</f>
        <v>#N/A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1924</v>
      </c>
      <c r="R3582" s="2" t="s">
        <v>50</v>
      </c>
      <c r="S3582" s="9">
        <f t="shared" si="279"/>
        <v>7.0000000000000007E-2</v>
      </c>
    </row>
    <row r="3583" spans="1:19" x14ac:dyDescent="0.25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e">
        <f>VLOOKUP('Customer Info'!A3575,'Customer Info'!A3575:I4074,2,FALSE)</f>
        <v>#N/A</v>
      </c>
      <c r="H3583" s="6" t="e">
        <f>VLOOKUP('Customer Info'!A3575,'Customer Info'!A3575:I4075,3,FALSE)</f>
        <v>#N/A</v>
      </c>
      <c r="I3583" s="6" t="e">
        <f>VLOOKUP('Customer Info'!A3575,'Customer Info'!A3575:I4074,5,FALSE)</f>
        <v>#N/A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12</v>
      </c>
      <c r="R3583" s="2" t="s">
        <v>28</v>
      </c>
      <c r="S3583" s="9">
        <f t="shared" si="279"/>
        <v>0.02</v>
      </c>
    </row>
    <row r="3584" spans="1:19" x14ac:dyDescent="0.25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e">
        <f>VLOOKUP('Customer Info'!A3576,'Customer Info'!A3576:I4075,2,FALSE)</f>
        <v>#N/A</v>
      </c>
      <c r="H3584" s="6" t="e">
        <f>VLOOKUP('Customer Info'!A3576,'Customer Info'!A3576:I4076,3,FALSE)</f>
        <v>#N/A</v>
      </c>
      <c r="I3584" s="6" t="e">
        <f>VLOOKUP('Customer Info'!A3576,'Customer Info'!A3576:I4075,5,FALSE)</f>
        <v>#N/A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881</v>
      </c>
      <c r="R3584" s="2" t="s">
        <v>28</v>
      </c>
      <c r="S3584" s="9">
        <f t="shared" si="279"/>
        <v>0.05</v>
      </c>
    </row>
    <row r="3585" spans="1:19" x14ac:dyDescent="0.25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e">
        <f>VLOOKUP('Customer Info'!A3577,'Customer Info'!A3577:I4076,2,FALSE)</f>
        <v>#N/A</v>
      </c>
      <c r="H3585" s="6" t="e">
        <f>VLOOKUP('Customer Info'!A3577,'Customer Info'!A3577:I4077,3,FALSE)</f>
        <v>#N/A</v>
      </c>
      <c r="I3585" s="6" t="e">
        <f>VLOOKUP('Customer Info'!A3577,'Customer Info'!A3577:I4076,5,FALSE)</f>
        <v>#N/A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618</v>
      </c>
      <c r="R3585" s="2" t="s">
        <v>28</v>
      </c>
      <c r="S3585" s="9">
        <f t="shared" si="279"/>
        <v>0.05</v>
      </c>
    </row>
    <row r="3586" spans="1:19" x14ac:dyDescent="0.25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e">
        <f>VLOOKUP('Customer Info'!A3578,'Customer Info'!A3578:I4077,2,FALSE)</f>
        <v>#N/A</v>
      </c>
      <c r="H3586" s="6" t="e">
        <f>VLOOKUP('Customer Info'!A3578,'Customer Info'!A3578:I4078,3,FALSE)</f>
        <v>#N/A</v>
      </c>
      <c r="I3586" s="6" t="e">
        <f>VLOOKUP('Customer Info'!A3578,'Customer Info'!A3578:I4077,5,FALSE)</f>
        <v>#N/A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15</v>
      </c>
      <c r="R3586" s="2" t="s">
        <v>28</v>
      </c>
      <c r="S3586" s="9">
        <f t="shared" si="279"/>
        <v>0.02</v>
      </c>
    </row>
    <row r="3587" spans="1:19" x14ac:dyDescent="0.25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e">
        <f>VLOOKUP('Customer Info'!A3579,'Customer Info'!A3579:I4078,2,FALSE)</f>
        <v>#N/A</v>
      </c>
      <c r="H3587" s="6" t="e">
        <f>VLOOKUP('Customer Info'!A3579,'Customer Info'!A3579:I4079,3,FALSE)</f>
        <v>#N/A</v>
      </c>
      <c r="I3587" s="6" t="e">
        <f>VLOOKUP('Customer Info'!A3579,'Customer Info'!A3579:I4078,5,FALSE)</f>
        <v>#N/A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148</v>
      </c>
      <c r="R3587" s="2" t="s">
        <v>28</v>
      </c>
      <c r="S3587" s="9">
        <f t="shared" si="279"/>
        <v>0.02</v>
      </c>
    </row>
    <row r="3588" spans="1:19" x14ac:dyDescent="0.25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e">
        <f>VLOOKUP('Customer Info'!A3580,'Customer Info'!A3580:I4079,2,FALSE)</f>
        <v>#N/A</v>
      </c>
      <c r="H3588" s="6" t="e">
        <f>VLOOKUP('Customer Info'!A3580,'Customer Info'!A3580:I4080,3,FALSE)</f>
        <v>#N/A</v>
      </c>
      <c r="I3588" s="6" t="e">
        <f>VLOOKUP('Customer Info'!A3580,'Customer Info'!A3580:I4079,5,FALSE)</f>
        <v>#N/A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5682</v>
      </c>
      <c r="R3588" s="2" t="s">
        <v>28</v>
      </c>
      <c r="S3588" s="9">
        <f t="shared" si="279"/>
        <v>0.09</v>
      </c>
    </row>
    <row r="3589" spans="1:19" x14ac:dyDescent="0.25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e">
        <f>VLOOKUP('Customer Info'!A3581,'Customer Info'!A3581:I4080,2,FALSE)</f>
        <v>#N/A</v>
      </c>
      <c r="H3589" s="6" t="e">
        <f>VLOOKUP('Customer Info'!A3581,'Customer Info'!A3581:I4081,3,FALSE)</f>
        <v>#N/A</v>
      </c>
      <c r="I3589" s="6" t="e">
        <f>VLOOKUP('Customer Info'!A3581,'Customer Info'!A3581:I4080,5,FALSE)</f>
        <v>#N/A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115</v>
      </c>
      <c r="R3589" s="2" t="s">
        <v>26</v>
      </c>
      <c r="S3589" s="9">
        <f t="shared" si="279"/>
        <v>0.02</v>
      </c>
    </row>
    <row r="3590" spans="1:19" x14ac:dyDescent="0.25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e">
        <f>VLOOKUP('Customer Info'!A3582,'Customer Info'!A3582:I4081,2,FALSE)</f>
        <v>#N/A</v>
      </c>
      <c r="H3590" s="6" t="e">
        <f>VLOOKUP('Customer Info'!A3582,'Customer Info'!A3582:I4082,3,FALSE)</f>
        <v>#N/A</v>
      </c>
      <c r="I3590" s="6" t="e">
        <f>VLOOKUP('Customer Info'!A3582,'Customer Info'!A3582:I4081,5,FALSE)</f>
        <v>#N/A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239</v>
      </c>
      <c r="R3590" s="2" t="s">
        <v>28</v>
      </c>
      <c r="S3590" s="9">
        <f t="shared" si="279"/>
        <v>0.05</v>
      </c>
    </row>
    <row r="3591" spans="1:19" x14ac:dyDescent="0.25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e">
        <f>VLOOKUP('Customer Info'!A3583,'Customer Info'!A3583:I4082,2,FALSE)</f>
        <v>#N/A</v>
      </c>
      <c r="H3591" s="6" t="e">
        <f>VLOOKUP('Customer Info'!A3583,'Customer Info'!A3583:I4083,3,FALSE)</f>
        <v>#N/A</v>
      </c>
      <c r="I3591" s="6" t="e">
        <f>VLOOKUP('Customer Info'!A3583,'Customer Info'!A3583:I4082,5,FALSE)</f>
        <v>#N/A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892</v>
      </c>
      <c r="R3591" s="2" t="s">
        <v>50</v>
      </c>
      <c r="S3591" s="9">
        <f t="shared" si="279"/>
        <v>0.05</v>
      </c>
    </row>
    <row r="3592" spans="1:19" x14ac:dyDescent="0.25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e">
        <f>VLOOKUP('Customer Info'!A3584,'Customer Info'!A3584:I4083,2,FALSE)</f>
        <v>#N/A</v>
      </c>
      <c r="H3592" s="6" t="e">
        <f>VLOOKUP('Customer Info'!A3584,'Customer Info'!A3584:I4084,3,FALSE)</f>
        <v>#N/A</v>
      </c>
      <c r="I3592" s="6" t="e">
        <f>VLOOKUP('Customer Info'!A3584,'Customer Info'!A3584:I4083,5,FALSE)</f>
        <v>#N/A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328</v>
      </c>
      <c r="R3592" s="2" t="s">
        <v>50</v>
      </c>
      <c r="S3592" s="9">
        <f t="shared" si="279"/>
        <v>0.05</v>
      </c>
    </row>
    <row r="3593" spans="1:19" x14ac:dyDescent="0.25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e">
        <f>VLOOKUP('Customer Info'!A3585,'Customer Info'!A3585:I4084,2,FALSE)</f>
        <v>#N/A</v>
      </c>
      <c r="H3593" s="6" t="e">
        <f>VLOOKUP('Customer Info'!A3585,'Customer Info'!A3585:I4085,3,FALSE)</f>
        <v>#N/A</v>
      </c>
      <c r="I3593" s="6" t="e">
        <f>VLOOKUP('Customer Info'!A3585,'Customer Info'!A3585:I4084,5,FALSE)</f>
        <v>#N/A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292</v>
      </c>
      <c r="R3593" s="2" t="s">
        <v>28</v>
      </c>
      <c r="S3593" s="9">
        <f t="shared" si="279"/>
        <v>0.02</v>
      </c>
    </row>
    <row r="3594" spans="1:19" x14ac:dyDescent="0.25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e">
        <f>VLOOKUP('Customer Info'!A3586,'Customer Info'!A3586:I4085,2,FALSE)</f>
        <v>#N/A</v>
      </c>
      <c r="H3594" s="6" t="e">
        <f>VLOOKUP('Customer Info'!A3586,'Customer Info'!A3586:I4086,3,FALSE)</f>
        <v>#N/A</v>
      </c>
      <c r="I3594" s="6" t="e">
        <f>VLOOKUP('Customer Info'!A3586,'Customer Info'!A3586:I4085,5,FALSE)</f>
        <v>#N/A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46</v>
      </c>
      <c r="R3594" s="2" t="s">
        <v>28</v>
      </c>
      <c r="S3594" s="9">
        <f t="shared" si="279"/>
        <v>0.02</v>
      </c>
    </row>
    <row r="3595" spans="1:19" x14ac:dyDescent="0.25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e">
        <f>VLOOKUP('Customer Info'!A3587,'Customer Info'!A3587:I4086,2,FALSE)</f>
        <v>#N/A</v>
      </c>
      <c r="H3595" s="6" t="e">
        <f>VLOOKUP('Customer Info'!A3587,'Customer Info'!A3587:I4087,3,FALSE)</f>
        <v>#N/A</v>
      </c>
      <c r="I3595" s="6" t="e">
        <f>VLOOKUP('Customer Info'!A3587,'Customer Info'!A3587:I4086,5,FALSE)</f>
        <v>#N/A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8">
        <f t="shared" ref="P3595:P3658" si="282">N3595+O3595</f>
        <v>762</v>
      </c>
      <c r="Q3595" s="8">
        <f t="shared" ref="Q3595:Q3658" si="283">P3595-M3595</f>
        <v>90</v>
      </c>
      <c r="R3595" s="2" t="s">
        <v>26</v>
      </c>
      <c r="S3595" s="9">
        <f t="shared" ref="S3595:S3658" si="284">VLOOKUP(P3595,$T$2:$U$7,2,TRUE)</f>
        <v>0.02</v>
      </c>
    </row>
    <row r="3596" spans="1:19" x14ac:dyDescent="0.25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e">
        <f>VLOOKUP('Customer Info'!A3588,'Customer Info'!A3588:I4087,2,FALSE)</f>
        <v>#N/A</v>
      </c>
      <c r="H3596" s="6" t="e">
        <f>VLOOKUP('Customer Info'!A3588,'Customer Info'!A3588:I4088,3,FALSE)</f>
        <v>#N/A</v>
      </c>
      <c r="I3596" s="6" t="e">
        <f>VLOOKUP('Customer Info'!A3588,'Customer Info'!A3588:I4087,5,FALSE)</f>
        <v>#N/A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3659</v>
      </c>
      <c r="R3596" s="2" t="s">
        <v>28</v>
      </c>
      <c r="S3596" s="9">
        <f t="shared" si="284"/>
        <v>7.0000000000000007E-2</v>
      </c>
    </row>
    <row r="3597" spans="1:19" x14ac:dyDescent="0.25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e">
        <f>VLOOKUP('Customer Info'!A3589,'Customer Info'!A3589:I4088,2,FALSE)</f>
        <v>#N/A</v>
      </c>
      <c r="H3597" s="6" t="e">
        <f>VLOOKUP('Customer Info'!A3589,'Customer Info'!A3589:I4089,3,FALSE)</f>
        <v>#N/A</v>
      </c>
      <c r="I3597" s="6" t="e">
        <f>VLOOKUP('Customer Info'!A3589,'Customer Info'!A3589:I4088,5,FALSE)</f>
        <v>#N/A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255</v>
      </c>
      <c r="R3597" s="2" t="s">
        <v>50</v>
      </c>
      <c r="S3597" s="9">
        <f t="shared" si="284"/>
        <v>0.02</v>
      </c>
    </row>
    <row r="3598" spans="1:19" x14ac:dyDescent="0.25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e">
        <f>VLOOKUP('Customer Info'!A3590,'Customer Info'!A3590:I4089,2,FALSE)</f>
        <v>#N/A</v>
      </c>
      <c r="H3598" s="6" t="e">
        <f>VLOOKUP('Customer Info'!A3590,'Customer Info'!A3590:I4090,3,FALSE)</f>
        <v>#N/A</v>
      </c>
      <c r="I3598" s="6" t="e">
        <f>VLOOKUP('Customer Info'!A3590,'Customer Info'!A3590:I4089,5,FALSE)</f>
        <v>#N/A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116</v>
      </c>
      <c r="R3598" s="2" t="s">
        <v>50</v>
      </c>
      <c r="S3598" s="9">
        <f t="shared" si="284"/>
        <v>0.02</v>
      </c>
    </row>
    <row r="3599" spans="1:19" x14ac:dyDescent="0.25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e">
        <f>VLOOKUP('Customer Info'!A3591,'Customer Info'!A3591:I4090,2,FALSE)</f>
        <v>#N/A</v>
      </c>
      <c r="H3599" s="6" t="e">
        <f>VLOOKUP('Customer Info'!A3591,'Customer Info'!A3591:I4091,3,FALSE)</f>
        <v>#N/A</v>
      </c>
      <c r="I3599" s="6" t="e">
        <f>VLOOKUP('Customer Info'!A3591,'Customer Info'!A3591:I4090,5,FALSE)</f>
        <v>#N/A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22</v>
      </c>
      <c r="R3599" s="2" t="s">
        <v>28</v>
      </c>
      <c r="S3599" s="9">
        <f t="shared" si="284"/>
        <v>0.02</v>
      </c>
    </row>
    <row r="3600" spans="1:19" x14ac:dyDescent="0.25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e">
        <f>VLOOKUP('Customer Info'!A3592,'Customer Info'!A3592:I4091,2,FALSE)</f>
        <v>#N/A</v>
      </c>
      <c r="H3600" s="6" t="e">
        <f>VLOOKUP('Customer Info'!A3592,'Customer Info'!A3592:I4092,3,FALSE)</f>
        <v>#N/A</v>
      </c>
      <c r="I3600" s="6" t="e">
        <f>VLOOKUP('Customer Info'!A3592,'Customer Info'!A3592:I4091,5,FALSE)</f>
        <v>#N/A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682</v>
      </c>
      <c r="R3600" s="2" t="s">
        <v>50</v>
      </c>
      <c r="S3600" s="9">
        <f t="shared" si="284"/>
        <v>0.05</v>
      </c>
    </row>
    <row r="3601" spans="1:19" x14ac:dyDescent="0.25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e">
        <f>VLOOKUP('Customer Info'!A3593,'Customer Info'!A3593:I4092,2,FALSE)</f>
        <v>#N/A</v>
      </c>
      <c r="H3601" s="6" t="e">
        <f>VLOOKUP('Customer Info'!A3593,'Customer Info'!A3593:I4093,3,FALSE)</f>
        <v>#N/A</v>
      </c>
      <c r="I3601" s="6" t="e">
        <f>VLOOKUP('Customer Info'!A3593,'Customer Info'!A3593:I4092,5,FALSE)</f>
        <v>#N/A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1092</v>
      </c>
      <c r="R3601" s="2" t="s">
        <v>28</v>
      </c>
      <c r="S3601" s="9">
        <f t="shared" si="284"/>
        <v>0.05</v>
      </c>
    </row>
    <row r="3602" spans="1:19" x14ac:dyDescent="0.25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e">
        <f>VLOOKUP('Customer Info'!A3594,'Customer Info'!A3594:I4093,2,FALSE)</f>
        <v>#N/A</v>
      </c>
      <c r="H3602" s="6" t="e">
        <f>VLOOKUP('Customer Info'!A3594,'Customer Info'!A3594:I4094,3,FALSE)</f>
        <v>#N/A</v>
      </c>
      <c r="I3602" s="6" t="e">
        <f>VLOOKUP('Customer Info'!A3594,'Customer Info'!A3594:I4093,5,FALSE)</f>
        <v>#N/A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642</v>
      </c>
      <c r="R3602" s="2" t="s">
        <v>28</v>
      </c>
      <c r="S3602" s="9">
        <f t="shared" si="284"/>
        <v>0.05</v>
      </c>
    </row>
    <row r="3603" spans="1:19" x14ac:dyDescent="0.25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e">
        <f>VLOOKUP('Customer Info'!A3595,'Customer Info'!A3595:I4094,2,FALSE)</f>
        <v>#N/A</v>
      </c>
      <c r="H3603" s="6" t="e">
        <f>VLOOKUP('Customer Info'!A3595,'Customer Info'!A3595:I4095,3,FALSE)</f>
        <v>#N/A</v>
      </c>
      <c r="I3603" s="6" t="e">
        <f>VLOOKUP('Customer Info'!A3595,'Customer Info'!A3595:I4094,5,FALSE)</f>
        <v>#N/A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1249</v>
      </c>
      <c r="R3603" s="2" t="s">
        <v>50</v>
      </c>
      <c r="S3603" s="9">
        <f t="shared" si="284"/>
        <v>0.05</v>
      </c>
    </row>
    <row r="3604" spans="1:19" x14ac:dyDescent="0.25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e">
        <f>VLOOKUP('Customer Info'!A3596,'Customer Info'!A3596:I4095,2,FALSE)</f>
        <v>#N/A</v>
      </c>
      <c r="H3604" s="6" t="e">
        <f>VLOOKUP('Customer Info'!A3596,'Customer Info'!A3596:I4096,3,FALSE)</f>
        <v>#N/A</v>
      </c>
      <c r="I3604" s="6" t="e">
        <f>VLOOKUP('Customer Info'!A3596,'Customer Info'!A3596:I4095,5,FALSE)</f>
        <v>#N/A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1137</v>
      </c>
      <c r="R3604" s="2" t="s">
        <v>28</v>
      </c>
      <c r="S3604" s="9">
        <f t="shared" si="284"/>
        <v>0.05</v>
      </c>
    </row>
    <row r="3605" spans="1:19" x14ac:dyDescent="0.25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e">
        <f>VLOOKUP('Customer Info'!A3597,'Customer Info'!A3597:I4096,2,FALSE)</f>
        <v>#N/A</v>
      </c>
      <c r="H3605" s="6" t="e">
        <f>VLOOKUP('Customer Info'!A3597,'Customer Info'!A3597:I4097,3,FALSE)</f>
        <v>#N/A</v>
      </c>
      <c r="I3605" s="6" t="e">
        <f>VLOOKUP('Customer Info'!A3597,'Customer Info'!A3597:I4096,5,FALSE)</f>
        <v>#N/A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395</v>
      </c>
      <c r="R3605" s="2" t="s">
        <v>50</v>
      </c>
      <c r="S3605" s="9">
        <f t="shared" si="284"/>
        <v>0.02</v>
      </c>
    </row>
    <row r="3606" spans="1:19" x14ac:dyDescent="0.25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e">
        <f>VLOOKUP('Customer Info'!A3598,'Customer Info'!A3598:I4097,2,FALSE)</f>
        <v>#N/A</v>
      </c>
      <c r="H3606" s="6" t="e">
        <f>VLOOKUP('Customer Info'!A3598,'Customer Info'!A3598:I4098,3,FALSE)</f>
        <v>#N/A</v>
      </c>
      <c r="I3606" s="6" t="e">
        <f>VLOOKUP('Customer Info'!A3598,'Customer Info'!A3598:I4097,5,FALSE)</f>
        <v>#N/A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1791</v>
      </c>
      <c r="R3606" s="2" t="s">
        <v>50</v>
      </c>
      <c r="S3606" s="9">
        <f t="shared" si="284"/>
        <v>7.0000000000000007E-2</v>
      </c>
    </row>
    <row r="3607" spans="1:19" x14ac:dyDescent="0.25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e">
        <f>VLOOKUP('Customer Info'!A3599,'Customer Info'!A3599:I4098,2,FALSE)</f>
        <v>#N/A</v>
      </c>
      <c r="H3607" s="6" t="e">
        <f>VLOOKUP('Customer Info'!A3599,'Customer Info'!A3599:I4099,3,FALSE)</f>
        <v>#N/A</v>
      </c>
      <c r="I3607" s="6" t="e">
        <f>VLOOKUP('Customer Info'!A3599,'Customer Info'!A3599:I4098,5,FALSE)</f>
        <v>#N/A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31</v>
      </c>
      <c r="R3607" s="2" t="s">
        <v>26</v>
      </c>
      <c r="S3607" s="9">
        <f t="shared" si="284"/>
        <v>0.02</v>
      </c>
    </row>
    <row r="3608" spans="1:19" x14ac:dyDescent="0.25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e">
        <f>VLOOKUP('Customer Info'!A3600,'Customer Info'!A3600:I4099,2,FALSE)</f>
        <v>#N/A</v>
      </c>
      <c r="H3608" s="6" t="e">
        <f>VLOOKUP('Customer Info'!A3600,'Customer Info'!A3600:I4100,3,FALSE)</f>
        <v>#N/A</v>
      </c>
      <c r="I3608" s="6" t="e">
        <f>VLOOKUP('Customer Info'!A3600,'Customer Info'!A3600:I4099,5,FALSE)</f>
        <v>#N/A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2666</v>
      </c>
      <c r="R3608" s="2" t="s">
        <v>28</v>
      </c>
      <c r="S3608" s="9">
        <f t="shared" si="284"/>
        <v>7.0000000000000007E-2</v>
      </c>
    </row>
    <row r="3609" spans="1:19" x14ac:dyDescent="0.25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e">
        <f>VLOOKUP('Customer Info'!A3601,'Customer Info'!A3601:I4100,2,FALSE)</f>
        <v>#N/A</v>
      </c>
      <c r="H3609" s="6" t="e">
        <f>VLOOKUP('Customer Info'!A3601,'Customer Info'!A3601:I4101,3,FALSE)</f>
        <v>#N/A</v>
      </c>
      <c r="I3609" s="6" t="e">
        <f>VLOOKUP('Customer Info'!A3601,'Customer Info'!A3601:I4100,5,FALSE)</f>
        <v>#N/A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270</v>
      </c>
      <c r="R3609" s="2" t="s">
        <v>28</v>
      </c>
      <c r="S3609" s="9">
        <f t="shared" si="284"/>
        <v>0.02</v>
      </c>
    </row>
    <row r="3610" spans="1:19" x14ac:dyDescent="0.25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e">
        <f>VLOOKUP('Customer Info'!A3602,'Customer Info'!A3602:I4101,2,FALSE)</f>
        <v>#N/A</v>
      </c>
      <c r="H3610" s="6" t="e">
        <f>VLOOKUP('Customer Info'!A3602,'Customer Info'!A3602:I4102,3,FALSE)</f>
        <v>#N/A</v>
      </c>
      <c r="I3610" s="6" t="e">
        <f>VLOOKUP('Customer Info'!A3602,'Customer Info'!A3602:I4101,5,FALSE)</f>
        <v>#N/A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1511</v>
      </c>
      <c r="R3610" s="2" t="s">
        <v>50</v>
      </c>
      <c r="S3610" s="9">
        <f t="shared" si="284"/>
        <v>0.05</v>
      </c>
    </row>
    <row r="3611" spans="1:19" x14ac:dyDescent="0.25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e">
        <f>VLOOKUP('Customer Info'!A3603,'Customer Info'!A3603:I4102,2,FALSE)</f>
        <v>#N/A</v>
      </c>
      <c r="H3611" s="6" t="e">
        <f>VLOOKUP('Customer Info'!A3603,'Customer Info'!A3603:I4103,3,FALSE)</f>
        <v>#N/A</v>
      </c>
      <c r="I3611" s="6" t="e">
        <f>VLOOKUP('Customer Info'!A3603,'Customer Info'!A3603:I4102,5,FALSE)</f>
        <v>#N/A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6015</v>
      </c>
      <c r="R3611" s="2" t="s">
        <v>50</v>
      </c>
      <c r="S3611" s="9">
        <f t="shared" si="284"/>
        <v>0.09</v>
      </c>
    </row>
    <row r="3612" spans="1:19" x14ac:dyDescent="0.25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e">
        <f>VLOOKUP('Customer Info'!A3604,'Customer Info'!A3604:I4103,2,FALSE)</f>
        <v>#N/A</v>
      </c>
      <c r="H3612" s="6" t="e">
        <f>VLOOKUP('Customer Info'!A3604,'Customer Info'!A3604:I4104,3,FALSE)</f>
        <v>#N/A</v>
      </c>
      <c r="I3612" s="6" t="e">
        <f>VLOOKUP('Customer Info'!A3604,'Customer Info'!A3604:I4103,5,FALSE)</f>
        <v>#N/A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317</v>
      </c>
      <c r="R3612" s="2" t="s">
        <v>28</v>
      </c>
      <c r="S3612" s="9">
        <f t="shared" si="284"/>
        <v>0.02</v>
      </c>
    </row>
    <row r="3613" spans="1:19" x14ac:dyDescent="0.25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e">
        <f>VLOOKUP('Customer Info'!A3605,'Customer Info'!A3605:I4104,2,FALSE)</f>
        <v>#N/A</v>
      </c>
      <c r="H3613" s="6" t="e">
        <f>VLOOKUP('Customer Info'!A3605,'Customer Info'!A3605:I4105,3,FALSE)</f>
        <v>#N/A</v>
      </c>
      <c r="I3613" s="6" t="e">
        <f>VLOOKUP('Customer Info'!A3605,'Customer Info'!A3605:I4104,5,FALSE)</f>
        <v>#N/A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161</v>
      </c>
      <c r="R3613" s="2" t="s">
        <v>26</v>
      </c>
      <c r="S3613" s="9">
        <f t="shared" si="284"/>
        <v>0.02</v>
      </c>
    </row>
    <row r="3614" spans="1:19" x14ac:dyDescent="0.25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e">
        <f>VLOOKUP('Customer Info'!A3606,'Customer Info'!A3606:I4105,2,FALSE)</f>
        <v>#N/A</v>
      </c>
      <c r="H3614" s="6" t="e">
        <f>VLOOKUP('Customer Info'!A3606,'Customer Info'!A3606:I4106,3,FALSE)</f>
        <v>#N/A</v>
      </c>
      <c r="I3614" s="6" t="e">
        <f>VLOOKUP('Customer Info'!A3606,'Customer Info'!A3606:I4105,5,FALSE)</f>
        <v>#N/A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373</v>
      </c>
      <c r="R3614" s="2" t="s">
        <v>26</v>
      </c>
      <c r="S3614" s="9">
        <f t="shared" si="284"/>
        <v>0.02</v>
      </c>
    </row>
    <row r="3615" spans="1:19" x14ac:dyDescent="0.25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e">
        <f>VLOOKUP('Customer Info'!A3607,'Customer Info'!A3607:I4106,2,FALSE)</f>
        <v>#N/A</v>
      </c>
      <c r="H3615" s="6" t="e">
        <f>VLOOKUP('Customer Info'!A3607,'Customer Info'!A3607:I4107,3,FALSE)</f>
        <v>#N/A</v>
      </c>
      <c r="I3615" s="6" t="e">
        <f>VLOOKUP('Customer Info'!A3607,'Customer Info'!A3607:I4106,5,FALSE)</f>
        <v>#N/A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2080</v>
      </c>
      <c r="R3615" s="2" t="s">
        <v>50</v>
      </c>
      <c r="S3615" s="9">
        <f t="shared" si="284"/>
        <v>0.05</v>
      </c>
    </row>
    <row r="3616" spans="1:19" x14ac:dyDescent="0.25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e">
        <f>VLOOKUP('Customer Info'!A3608,'Customer Info'!A3608:I4107,2,FALSE)</f>
        <v>#N/A</v>
      </c>
      <c r="H3616" s="6" t="e">
        <f>VLOOKUP('Customer Info'!A3608,'Customer Info'!A3608:I4108,3,FALSE)</f>
        <v>#N/A</v>
      </c>
      <c r="I3616" s="6" t="e">
        <f>VLOOKUP('Customer Info'!A3608,'Customer Info'!A3608:I4107,5,FALSE)</f>
        <v>#N/A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193</v>
      </c>
      <c r="R3616" s="2" t="s">
        <v>28</v>
      </c>
      <c r="S3616" s="9">
        <f t="shared" si="284"/>
        <v>0.02</v>
      </c>
    </row>
    <row r="3617" spans="1:19" x14ac:dyDescent="0.25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e">
        <f>VLOOKUP('Customer Info'!A3609,'Customer Info'!A3609:I4108,2,FALSE)</f>
        <v>#N/A</v>
      </c>
      <c r="H3617" s="6" t="e">
        <f>VLOOKUP('Customer Info'!A3609,'Customer Info'!A3609:I4109,3,FALSE)</f>
        <v>#N/A</v>
      </c>
      <c r="I3617" s="6" t="e">
        <f>VLOOKUP('Customer Info'!A3609,'Customer Info'!A3609:I4108,5,FALSE)</f>
        <v>#N/A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1068</v>
      </c>
      <c r="R3617" s="2" t="s">
        <v>50</v>
      </c>
      <c r="S3617" s="9">
        <f t="shared" si="284"/>
        <v>0.05</v>
      </c>
    </row>
    <row r="3618" spans="1:19" x14ac:dyDescent="0.25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e">
        <f>VLOOKUP('Customer Info'!A3610,'Customer Info'!A3610:I4109,2,FALSE)</f>
        <v>#N/A</v>
      </c>
      <c r="H3618" s="6" t="e">
        <f>VLOOKUP('Customer Info'!A3610,'Customer Info'!A3610:I4110,3,FALSE)</f>
        <v>#N/A</v>
      </c>
      <c r="I3618" s="6" t="e">
        <f>VLOOKUP('Customer Info'!A3610,'Customer Info'!A3610:I4109,5,FALSE)</f>
        <v>#N/A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54</v>
      </c>
      <c r="R3618" s="2" t="s">
        <v>50</v>
      </c>
      <c r="S3618" s="9">
        <f t="shared" si="284"/>
        <v>0.02</v>
      </c>
    </row>
    <row r="3619" spans="1:19" x14ac:dyDescent="0.25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e">
        <f>VLOOKUP('Customer Info'!A3611,'Customer Info'!A3611:I4110,2,FALSE)</f>
        <v>#N/A</v>
      </c>
      <c r="H3619" s="6" t="e">
        <f>VLOOKUP('Customer Info'!A3611,'Customer Info'!A3611:I4111,3,FALSE)</f>
        <v>#N/A</v>
      </c>
      <c r="I3619" s="6" t="e">
        <f>VLOOKUP('Customer Info'!A3611,'Customer Info'!A3611:I4110,5,FALSE)</f>
        <v>#N/A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20</v>
      </c>
      <c r="R3619" s="2" t="s">
        <v>50</v>
      </c>
      <c r="S3619" s="9">
        <f t="shared" si="284"/>
        <v>0.02</v>
      </c>
    </row>
    <row r="3620" spans="1:19" x14ac:dyDescent="0.25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e">
        <f>VLOOKUP('Customer Info'!A3612,'Customer Info'!A3612:I4111,2,FALSE)</f>
        <v>#N/A</v>
      </c>
      <c r="H3620" s="6" t="e">
        <f>VLOOKUP('Customer Info'!A3612,'Customer Info'!A3612:I4112,3,FALSE)</f>
        <v>#N/A</v>
      </c>
      <c r="I3620" s="6" t="e">
        <f>VLOOKUP('Customer Info'!A3612,'Customer Info'!A3612:I4111,5,FALSE)</f>
        <v>#N/A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392</v>
      </c>
      <c r="R3620" s="2" t="s">
        <v>28</v>
      </c>
      <c r="S3620" s="9">
        <f t="shared" si="284"/>
        <v>0.05</v>
      </c>
    </row>
    <row r="3621" spans="1:19" x14ac:dyDescent="0.25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e">
        <f>VLOOKUP('Customer Info'!A3613,'Customer Info'!A3613:I4112,2,FALSE)</f>
        <v>#N/A</v>
      </c>
      <c r="H3621" s="6" t="e">
        <f>VLOOKUP('Customer Info'!A3613,'Customer Info'!A3613:I4113,3,FALSE)</f>
        <v>#N/A</v>
      </c>
      <c r="I3621" s="6" t="e">
        <f>VLOOKUP('Customer Info'!A3613,'Customer Info'!A3613:I4112,5,FALSE)</f>
        <v>#N/A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160</v>
      </c>
      <c r="R3621" s="2" t="s">
        <v>26</v>
      </c>
      <c r="S3621" s="9">
        <f t="shared" si="284"/>
        <v>0.02</v>
      </c>
    </row>
    <row r="3622" spans="1:19" x14ac:dyDescent="0.25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e">
        <f>VLOOKUP('Customer Info'!A3614,'Customer Info'!A3614:I4113,2,FALSE)</f>
        <v>#N/A</v>
      </c>
      <c r="H3622" s="6" t="e">
        <f>VLOOKUP('Customer Info'!A3614,'Customer Info'!A3614:I4114,3,FALSE)</f>
        <v>#N/A</v>
      </c>
      <c r="I3622" s="6" t="e">
        <f>VLOOKUP('Customer Info'!A3614,'Customer Info'!A3614:I4113,5,FALSE)</f>
        <v>#N/A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418</v>
      </c>
      <c r="R3622" s="2" t="s">
        <v>50</v>
      </c>
      <c r="S3622" s="9">
        <f t="shared" si="284"/>
        <v>0.05</v>
      </c>
    </row>
    <row r="3623" spans="1:19" x14ac:dyDescent="0.25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e">
        <f>VLOOKUP('Customer Info'!A3615,'Customer Info'!A3615:I4114,2,FALSE)</f>
        <v>#N/A</v>
      </c>
      <c r="H3623" s="6" t="e">
        <f>VLOOKUP('Customer Info'!A3615,'Customer Info'!A3615:I4115,3,FALSE)</f>
        <v>#N/A</v>
      </c>
      <c r="I3623" s="6" t="e">
        <f>VLOOKUP('Customer Info'!A3615,'Customer Info'!A3615:I4114,5,FALSE)</f>
        <v>#N/A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2965</v>
      </c>
      <c r="R3623" s="2" t="s">
        <v>28</v>
      </c>
      <c r="S3623" s="9">
        <f t="shared" si="284"/>
        <v>7.0000000000000007E-2</v>
      </c>
    </row>
    <row r="3624" spans="1:19" x14ac:dyDescent="0.25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e">
        <f>VLOOKUP('Customer Info'!A3616,'Customer Info'!A3616:I4115,2,FALSE)</f>
        <v>#N/A</v>
      </c>
      <c r="H3624" s="6" t="e">
        <f>VLOOKUP('Customer Info'!A3616,'Customer Info'!A3616:I4116,3,FALSE)</f>
        <v>#N/A</v>
      </c>
      <c r="I3624" s="6" t="e">
        <f>VLOOKUP('Customer Info'!A3616,'Customer Info'!A3616:I4115,5,FALSE)</f>
        <v>#N/A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542</v>
      </c>
      <c r="R3624" s="2" t="s">
        <v>28</v>
      </c>
      <c r="S3624" s="9">
        <f t="shared" si="284"/>
        <v>0.05</v>
      </c>
    </row>
    <row r="3625" spans="1:19" x14ac:dyDescent="0.25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e">
        <f>VLOOKUP('Customer Info'!A3617,'Customer Info'!A3617:I4116,2,FALSE)</f>
        <v>#N/A</v>
      </c>
      <c r="H3625" s="6" t="e">
        <f>VLOOKUP('Customer Info'!A3617,'Customer Info'!A3617:I4117,3,FALSE)</f>
        <v>#N/A</v>
      </c>
      <c r="I3625" s="6" t="e">
        <f>VLOOKUP('Customer Info'!A3617,'Customer Info'!A3617:I4116,5,FALSE)</f>
        <v>#N/A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442</v>
      </c>
      <c r="R3625" s="2" t="s">
        <v>28</v>
      </c>
      <c r="S3625" s="9">
        <f t="shared" si="284"/>
        <v>0.05</v>
      </c>
    </row>
    <row r="3626" spans="1:19" x14ac:dyDescent="0.25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e">
        <f>VLOOKUP('Customer Info'!A3618,'Customer Info'!A3618:I4117,2,FALSE)</f>
        <v>#N/A</v>
      </c>
      <c r="H3626" s="6" t="e">
        <f>VLOOKUP('Customer Info'!A3618,'Customer Info'!A3618:I4118,3,FALSE)</f>
        <v>#N/A</v>
      </c>
      <c r="I3626" s="6" t="e">
        <f>VLOOKUP('Customer Info'!A3618,'Customer Info'!A3618:I4117,5,FALSE)</f>
        <v>#N/A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3051</v>
      </c>
      <c r="R3626" s="2" t="s">
        <v>28</v>
      </c>
      <c r="S3626" s="9">
        <f t="shared" si="284"/>
        <v>7.0000000000000007E-2</v>
      </c>
    </row>
    <row r="3627" spans="1:19" x14ac:dyDescent="0.25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e">
        <f>VLOOKUP('Customer Info'!A3619,'Customer Info'!A3619:I4118,2,FALSE)</f>
        <v>#N/A</v>
      </c>
      <c r="H3627" s="6" t="e">
        <f>VLOOKUP('Customer Info'!A3619,'Customer Info'!A3619:I4119,3,FALSE)</f>
        <v>#N/A</v>
      </c>
      <c r="I3627" s="6" t="e">
        <f>VLOOKUP('Customer Info'!A3619,'Customer Info'!A3619:I4118,5,FALSE)</f>
        <v>#N/A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1719</v>
      </c>
      <c r="R3627" s="2" t="s">
        <v>28</v>
      </c>
      <c r="S3627" s="9">
        <f t="shared" si="284"/>
        <v>0.05</v>
      </c>
    </row>
    <row r="3628" spans="1:19" x14ac:dyDescent="0.25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e">
        <f>VLOOKUP('Customer Info'!A3620,'Customer Info'!A3620:I4119,2,FALSE)</f>
        <v>#N/A</v>
      </c>
      <c r="H3628" s="6" t="e">
        <f>VLOOKUP('Customer Info'!A3620,'Customer Info'!A3620:I4120,3,FALSE)</f>
        <v>#N/A</v>
      </c>
      <c r="I3628" s="6" t="e">
        <f>VLOOKUP('Customer Info'!A3620,'Customer Info'!A3620:I4119,5,FALSE)</f>
        <v>#N/A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1753</v>
      </c>
      <c r="R3628" s="2" t="s">
        <v>28</v>
      </c>
      <c r="S3628" s="9">
        <f t="shared" si="284"/>
        <v>7.0000000000000007E-2</v>
      </c>
    </row>
    <row r="3629" spans="1:19" x14ac:dyDescent="0.25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e">
        <f>VLOOKUP('Customer Info'!A3621,'Customer Info'!A3621:I4120,2,FALSE)</f>
        <v>#N/A</v>
      </c>
      <c r="H3629" s="6" t="e">
        <f>VLOOKUP('Customer Info'!A3621,'Customer Info'!A3621:I4121,3,FALSE)</f>
        <v>#N/A</v>
      </c>
      <c r="I3629" s="6" t="e">
        <f>VLOOKUP('Customer Info'!A3621,'Customer Info'!A3621:I4120,5,FALSE)</f>
        <v>#N/A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360</v>
      </c>
      <c r="R3629" s="2" t="s">
        <v>50</v>
      </c>
      <c r="S3629" s="9">
        <f t="shared" si="284"/>
        <v>0.05</v>
      </c>
    </row>
    <row r="3630" spans="1:19" x14ac:dyDescent="0.25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e">
        <f>VLOOKUP('Customer Info'!A3622,'Customer Info'!A3622:I4121,2,FALSE)</f>
        <v>#N/A</v>
      </c>
      <c r="H3630" s="6" t="e">
        <f>VLOOKUP('Customer Info'!A3622,'Customer Info'!A3622:I4122,3,FALSE)</f>
        <v>#N/A</v>
      </c>
      <c r="I3630" s="6" t="e">
        <f>VLOOKUP('Customer Info'!A3622,'Customer Info'!A3622:I4121,5,FALSE)</f>
        <v>#N/A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66</v>
      </c>
      <c r="R3630" s="2" t="s">
        <v>50</v>
      </c>
      <c r="S3630" s="9">
        <f t="shared" si="284"/>
        <v>0.02</v>
      </c>
    </row>
    <row r="3631" spans="1:19" x14ac:dyDescent="0.25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e">
        <f>VLOOKUP('Customer Info'!A3623,'Customer Info'!A3623:I4122,2,FALSE)</f>
        <v>#N/A</v>
      </c>
      <c r="H3631" s="6" t="e">
        <f>VLOOKUP('Customer Info'!A3623,'Customer Info'!A3623:I4123,3,FALSE)</f>
        <v>#N/A</v>
      </c>
      <c r="I3631" s="6" t="e">
        <f>VLOOKUP('Customer Info'!A3623,'Customer Info'!A3623:I4122,5,FALSE)</f>
        <v>#N/A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64</v>
      </c>
      <c r="R3631" s="2" t="s">
        <v>50</v>
      </c>
      <c r="S3631" s="9">
        <f t="shared" si="284"/>
        <v>0.02</v>
      </c>
    </row>
    <row r="3632" spans="1:19" x14ac:dyDescent="0.25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e">
        <f>VLOOKUP('Customer Info'!A3624,'Customer Info'!A3624:I4123,2,FALSE)</f>
        <v>#N/A</v>
      </c>
      <c r="H3632" s="6" t="e">
        <f>VLOOKUP('Customer Info'!A3624,'Customer Info'!A3624:I4124,3,FALSE)</f>
        <v>#N/A</v>
      </c>
      <c r="I3632" s="6" t="e">
        <f>VLOOKUP('Customer Info'!A3624,'Customer Info'!A3624:I4123,5,FALSE)</f>
        <v>#N/A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2163</v>
      </c>
      <c r="R3632" s="2" t="s">
        <v>50</v>
      </c>
      <c r="S3632" s="9">
        <f t="shared" si="284"/>
        <v>7.0000000000000007E-2</v>
      </c>
    </row>
    <row r="3633" spans="1:19" x14ac:dyDescent="0.25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e">
        <f>VLOOKUP('Customer Info'!A3625,'Customer Info'!A3625:I4124,2,FALSE)</f>
        <v>#N/A</v>
      </c>
      <c r="H3633" s="6" t="e">
        <f>VLOOKUP('Customer Info'!A3625,'Customer Info'!A3625:I4125,3,FALSE)</f>
        <v>#N/A</v>
      </c>
      <c r="I3633" s="6" t="e">
        <f>VLOOKUP('Customer Info'!A3625,'Customer Info'!A3625:I4124,5,FALSE)</f>
        <v>#N/A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3636</v>
      </c>
      <c r="R3633" s="2" t="s">
        <v>28</v>
      </c>
      <c r="S3633" s="9">
        <f t="shared" si="284"/>
        <v>0.09</v>
      </c>
    </row>
    <row r="3634" spans="1:19" x14ac:dyDescent="0.25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e">
        <f>VLOOKUP('Customer Info'!A3626,'Customer Info'!A3626:I4125,2,FALSE)</f>
        <v>#N/A</v>
      </c>
      <c r="H3634" s="6" t="e">
        <f>VLOOKUP('Customer Info'!A3626,'Customer Info'!A3626:I4126,3,FALSE)</f>
        <v>#N/A</v>
      </c>
      <c r="I3634" s="6" t="e">
        <f>VLOOKUP('Customer Info'!A3626,'Customer Info'!A3626:I4125,5,FALSE)</f>
        <v>#N/A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183</v>
      </c>
      <c r="R3634" s="2" t="s">
        <v>56</v>
      </c>
      <c r="S3634" s="9">
        <f t="shared" si="284"/>
        <v>0.02</v>
      </c>
    </row>
    <row r="3635" spans="1:19" x14ac:dyDescent="0.25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e">
        <f>VLOOKUP('Customer Info'!A3627,'Customer Info'!A3627:I4126,2,FALSE)</f>
        <v>#N/A</v>
      </c>
      <c r="H3635" s="6" t="e">
        <f>VLOOKUP('Customer Info'!A3627,'Customer Info'!A3627:I4127,3,FALSE)</f>
        <v>#N/A</v>
      </c>
      <c r="I3635" s="6" t="e">
        <f>VLOOKUP('Customer Info'!A3627,'Customer Info'!A3627:I4126,5,FALSE)</f>
        <v>#N/A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16</v>
      </c>
      <c r="R3635" s="2" t="s">
        <v>28</v>
      </c>
      <c r="S3635" s="9">
        <f t="shared" si="284"/>
        <v>0.02</v>
      </c>
    </row>
    <row r="3636" spans="1:19" x14ac:dyDescent="0.25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e">
        <f>VLOOKUP('Customer Info'!A3628,'Customer Info'!A3628:I4127,2,FALSE)</f>
        <v>#N/A</v>
      </c>
      <c r="H3636" s="6" t="e">
        <f>VLOOKUP('Customer Info'!A3628,'Customer Info'!A3628:I4128,3,FALSE)</f>
        <v>#N/A</v>
      </c>
      <c r="I3636" s="6" t="e">
        <f>VLOOKUP('Customer Info'!A3628,'Customer Info'!A3628:I4127,5,FALSE)</f>
        <v>#N/A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122</v>
      </c>
      <c r="R3636" s="2" t="s">
        <v>50</v>
      </c>
      <c r="S3636" s="9">
        <f t="shared" si="284"/>
        <v>0.02</v>
      </c>
    </row>
    <row r="3637" spans="1:19" x14ac:dyDescent="0.25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e">
        <f>VLOOKUP('Customer Info'!A3629,'Customer Info'!A3629:I4128,2,FALSE)</f>
        <v>#N/A</v>
      </c>
      <c r="H3637" s="6" t="e">
        <f>VLOOKUP('Customer Info'!A3629,'Customer Info'!A3629:I4129,3,FALSE)</f>
        <v>#N/A</v>
      </c>
      <c r="I3637" s="6" t="e">
        <f>VLOOKUP('Customer Info'!A3629,'Customer Info'!A3629:I4128,5,FALSE)</f>
        <v>#N/A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500</v>
      </c>
      <c r="R3637" s="2" t="s">
        <v>28</v>
      </c>
      <c r="S3637" s="9">
        <f t="shared" si="284"/>
        <v>0.05</v>
      </c>
    </row>
    <row r="3638" spans="1:19" x14ac:dyDescent="0.25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e">
        <f>VLOOKUP('Customer Info'!A3630,'Customer Info'!A3630:I4129,2,FALSE)</f>
        <v>#N/A</v>
      </c>
      <c r="H3638" s="6" t="e">
        <f>VLOOKUP('Customer Info'!A3630,'Customer Info'!A3630:I4130,3,FALSE)</f>
        <v>#N/A</v>
      </c>
      <c r="I3638" s="6" t="e">
        <f>VLOOKUP('Customer Info'!A3630,'Customer Info'!A3630:I4129,5,FALSE)</f>
        <v>#N/A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81</v>
      </c>
      <c r="R3638" s="2" t="s">
        <v>28</v>
      </c>
      <c r="S3638" s="9">
        <f t="shared" si="284"/>
        <v>0.02</v>
      </c>
    </row>
    <row r="3639" spans="1:19" x14ac:dyDescent="0.25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e">
        <f>VLOOKUP('Customer Info'!A3631,'Customer Info'!A3631:I4130,2,FALSE)</f>
        <v>#N/A</v>
      </c>
      <c r="H3639" s="6" t="e">
        <f>VLOOKUP('Customer Info'!A3631,'Customer Info'!A3631:I4131,3,FALSE)</f>
        <v>#N/A</v>
      </c>
      <c r="I3639" s="6" t="e">
        <f>VLOOKUP('Customer Info'!A3631,'Customer Info'!A3631:I4130,5,FALSE)</f>
        <v>#N/A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535</v>
      </c>
      <c r="R3639" s="2" t="s">
        <v>50</v>
      </c>
      <c r="S3639" s="9">
        <f t="shared" si="284"/>
        <v>0.05</v>
      </c>
    </row>
    <row r="3640" spans="1:19" x14ac:dyDescent="0.25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e">
        <f>VLOOKUP('Customer Info'!A3632,'Customer Info'!A3632:I4131,2,FALSE)</f>
        <v>#N/A</v>
      </c>
      <c r="H3640" s="6" t="e">
        <f>VLOOKUP('Customer Info'!A3632,'Customer Info'!A3632:I4132,3,FALSE)</f>
        <v>#N/A</v>
      </c>
      <c r="I3640" s="6" t="e">
        <f>VLOOKUP('Customer Info'!A3632,'Customer Info'!A3632:I4131,5,FALSE)</f>
        <v>#N/A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1833</v>
      </c>
      <c r="R3640" s="2" t="s">
        <v>50</v>
      </c>
      <c r="S3640" s="9">
        <f t="shared" si="284"/>
        <v>0.05</v>
      </c>
    </row>
    <row r="3641" spans="1:19" x14ac:dyDescent="0.25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e">
        <f>VLOOKUP('Customer Info'!A3633,'Customer Info'!A3633:I4132,2,FALSE)</f>
        <v>#N/A</v>
      </c>
      <c r="H3641" s="6" t="e">
        <f>VLOOKUP('Customer Info'!A3633,'Customer Info'!A3633:I4133,3,FALSE)</f>
        <v>#N/A</v>
      </c>
      <c r="I3641" s="6" t="e">
        <f>VLOOKUP('Customer Info'!A3633,'Customer Info'!A3633:I4132,5,FALSE)</f>
        <v>#N/A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60</v>
      </c>
      <c r="R3641" s="2" t="s">
        <v>28</v>
      </c>
      <c r="S3641" s="9">
        <f t="shared" si="284"/>
        <v>0.02</v>
      </c>
    </row>
    <row r="3642" spans="1:19" x14ac:dyDescent="0.25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e">
        <f>VLOOKUP('Customer Info'!A3634,'Customer Info'!A3634:I4133,2,FALSE)</f>
        <v>#N/A</v>
      </c>
      <c r="H3642" s="6" t="e">
        <f>VLOOKUP('Customer Info'!A3634,'Customer Info'!A3634:I4134,3,FALSE)</f>
        <v>#N/A</v>
      </c>
      <c r="I3642" s="6" t="e">
        <f>VLOOKUP('Customer Info'!A3634,'Customer Info'!A3634:I4133,5,FALSE)</f>
        <v>#N/A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1976</v>
      </c>
      <c r="R3642" s="2" t="s">
        <v>28</v>
      </c>
      <c r="S3642" s="9">
        <f t="shared" si="284"/>
        <v>7.0000000000000007E-2</v>
      </c>
    </row>
    <row r="3643" spans="1:19" x14ac:dyDescent="0.25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e">
        <f>VLOOKUP('Customer Info'!A3635,'Customer Info'!A3635:I4134,2,FALSE)</f>
        <v>#N/A</v>
      </c>
      <c r="H3643" s="6" t="e">
        <f>VLOOKUP('Customer Info'!A3635,'Customer Info'!A3635:I4135,3,FALSE)</f>
        <v>#N/A</v>
      </c>
      <c r="I3643" s="6" t="e">
        <f>VLOOKUP('Customer Info'!A3635,'Customer Info'!A3635:I4134,5,FALSE)</f>
        <v>#N/A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133</v>
      </c>
      <c r="R3643" s="2" t="s">
        <v>50</v>
      </c>
      <c r="S3643" s="9">
        <f t="shared" si="284"/>
        <v>0.02</v>
      </c>
    </row>
    <row r="3644" spans="1:19" x14ac:dyDescent="0.25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e">
        <f>VLOOKUP('Customer Info'!A3636,'Customer Info'!A3636:I4135,2,FALSE)</f>
        <v>#N/A</v>
      </c>
      <c r="H3644" s="6" t="e">
        <f>VLOOKUP('Customer Info'!A3636,'Customer Info'!A3636:I4136,3,FALSE)</f>
        <v>#N/A</v>
      </c>
      <c r="I3644" s="6" t="e">
        <f>VLOOKUP('Customer Info'!A3636,'Customer Info'!A3636:I4135,5,FALSE)</f>
        <v>#N/A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1015</v>
      </c>
      <c r="R3644" s="2" t="s">
        <v>50</v>
      </c>
      <c r="S3644" s="9">
        <f t="shared" si="284"/>
        <v>0.05</v>
      </c>
    </row>
    <row r="3645" spans="1:19" x14ac:dyDescent="0.25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e">
        <f>VLOOKUP('Customer Info'!A3637,'Customer Info'!A3637:I4136,2,FALSE)</f>
        <v>#N/A</v>
      </c>
      <c r="H3645" s="6" t="e">
        <f>VLOOKUP('Customer Info'!A3637,'Customer Info'!A3637:I4137,3,FALSE)</f>
        <v>#N/A</v>
      </c>
      <c r="I3645" s="6" t="e">
        <f>VLOOKUP('Customer Info'!A3637,'Customer Info'!A3637:I4136,5,FALSE)</f>
        <v>#N/A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561</v>
      </c>
      <c r="R3645" s="2" t="s">
        <v>26</v>
      </c>
      <c r="S3645" s="9">
        <f t="shared" si="284"/>
        <v>0.05</v>
      </c>
    </row>
    <row r="3646" spans="1:19" x14ac:dyDescent="0.25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e">
        <f>VLOOKUP('Customer Info'!A3638,'Customer Info'!A3638:I4137,2,FALSE)</f>
        <v>#N/A</v>
      </c>
      <c r="H3646" s="6" t="e">
        <f>VLOOKUP('Customer Info'!A3638,'Customer Info'!A3638:I4138,3,FALSE)</f>
        <v>#N/A</v>
      </c>
      <c r="I3646" s="6" t="e">
        <f>VLOOKUP('Customer Info'!A3638,'Customer Info'!A3638:I4137,5,FALSE)</f>
        <v>#N/A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273</v>
      </c>
      <c r="R3646" s="2" t="s">
        <v>28</v>
      </c>
      <c r="S3646" s="9">
        <f t="shared" si="284"/>
        <v>0.02</v>
      </c>
    </row>
    <row r="3647" spans="1:19" x14ac:dyDescent="0.25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e">
        <f>VLOOKUP('Customer Info'!A3639,'Customer Info'!A3639:I4138,2,FALSE)</f>
        <v>#N/A</v>
      </c>
      <c r="H3647" s="6" t="e">
        <f>VLOOKUP('Customer Info'!A3639,'Customer Info'!A3639:I4139,3,FALSE)</f>
        <v>#N/A</v>
      </c>
      <c r="I3647" s="6" t="e">
        <f>VLOOKUP('Customer Info'!A3639,'Customer Info'!A3639:I4138,5,FALSE)</f>
        <v>#N/A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686</v>
      </c>
      <c r="R3647" s="2" t="s">
        <v>50</v>
      </c>
      <c r="S3647" s="9">
        <f t="shared" si="284"/>
        <v>0.05</v>
      </c>
    </row>
    <row r="3648" spans="1:19" x14ac:dyDescent="0.25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e">
        <f>VLOOKUP('Customer Info'!A3640,'Customer Info'!A3640:I4139,2,FALSE)</f>
        <v>#N/A</v>
      </c>
      <c r="H3648" s="6" t="e">
        <f>VLOOKUP('Customer Info'!A3640,'Customer Info'!A3640:I4140,3,FALSE)</f>
        <v>#N/A</v>
      </c>
      <c r="I3648" s="6" t="e">
        <f>VLOOKUP('Customer Info'!A3640,'Customer Info'!A3640:I4139,5,FALSE)</f>
        <v>#N/A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40</v>
      </c>
      <c r="R3648" s="2" t="s">
        <v>28</v>
      </c>
      <c r="S3648" s="9">
        <f t="shared" si="284"/>
        <v>0.02</v>
      </c>
    </row>
    <row r="3649" spans="1:19" x14ac:dyDescent="0.25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e">
        <f>VLOOKUP('Customer Info'!A3641,'Customer Info'!A3641:I4140,2,FALSE)</f>
        <v>#N/A</v>
      </c>
      <c r="H3649" s="6" t="e">
        <f>VLOOKUP('Customer Info'!A3641,'Customer Info'!A3641:I4141,3,FALSE)</f>
        <v>#N/A</v>
      </c>
      <c r="I3649" s="6" t="e">
        <f>VLOOKUP('Customer Info'!A3641,'Customer Info'!A3641:I4140,5,FALSE)</f>
        <v>#N/A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579</v>
      </c>
      <c r="R3649" s="2" t="s">
        <v>50</v>
      </c>
      <c r="S3649" s="9">
        <f t="shared" si="284"/>
        <v>0.05</v>
      </c>
    </row>
    <row r="3650" spans="1:19" x14ac:dyDescent="0.25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e">
        <f>VLOOKUP('Customer Info'!A3642,'Customer Info'!A3642:I4141,2,FALSE)</f>
        <v>#N/A</v>
      </c>
      <c r="H3650" s="6" t="e">
        <f>VLOOKUP('Customer Info'!A3642,'Customer Info'!A3642:I4142,3,FALSE)</f>
        <v>#N/A</v>
      </c>
      <c r="I3650" s="6" t="e">
        <f>VLOOKUP('Customer Info'!A3642,'Customer Info'!A3642:I4141,5,FALSE)</f>
        <v>#N/A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278</v>
      </c>
      <c r="R3650" s="2" t="s">
        <v>28</v>
      </c>
      <c r="S3650" s="9">
        <f t="shared" si="284"/>
        <v>0.02</v>
      </c>
    </row>
    <row r="3651" spans="1:19" x14ac:dyDescent="0.25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e">
        <f>VLOOKUP('Customer Info'!A3643,'Customer Info'!A3643:I4142,2,FALSE)</f>
        <v>#N/A</v>
      </c>
      <c r="H3651" s="6" t="e">
        <f>VLOOKUP('Customer Info'!A3643,'Customer Info'!A3643:I4143,3,FALSE)</f>
        <v>#N/A</v>
      </c>
      <c r="I3651" s="6" t="e">
        <f>VLOOKUP('Customer Info'!A3643,'Customer Info'!A3643:I4142,5,FALSE)</f>
        <v>#N/A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676</v>
      </c>
      <c r="R3651" s="2" t="s">
        <v>28</v>
      </c>
      <c r="S3651" s="9">
        <f t="shared" si="284"/>
        <v>0.05</v>
      </c>
    </row>
    <row r="3652" spans="1:19" x14ac:dyDescent="0.25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e">
        <f>VLOOKUP('Customer Info'!A3644,'Customer Info'!A3644:I4143,2,FALSE)</f>
        <v>#N/A</v>
      </c>
      <c r="H3652" s="6" t="e">
        <f>VLOOKUP('Customer Info'!A3644,'Customer Info'!A3644:I4144,3,FALSE)</f>
        <v>#N/A</v>
      </c>
      <c r="I3652" s="6" t="e">
        <f>VLOOKUP('Customer Info'!A3644,'Customer Info'!A3644:I4143,5,FALSE)</f>
        <v>#N/A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681</v>
      </c>
      <c r="R3652" s="2" t="s">
        <v>28</v>
      </c>
      <c r="S3652" s="9">
        <f t="shared" si="284"/>
        <v>0.05</v>
      </c>
    </row>
    <row r="3653" spans="1:19" x14ac:dyDescent="0.25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e">
        <f>VLOOKUP('Customer Info'!A3645,'Customer Info'!A3645:I4144,2,FALSE)</f>
        <v>#N/A</v>
      </c>
      <c r="H3653" s="6" t="e">
        <f>VLOOKUP('Customer Info'!A3645,'Customer Info'!A3645:I4145,3,FALSE)</f>
        <v>#N/A</v>
      </c>
      <c r="I3653" s="6" t="e">
        <f>VLOOKUP('Customer Info'!A3645,'Customer Info'!A3645:I4144,5,FALSE)</f>
        <v>#N/A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2608</v>
      </c>
      <c r="R3653" s="2" t="s">
        <v>50</v>
      </c>
      <c r="S3653" s="9">
        <f t="shared" si="284"/>
        <v>7.0000000000000007E-2</v>
      </c>
    </row>
    <row r="3654" spans="1:19" x14ac:dyDescent="0.25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e">
        <f>VLOOKUP('Customer Info'!A3646,'Customer Info'!A3646:I4145,2,FALSE)</f>
        <v>#N/A</v>
      </c>
      <c r="H3654" s="6" t="e">
        <f>VLOOKUP('Customer Info'!A3646,'Customer Info'!A3646:I4146,3,FALSE)</f>
        <v>#N/A</v>
      </c>
      <c r="I3654" s="6" t="e">
        <f>VLOOKUP('Customer Info'!A3646,'Customer Info'!A3646:I4145,5,FALSE)</f>
        <v>#N/A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279</v>
      </c>
      <c r="R3654" s="2" t="s">
        <v>28</v>
      </c>
      <c r="S3654" s="9">
        <f t="shared" si="284"/>
        <v>0.02</v>
      </c>
    </row>
    <row r="3655" spans="1:19" x14ac:dyDescent="0.25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e">
        <f>VLOOKUP('Customer Info'!A3647,'Customer Info'!A3647:I4146,2,FALSE)</f>
        <v>#N/A</v>
      </c>
      <c r="H3655" s="6" t="e">
        <f>VLOOKUP('Customer Info'!A3647,'Customer Info'!A3647:I4147,3,FALSE)</f>
        <v>#N/A</v>
      </c>
      <c r="I3655" s="6" t="e">
        <f>VLOOKUP('Customer Info'!A3647,'Customer Info'!A3647:I4146,5,FALSE)</f>
        <v>#N/A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14</v>
      </c>
      <c r="R3655" s="2" t="s">
        <v>50</v>
      </c>
      <c r="S3655" s="9">
        <f t="shared" si="284"/>
        <v>0.02</v>
      </c>
    </row>
    <row r="3656" spans="1:19" x14ac:dyDescent="0.25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e">
        <f>VLOOKUP('Customer Info'!A3648,'Customer Info'!A3648:I4147,2,FALSE)</f>
        <v>#N/A</v>
      </c>
      <c r="H3656" s="6" t="e">
        <f>VLOOKUP('Customer Info'!A3648,'Customer Info'!A3648:I4148,3,FALSE)</f>
        <v>#N/A</v>
      </c>
      <c r="I3656" s="6" t="e">
        <f>VLOOKUP('Customer Info'!A3648,'Customer Info'!A3648:I4147,5,FALSE)</f>
        <v>#N/A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704</v>
      </c>
      <c r="R3656" s="2" t="s">
        <v>50</v>
      </c>
      <c r="S3656" s="9">
        <f t="shared" si="284"/>
        <v>0.05</v>
      </c>
    </row>
    <row r="3657" spans="1:19" x14ac:dyDescent="0.25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e">
        <f>VLOOKUP('Customer Info'!A3649,'Customer Info'!A3649:I4148,2,FALSE)</f>
        <v>#N/A</v>
      </c>
      <c r="H3657" s="6" t="e">
        <f>VLOOKUP('Customer Info'!A3649,'Customer Info'!A3649:I4149,3,FALSE)</f>
        <v>#N/A</v>
      </c>
      <c r="I3657" s="6" t="e">
        <f>VLOOKUP('Customer Info'!A3649,'Customer Info'!A3649:I4148,5,FALSE)</f>
        <v>#N/A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271</v>
      </c>
      <c r="R3657" s="2" t="s">
        <v>50</v>
      </c>
      <c r="S3657" s="9">
        <f t="shared" si="284"/>
        <v>0.02</v>
      </c>
    </row>
    <row r="3658" spans="1:19" x14ac:dyDescent="0.25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e">
        <f>VLOOKUP('Customer Info'!A3650,'Customer Info'!A3650:I4149,2,FALSE)</f>
        <v>#N/A</v>
      </c>
      <c r="H3658" s="6" t="e">
        <f>VLOOKUP('Customer Info'!A3650,'Customer Info'!A3650:I4150,3,FALSE)</f>
        <v>#N/A</v>
      </c>
      <c r="I3658" s="6" t="e">
        <f>VLOOKUP('Customer Info'!A3650,'Customer Info'!A3650:I4149,5,FALSE)</f>
        <v>#N/A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587</v>
      </c>
      <c r="R3658" s="2" t="s">
        <v>50</v>
      </c>
      <c r="S3658" s="9">
        <f t="shared" si="284"/>
        <v>0.05</v>
      </c>
    </row>
    <row r="3659" spans="1:19" x14ac:dyDescent="0.25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e">
        <f>VLOOKUP('Customer Info'!A3651,'Customer Info'!A3651:I4150,2,FALSE)</f>
        <v>#N/A</v>
      </c>
      <c r="H3659" s="6" t="e">
        <f>VLOOKUP('Customer Info'!A3651,'Customer Info'!A3651:I4151,3,FALSE)</f>
        <v>#N/A</v>
      </c>
      <c r="I3659" s="6" t="e">
        <f>VLOOKUP('Customer Info'!A3651,'Customer Info'!A3651:I4150,5,FALSE)</f>
        <v>#N/A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8">
        <f t="shared" ref="P3659:P3722" si="287">N3659+O3659</f>
        <v>11701</v>
      </c>
      <c r="Q3659" s="8">
        <f t="shared" ref="Q3659:Q3722" si="288">P3659-M3659</f>
        <v>787</v>
      </c>
      <c r="R3659" s="2" t="s">
        <v>50</v>
      </c>
      <c r="S3659" s="9">
        <f t="shared" ref="S3659:S3722" si="289">VLOOKUP(P3659,$T$2:$U$7,2,TRUE)</f>
        <v>0.05</v>
      </c>
    </row>
    <row r="3660" spans="1:19" x14ac:dyDescent="0.25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e">
        <f>VLOOKUP('Customer Info'!A3652,'Customer Info'!A3652:I4151,2,FALSE)</f>
        <v>#N/A</v>
      </c>
      <c r="H3660" s="6" t="e">
        <f>VLOOKUP('Customer Info'!A3652,'Customer Info'!A3652:I4152,3,FALSE)</f>
        <v>#N/A</v>
      </c>
      <c r="I3660" s="6" t="e">
        <f>VLOOKUP('Customer Info'!A3652,'Customer Info'!A3652:I4151,5,FALSE)</f>
        <v>#N/A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229</v>
      </c>
      <c r="R3660" s="2" t="s">
        <v>50</v>
      </c>
      <c r="S3660" s="9">
        <f t="shared" si="289"/>
        <v>0.02</v>
      </c>
    </row>
    <row r="3661" spans="1:19" x14ac:dyDescent="0.25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e">
        <f>VLOOKUP('Customer Info'!A3653,'Customer Info'!A3653:I4152,2,FALSE)</f>
        <v>#N/A</v>
      </c>
      <c r="H3661" s="6" t="e">
        <f>VLOOKUP('Customer Info'!A3653,'Customer Info'!A3653:I4153,3,FALSE)</f>
        <v>#N/A</v>
      </c>
      <c r="I3661" s="6" t="e">
        <f>VLOOKUP('Customer Info'!A3653,'Customer Info'!A3653:I4152,5,FALSE)</f>
        <v>#N/A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1441</v>
      </c>
      <c r="R3661" s="2" t="s">
        <v>28</v>
      </c>
      <c r="S3661" s="9">
        <f t="shared" si="289"/>
        <v>0.05</v>
      </c>
    </row>
    <row r="3662" spans="1:19" x14ac:dyDescent="0.25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e">
        <f>VLOOKUP('Customer Info'!A3654,'Customer Info'!A3654:I4153,2,FALSE)</f>
        <v>#N/A</v>
      </c>
      <c r="H3662" s="6" t="e">
        <f>VLOOKUP('Customer Info'!A3654,'Customer Info'!A3654:I4154,3,FALSE)</f>
        <v>#N/A</v>
      </c>
      <c r="I3662" s="6" t="e">
        <f>VLOOKUP('Customer Info'!A3654,'Customer Info'!A3654:I4153,5,FALSE)</f>
        <v>#N/A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399</v>
      </c>
      <c r="R3662" s="2" t="s">
        <v>28</v>
      </c>
      <c r="S3662" s="9">
        <f t="shared" si="289"/>
        <v>0.02</v>
      </c>
    </row>
    <row r="3663" spans="1:19" x14ac:dyDescent="0.25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e">
        <f>VLOOKUP('Customer Info'!A3655,'Customer Info'!A3655:I4154,2,FALSE)</f>
        <v>#N/A</v>
      </c>
      <c r="H3663" s="6" t="e">
        <f>VLOOKUP('Customer Info'!A3655,'Customer Info'!A3655:I4155,3,FALSE)</f>
        <v>#N/A</v>
      </c>
      <c r="I3663" s="6" t="e">
        <f>VLOOKUP('Customer Info'!A3655,'Customer Info'!A3655:I4154,5,FALSE)</f>
        <v>#N/A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864</v>
      </c>
      <c r="R3663" s="2" t="s">
        <v>28</v>
      </c>
      <c r="S3663" s="9">
        <f t="shared" si="289"/>
        <v>0.05</v>
      </c>
    </row>
    <row r="3664" spans="1:19" x14ac:dyDescent="0.25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e">
        <f>VLOOKUP('Customer Info'!A3656,'Customer Info'!A3656:I4155,2,FALSE)</f>
        <v>#N/A</v>
      </c>
      <c r="H3664" s="6" t="e">
        <f>VLOOKUP('Customer Info'!A3656,'Customer Info'!A3656:I4156,3,FALSE)</f>
        <v>#N/A</v>
      </c>
      <c r="I3664" s="6" t="e">
        <f>VLOOKUP('Customer Info'!A3656,'Customer Info'!A3656:I4155,5,FALSE)</f>
        <v>#N/A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593</v>
      </c>
      <c r="R3664" s="2" t="s">
        <v>28</v>
      </c>
      <c r="S3664" s="9">
        <f t="shared" si="289"/>
        <v>0.05</v>
      </c>
    </row>
    <row r="3665" spans="1:19" x14ac:dyDescent="0.25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e">
        <f>VLOOKUP('Customer Info'!A3657,'Customer Info'!A3657:I4156,2,FALSE)</f>
        <v>#N/A</v>
      </c>
      <c r="H3665" s="6" t="e">
        <f>VLOOKUP('Customer Info'!A3657,'Customer Info'!A3657:I4157,3,FALSE)</f>
        <v>#N/A</v>
      </c>
      <c r="I3665" s="6" t="e">
        <f>VLOOKUP('Customer Info'!A3657,'Customer Info'!A3657:I4156,5,FALSE)</f>
        <v>#N/A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2018</v>
      </c>
      <c r="R3665" s="2" t="s">
        <v>56</v>
      </c>
      <c r="S3665" s="9">
        <f t="shared" si="289"/>
        <v>0.05</v>
      </c>
    </row>
    <row r="3666" spans="1:19" x14ac:dyDescent="0.25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e">
        <f>VLOOKUP('Customer Info'!A3658,'Customer Info'!A3658:I4157,2,FALSE)</f>
        <v>#N/A</v>
      </c>
      <c r="H3666" s="6" t="e">
        <f>VLOOKUP('Customer Info'!A3658,'Customer Info'!A3658:I4158,3,FALSE)</f>
        <v>#N/A</v>
      </c>
      <c r="I3666" s="6" t="e">
        <f>VLOOKUP('Customer Info'!A3658,'Customer Info'!A3658:I4157,5,FALSE)</f>
        <v>#N/A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253</v>
      </c>
      <c r="R3666" s="2" t="s">
        <v>28</v>
      </c>
      <c r="S3666" s="9">
        <f t="shared" si="289"/>
        <v>0.02</v>
      </c>
    </row>
    <row r="3667" spans="1:19" x14ac:dyDescent="0.25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e">
        <f>VLOOKUP('Customer Info'!A3659,'Customer Info'!A3659:I4158,2,FALSE)</f>
        <v>#N/A</v>
      </c>
      <c r="H3667" s="6" t="e">
        <f>VLOOKUP('Customer Info'!A3659,'Customer Info'!A3659:I4159,3,FALSE)</f>
        <v>#N/A</v>
      </c>
      <c r="I3667" s="6" t="e">
        <f>VLOOKUP('Customer Info'!A3659,'Customer Info'!A3659:I4158,5,FALSE)</f>
        <v>#N/A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438</v>
      </c>
      <c r="R3667" s="2" t="s">
        <v>50</v>
      </c>
      <c r="S3667" s="9">
        <f t="shared" si="289"/>
        <v>0.05</v>
      </c>
    </row>
    <row r="3668" spans="1:19" x14ac:dyDescent="0.25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e">
        <f>VLOOKUP('Customer Info'!A3660,'Customer Info'!A3660:I4159,2,FALSE)</f>
        <v>#N/A</v>
      </c>
      <c r="H3668" s="6" t="e">
        <f>VLOOKUP('Customer Info'!A3660,'Customer Info'!A3660:I4160,3,FALSE)</f>
        <v>#N/A</v>
      </c>
      <c r="I3668" s="6" t="e">
        <f>VLOOKUP('Customer Info'!A3660,'Customer Info'!A3660:I4159,5,FALSE)</f>
        <v>#N/A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44</v>
      </c>
      <c r="R3668" s="2" t="s">
        <v>28</v>
      </c>
      <c r="S3668" s="9">
        <f t="shared" si="289"/>
        <v>0.02</v>
      </c>
    </row>
    <row r="3669" spans="1:19" x14ac:dyDescent="0.25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e">
        <f>VLOOKUP('Customer Info'!A3661,'Customer Info'!A3661:I4160,2,FALSE)</f>
        <v>#N/A</v>
      </c>
      <c r="H3669" s="6" t="e">
        <f>VLOOKUP('Customer Info'!A3661,'Customer Info'!A3661:I4161,3,FALSE)</f>
        <v>#N/A</v>
      </c>
      <c r="I3669" s="6" t="e">
        <f>VLOOKUP('Customer Info'!A3661,'Customer Info'!A3661:I4160,5,FALSE)</f>
        <v>#N/A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404</v>
      </c>
      <c r="R3669" s="2" t="s">
        <v>28</v>
      </c>
      <c r="S3669" s="9">
        <f t="shared" si="289"/>
        <v>0.05</v>
      </c>
    </row>
    <row r="3670" spans="1:19" x14ac:dyDescent="0.25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e">
        <f>VLOOKUP('Customer Info'!A3662,'Customer Info'!A3662:I4161,2,FALSE)</f>
        <v>#N/A</v>
      </c>
      <c r="H3670" s="6" t="e">
        <f>VLOOKUP('Customer Info'!A3662,'Customer Info'!A3662:I4162,3,FALSE)</f>
        <v>#N/A</v>
      </c>
      <c r="I3670" s="6" t="e">
        <f>VLOOKUP('Customer Info'!A3662,'Customer Info'!A3662:I4161,5,FALSE)</f>
        <v>#N/A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1152</v>
      </c>
      <c r="R3670" s="2" t="s">
        <v>28</v>
      </c>
      <c r="S3670" s="9">
        <f t="shared" si="289"/>
        <v>0.05</v>
      </c>
    </row>
    <row r="3671" spans="1:19" x14ac:dyDescent="0.25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e">
        <f>VLOOKUP('Customer Info'!A3663,'Customer Info'!A3663:I4162,2,FALSE)</f>
        <v>#N/A</v>
      </c>
      <c r="H3671" s="6" t="e">
        <f>VLOOKUP('Customer Info'!A3663,'Customer Info'!A3663:I4163,3,FALSE)</f>
        <v>#N/A</v>
      </c>
      <c r="I3671" s="6" t="e">
        <f>VLOOKUP('Customer Info'!A3663,'Customer Info'!A3663:I4162,5,FALSE)</f>
        <v>#N/A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263</v>
      </c>
      <c r="R3671" s="2" t="s">
        <v>28</v>
      </c>
      <c r="S3671" s="9">
        <f t="shared" si="289"/>
        <v>0.02</v>
      </c>
    </row>
    <row r="3672" spans="1:19" x14ac:dyDescent="0.25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e">
        <f>VLOOKUP('Customer Info'!A3664,'Customer Info'!A3664:I4163,2,FALSE)</f>
        <v>#N/A</v>
      </c>
      <c r="H3672" s="6" t="e">
        <f>VLOOKUP('Customer Info'!A3664,'Customer Info'!A3664:I4164,3,FALSE)</f>
        <v>#N/A</v>
      </c>
      <c r="I3672" s="6" t="e">
        <f>VLOOKUP('Customer Info'!A3664,'Customer Info'!A3664:I4163,5,FALSE)</f>
        <v>#N/A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119</v>
      </c>
      <c r="R3672" s="2" t="s">
        <v>50</v>
      </c>
      <c r="S3672" s="9">
        <f t="shared" si="289"/>
        <v>0.02</v>
      </c>
    </row>
    <row r="3673" spans="1:19" x14ac:dyDescent="0.25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e">
        <f>VLOOKUP('Customer Info'!A3665,'Customer Info'!A3665:I4164,2,FALSE)</f>
        <v>#N/A</v>
      </c>
      <c r="H3673" s="6" t="e">
        <f>VLOOKUP('Customer Info'!A3665,'Customer Info'!A3665:I4165,3,FALSE)</f>
        <v>#N/A</v>
      </c>
      <c r="I3673" s="6" t="e">
        <f>VLOOKUP('Customer Info'!A3665,'Customer Info'!A3665:I4164,5,FALSE)</f>
        <v>#N/A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129</v>
      </c>
      <c r="R3673" s="2" t="s">
        <v>50</v>
      </c>
      <c r="S3673" s="9">
        <f t="shared" si="289"/>
        <v>0.02</v>
      </c>
    </row>
    <row r="3674" spans="1:19" x14ac:dyDescent="0.25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e">
        <f>VLOOKUP('Customer Info'!A3666,'Customer Info'!A3666:I4165,2,FALSE)</f>
        <v>#N/A</v>
      </c>
      <c r="H3674" s="6" t="e">
        <f>VLOOKUP('Customer Info'!A3666,'Customer Info'!A3666:I4166,3,FALSE)</f>
        <v>#N/A</v>
      </c>
      <c r="I3674" s="6" t="e">
        <f>VLOOKUP('Customer Info'!A3666,'Customer Info'!A3666:I4165,5,FALSE)</f>
        <v>#N/A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207</v>
      </c>
      <c r="R3674" s="2" t="s">
        <v>28</v>
      </c>
      <c r="S3674" s="9">
        <f t="shared" si="289"/>
        <v>0.02</v>
      </c>
    </row>
    <row r="3675" spans="1:19" x14ac:dyDescent="0.25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e">
        <f>VLOOKUP('Customer Info'!A3667,'Customer Info'!A3667:I4166,2,FALSE)</f>
        <v>#N/A</v>
      </c>
      <c r="H3675" s="6" t="e">
        <f>VLOOKUP('Customer Info'!A3667,'Customer Info'!A3667:I4167,3,FALSE)</f>
        <v>#N/A</v>
      </c>
      <c r="I3675" s="6" t="e">
        <f>VLOOKUP('Customer Info'!A3667,'Customer Info'!A3667:I4166,5,FALSE)</f>
        <v>#N/A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282</v>
      </c>
      <c r="R3675" s="2" t="s">
        <v>50</v>
      </c>
      <c r="S3675" s="9">
        <f t="shared" si="289"/>
        <v>0.02</v>
      </c>
    </row>
    <row r="3676" spans="1:19" x14ac:dyDescent="0.25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e">
        <f>VLOOKUP('Customer Info'!A3668,'Customer Info'!A3668:I4167,2,FALSE)</f>
        <v>#N/A</v>
      </c>
      <c r="H3676" s="6" t="e">
        <f>VLOOKUP('Customer Info'!A3668,'Customer Info'!A3668:I4168,3,FALSE)</f>
        <v>#N/A</v>
      </c>
      <c r="I3676" s="6" t="e">
        <f>VLOOKUP('Customer Info'!A3668,'Customer Info'!A3668:I4167,5,FALSE)</f>
        <v>#N/A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315</v>
      </c>
      <c r="R3676" s="2" t="s">
        <v>50</v>
      </c>
      <c r="S3676" s="9">
        <f t="shared" si="289"/>
        <v>0.02</v>
      </c>
    </row>
    <row r="3677" spans="1:19" x14ac:dyDescent="0.25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e">
        <f>VLOOKUP('Customer Info'!A3669,'Customer Info'!A3669:I4168,2,FALSE)</f>
        <v>#N/A</v>
      </c>
      <c r="H3677" s="6" t="e">
        <f>VLOOKUP('Customer Info'!A3669,'Customer Info'!A3669:I4169,3,FALSE)</f>
        <v>#N/A</v>
      </c>
      <c r="I3677" s="6" t="e">
        <f>VLOOKUP('Customer Info'!A3669,'Customer Info'!A3669:I4168,5,FALSE)</f>
        <v>#N/A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425</v>
      </c>
      <c r="R3677" s="2" t="s">
        <v>28</v>
      </c>
      <c r="S3677" s="9">
        <f t="shared" si="289"/>
        <v>0.05</v>
      </c>
    </row>
    <row r="3678" spans="1:19" x14ac:dyDescent="0.25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e">
        <f>VLOOKUP('Customer Info'!A3670,'Customer Info'!A3670:I4169,2,FALSE)</f>
        <v>#N/A</v>
      </c>
      <c r="H3678" s="6" t="e">
        <f>VLOOKUP('Customer Info'!A3670,'Customer Info'!A3670:I4170,3,FALSE)</f>
        <v>#N/A</v>
      </c>
      <c r="I3678" s="6" t="e">
        <f>VLOOKUP('Customer Info'!A3670,'Customer Info'!A3670:I4169,5,FALSE)</f>
        <v>#N/A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307</v>
      </c>
      <c r="R3678" s="2" t="s">
        <v>28</v>
      </c>
      <c r="S3678" s="9">
        <f t="shared" si="289"/>
        <v>0.05</v>
      </c>
    </row>
    <row r="3679" spans="1:19" x14ac:dyDescent="0.25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e">
        <f>VLOOKUP('Customer Info'!A3671,'Customer Info'!A3671:I4170,2,FALSE)</f>
        <v>#N/A</v>
      </c>
      <c r="H3679" s="6" t="e">
        <f>VLOOKUP('Customer Info'!A3671,'Customer Info'!A3671:I4171,3,FALSE)</f>
        <v>#N/A</v>
      </c>
      <c r="I3679" s="6" t="e">
        <f>VLOOKUP('Customer Info'!A3671,'Customer Info'!A3671:I4170,5,FALSE)</f>
        <v>#N/A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19</v>
      </c>
      <c r="R3679" s="2" t="s">
        <v>28</v>
      </c>
      <c r="S3679" s="9">
        <f t="shared" si="289"/>
        <v>0.02</v>
      </c>
    </row>
    <row r="3680" spans="1:19" x14ac:dyDescent="0.25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e">
        <f>VLOOKUP('Customer Info'!A3672,'Customer Info'!A3672:I4171,2,FALSE)</f>
        <v>#N/A</v>
      </c>
      <c r="H3680" s="6" t="e">
        <f>VLOOKUP('Customer Info'!A3672,'Customer Info'!A3672:I4172,3,FALSE)</f>
        <v>#N/A</v>
      </c>
      <c r="I3680" s="6" t="e">
        <f>VLOOKUP('Customer Info'!A3672,'Customer Info'!A3672:I4171,5,FALSE)</f>
        <v>#N/A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89</v>
      </c>
      <c r="R3680" s="2" t="s">
        <v>50</v>
      </c>
      <c r="S3680" s="9">
        <f t="shared" si="289"/>
        <v>0.02</v>
      </c>
    </row>
    <row r="3681" spans="1:19" x14ac:dyDescent="0.25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e">
        <f>VLOOKUP('Customer Info'!A3673,'Customer Info'!A3673:I4172,2,FALSE)</f>
        <v>#N/A</v>
      </c>
      <c r="H3681" s="6" t="e">
        <f>VLOOKUP('Customer Info'!A3673,'Customer Info'!A3673:I4173,3,FALSE)</f>
        <v>#N/A</v>
      </c>
      <c r="I3681" s="6" t="e">
        <f>VLOOKUP('Customer Info'!A3673,'Customer Info'!A3673:I4172,5,FALSE)</f>
        <v>#N/A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134</v>
      </c>
      <c r="R3681" s="2" t="s">
        <v>28</v>
      </c>
      <c r="S3681" s="9">
        <f t="shared" si="289"/>
        <v>0.02</v>
      </c>
    </row>
    <row r="3682" spans="1:19" x14ac:dyDescent="0.25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e">
        <f>VLOOKUP('Customer Info'!A3674,'Customer Info'!A3674:I4173,2,FALSE)</f>
        <v>#N/A</v>
      </c>
      <c r="H3682" s="6" t="e">
        <f>VLOOKUP('Customer Info'!A3674,'Customer Info'!A3674:I4174,3,FALSE)</f>
        <v>#N/A</v>
      </c>
      <c r="I3682" s="6" t="e">
        <f>VLOOKUP('Customer Info'!A3674,'Customer Info'!A3674:I4173,5,FALSE)</f>
        <v>#N/A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1106</v>
      </c>
      <c r="R3682" s="2" t="s">
        <v>28</v>
      </c>
      <c r="S3682" s="9">
        <f t="shared" si="289"/>
        <v>0.05</v>
      </c>
    </row>
    <row r="3683" spans="1:19" x14ac:dyDescent="0.25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e">
        <f>VLOOKUP('Customer Info'!A3675,'Customer Info'!A3675:I4174,2,FALSE)</f>
        <v>#N/A</v>
      </c>
      <c r="H3683" s="6" t="e">
        <f>VLOOKUP('Customer Info'!A3675,'Customer Info'!A3675:I4175,3,FALSE)</f>
        <v>#N/A</v>
      </c>
      <c r="I3683" s="6" t="e">
        <f>VLOOKUP('Customer Info'!A3675,'Customer Info'!A3675:I4174,5,FALSE)</f>
        <v>#N/A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422</v>
      </c>
      <c r="R3683" s="2" t="s">
        <v>28</v>
      </c>
      <c r="S3683" s="9">
        <f t="shared" si="289"/>
        <v>0.05</v>
      </c>
    </row>
    <row r="3684" spans="1:19" x14ac:dyDescent="0.25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e">
        <f>VLOOKUP('Customer Info'!A3676,'Customer Info'!A3676:I4175,2,FALSE)</f>
        <v>#N/A</v>
      </c>
      <c r="H3684" s="6" t="e">
        <f>VLOOKUP('Customer Info'!A3676,'Customer Info'!A3676:I4176,3,FALSE)</f>
        <v>#N/A</v>
      </c>
      <c r="I3684" s="6" t="e">
        <f>VLOOKUP('Customer Info'!A3676,'Customer Info'!A3676:I4175,5,FALSE)</f>
        <v>#N/A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3469</v>
      </c>
      <c r="R3684" s="2" t="s">
        <v>28</v>
      </c>
      <c r="S3684" s="9">
        <f t="shared" si="289"/>
        <v>7.0000000000000007E-2</v>
      </c>
    </row>
    <row r="3685" spans="1:19" x14ac:dyDescent="0.25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e">
        <f>VLOOKUP('Customer Info'!A3677,'Customer Info'!A3677:I4176,2,FALSE)</f>
        <v>#N/A</v>
      </c>
      <c r="H3685" s="6" t="e">
        <f>VLOOKUP('Customer Info'!A3677,'Customer Info'!A3677:I4177,3,FALSE)</f>
        <v>#N/A</v>
      </c>
      <c r="I3685" s="6" t="e">
        <f>VLOOKUP('Customer Info'!A3677,'Customer Info'!A3677:I4176,5,FALSE)</f>
        <v>#N/A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18</v>
      </c>
      <c r="R3685" s="2" t="s">
        <v>50</v>
      </c>
      <c r="S3685" s="9">
        <f t="shared" si="289"/>
        <v>0.02</v>
      </c>
    </row>
    <row r="3686" spans="1:19" x14ac:dyDescent="0.25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e">
        <f>VLOOKUP('Customer Info'!A3678,'Customer Info'!A3678:I4177,2,FALSE)</f>
        <v>#N/A</v>
      </c>
      <c r="H3686" s="6" t="e">
        <f>VLOOKUP('Customer Info'!A3678,'Customer Info'!A3678:I4178,3,FALSE)</f>
        <v>#N/A</v>
      </c>
      <c r="I3686" s="6" t="e">
        <f>VLOOKUP('Customer Info'!A3678,'Customer Info'!A3678:I4177,5,FALSE)</f>
        <v>#N/A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42</v>
      </c>
      <c r="R3686" s="2" t="s">
        <v>28</v>
      </c>
      <c r="S3686" s="9">
        <f t="shared" si="289"/>
        <v>0.02</v>
      </c>
    </row>
    <row r="3687" spans="1:19" x14ac:dyDescent="0.25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e">
        <f>VLOOKUP('Customer Info'!A3679,'Customer Info'!A3679:I4178,2,FALSE)</f>
        <v>#N/A</v>
      </c>
      <c r="H3687" s="6" t="e">
        <f>VLOOKUP('Customer Info'!A3679,'Customer Info'!A3679:I4179,3,FALSE)</f>
        <v>#N/A</v>
      </c>
      <c r="I3687" s="6" t="e">
        <f>VLOOKUP('Customer Info'!A3679,'Customer Info'!A3679:I4178,5,FALSE)</f>
        <v>#N/A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569</v>
      </c>
      <c r="R3687" s="2" t="s">
        <v>26</v>
      </c>
      <c r="S3687" s="9">
        <f t="shared" si="289"/>
        <v>0.05</v>
      </c>
    </row>
    <row r="3688" spans="1:19" x14ac:dyDescent="0.25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e">
        <f>VLOOKUP('Customer Info'!A3680,'Customer Info'!A3680:I4179,2,FALSE)</f>
        <v>#N/A</v>
      </c>
      <c r="H3688" s="6" t="e">
        <f>VLOOKUP('Customer Info'!A3680,'Customer Info'!A3680:I4180,3,FALSE)</f>
        <v>#N/A</v>
      </c>
      <c r="I3688" s="6" t="e">
        <f>VLOOKUP('Customer Info'!A3680,'Customer Info'!A3680:I4179,5,FALSE)</f>
        <v>#N/A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308</v>
      </c>
      <c r="R3688" s="2" t="s">
        <v>26</v>
      </c>
      <c r="S3688" s="9">
        <f t="shared" si="289"/>
        <v>0.05</v>
      </c>
    </row>
    <row r="3689" spans="1:19" x14ac:dyDescent="0.25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e">
        <f>VLOOKUP('Customer Info'!A3681,'Customer Info'!A3681:I4180,2,FALSE)</f>
        <v>#N/A</v>
      </c>
      <c r="H3689" s="6" t="e">
        <f>VLOOKUP('Customer Info'!A3681,'Customer Info'!A3681:I4181,3,FALSE)</f>
        <v>#N/A</v>
      </c>
      <c r="I3689" s="6" t="e">
        <f>VLOOKUP('Customer Info'!A3681,'Customer Info'!A3681:I4180,5,FALSE)</f>
        <v>#N/A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40</v>
      </c>
      <c r="R3689" s="2" t="s">
        <v>28</v>
      </c>
      <c r="S3689" s="9">
        <f t="shared" si="289"/>
        <v>0.02</v>
      </c>
    </row>
    <row r="3690" spans="1:19" x14ac:dyDescent="0.25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e">
        <f>VLOOKUP('Customer Info'!A3682,'Customer Info'!A3682:I4181,2,FALSE)</f>
        <v>#N/A</v>
      </c>
      <c r="H3690" s="6" t="e">
        <f>VLOOKUP('Customer Info'!A3682,'Customer Info'!A3682:I4182,3,FALSE)</f>
        <v>#N/A</v>
      </c>
      <c r="I3690" s="6" t="e">
        <f>VLOOKUP('Customer Info'!A3682,'Customer Info'!A3682:I4181,5,FALSE)</f>
        <v>#N/A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356</v>
      </c>
      <c r="R3690" s="2" t="s">
        <v>26</v>
      </c>
      <c r="S3690" s="9">
        <f t="shared" si="289"/>
        <v>0.05</v>
      </c>
    </row>
    <row r="3691" spans="1:19" x14ac:dyDescent="0.25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e">
        <f>VLOOKUP('Customer Info'!A3683,'Customer Info'!A3683:I4182,2,FALSE)</f>
        <v>#N/A</v>
      </c>
      <c r="H3691" s="6" t="e">
        <f>VLOOKUP('Customer Info'!A3683,'Customer Info'!A3683:I4183,3,FALSE)</f>
        <v>#N/A</v>
      </c>
      <c r="I3691" s="6" t="e">
        <f>VLOOKUP('Customer Info'!A3683,'Customer Info'!A3683:I4182,5,FALSE)</f>
        <v>#N/A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413</v>
      </c>
      <c r="R3691" s="2" t="s">
        <v>28</v>
      </c>
      <c r="S3691" s="9">
        <f t="shared" si="289"/>
        <v>0.02</v>
      </c>
    </row>
    <row r="3692" spans="1:19" x14ac:dyDescent="0.25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e">
        <f>VLOOKUP('Customer Info'!A3684,'Customer Info'!A3684:I4183,2,FALSE)</f>
        <v>#N/A</v>
      </c>
      <c r="H3692" s="6" t="e">
        <f>VLOOKUP('Customer Info'!A3684,'Customer Info'!A3684:I4184,3,FALSE)</f>
        <v>#N/A</v>
      </c>
      <c r="I3692" s="6" t="e">
        <f>VLOOKUP('Customer Info'!A3684,'Customer Info'!A3684:I4183,5,FALSE)</f>
        <v>#N/A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2732</v>
      </c>
      <c r="R3692" s="2" t="s">
        <v>50</v>
      </c>
      <c r="S3692" s="9">
        <f t="shared" si="289"/>
        <v>7.0000000000000007E-2</v>
      </c>
    </row>
    <row r="3693" spans="1:19" x14ac:dyDescent="0.25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e">
        <f>VLOOKUP('Customer Info'!A3685,'Customer Info'!A3685:I4184,2,FALSE)</f>
        <v>#N/A</v>
      </c>
      <c r="H3693" s="6" t="e">
        <f>VLOOKUP('Customer Info'!A3685,'Customer Info'!A3685:I4185,3,FALSE)</f>
        <v>#N/A</v>
      </c>
      <c r="I3693" s="6" t="e">
        <f>VLOOKUP('Customer Info'!A3685,'Customer Info'!A3685:I4184,5,FALSE)</f>
        <v>#N/A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973</v>
      </c>
      <c r="R3693" s="2" t="s">
        <v>50</v>
      </c>
      <c r="S3693" s="9">
        <f t="shared" si="289"/>
        <v>0.05</v>
      </c>
    </row>
    <row r="3694" spans="1:19" x14ac:dyDescent="0.25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e">
        <f>VLOOKUP('Customer Info'!A3686,'Customer Info'!A3686:I4185,2,FALSE)</f>
        <v>#N/A</v>
      </c>
      <c r="H3694" s="6" t="e">
        <f>VLOOKUP('Customer Info'!A3686,'Customer Info'!A3686:I4186,3,FALSE)</f>
        <v>#N/A</v>
      </c>
      <c r="I3694" s="6" t="e">
        <f>VLOOKUP('Customer Info'!A3686,'Customer Info'!A3686:I4185,5,FALSE)</f>
        <v>#N/A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1258</v>
      </c>
      <c r="R3694" s="2" t="s">
        <v>28</v>
      </c>
      <c r="S3694" s="9">
        <f t="shared" si="289"/>
        <v>0.05</v>
      </c>
    </row>
    <row r="3695" spans="1:19" x14ac:dyDescent="0.25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e">
        <f>VLOOKUP('Customer Info'!A3687,'Customer Info'!A3687:I4186,2,FALSE)</f>
        <v>#N/A</v>
      </c>
      <c r="H3695" s="6" t="e">
        <f>VLOOKUP('Customer Info'!A3687,'Customer Info'!A3687:I4187,3,FALSE)</f>
        <v>#N/A</v>
      </c>
      <c r="I3695" s="6" t="e">
        <f>VLOOKUP('Customer Info'!A3687,'Customer Info'!A3687:I4186,5,FALSE)</f>
        <v>#N/A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66</v>
      </c>
      <c r="R3695" s="2" t="s">
        <v>28</v>
      </c>
      <c r="S3695" s="9">
        <f t="shared" si="289"/>
        <v>0.02</v>
      </c>
    </row>
    <row r="3696" spans="1:19" x14ac:dyDescent="0.25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e">
        <f>VLOOKUP('Customer Info'!A3688,'Customer Info'!A3688:I4187,2,FALSE)</f>
        <v>#N/A</v>
      </c>
      <c r="H3696" s="6" t="e">
        <f>VLOOKUP('Customer Info'!A3688,'Customer Info'!A3688:I4188,3,FALSE)</f>
        <v>#N/A</v>
      </c>
      <c r="I3696" s="6" t="e">
        <f>VLOOKUP('Customer Info'!A3688,'Customer Info'!A3688:I4187,5,FALSE)</f>
        <v>#N/A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117</v>
      </c>
      <c r="R3696" s="2" t="s">
        <v>50</v>
      </c>
      <c r="S3696" s="9">
        <f t="shared" si="289"/>
        <v>0.02</v>
      </c>
    </row>
    <row r="3697" spans="1:19" x14ac:dyDescent="0.25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e">
        <f>VLOOKUP('Customer Info'!A3689,'Customer Info'!A3689:I4188,2,FALSE)</f>
        <v>#N/A</v>
      </c>
      <c r="H3697" s="6" t="e">
        <f>VLOOKUP('Customer Info'!A3689,'Customer Info'!A3689:I4189,3,FALSE)</f>
        <v>#N/A</v>
      </c>
      <c r="I3697" s="6" t="e">
        <f>VLOOKUP('Customer Info'!A3689,'Customer Info'!A3689:I4188,5,FALSE)</f>
        <v>#N/A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118</v>
      </c>
      <c r="R3697" s="2" t="s">
        <v>26</v>
      </c>
      <c r="S3697" s="9">
        <f t="shared" si="289"/>
        <v>0.02</v>
      </c>
    </row>
    <row r="3698" spans="1:19" x14ac:dyDescent="0.25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e">
        <f>VLOOKUP('Customer Info'!A3690,'Customer Info'!A3690:I4189,2,FALSE)</f>
        <v>#N/A</v>
      </c>
      <c r="H3698" s="6" t="e">
        <f>VLOOKUP('Customer Info'!A3690,'Customer Info'!A3690:I4190,3,FALSE)</f>
        <v>#N/A</v>
      </c>
      <c r="I3698" s="6" t="e">
        <f>VLOOKUP('Customer Info'!A3690,'Customer Info'!A3690:I4189,5,FALSE)</f>
        <v>#N/A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18</v>
      </c>
      <c r="R3698" s="2" t="s">
        <v>28</v>
      </c>
      <c r="S3698" s="9">
        <f t="shared" si="289"/>
        <v>0.02</v>
      </c>
    </row>
    <row r="3699" spans="1:19" x14ac:dyDescent="0.25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e">
        <f>VLOOKUP('Customer Info'!A3691,'Customer Info'!A3691:I4190,2,FALSE)</f>
        <v>#N/A</v>
      </c>
      <c r="H3699" s="6" t="e">
        <f>VLOOKUP('Customer Info'!A3691,'Customer Info'!A3691:I4191,3,FALSE)</f>
        <v>#N/A</v>
      </c>
      <c r="I3699" s="6" t="e">
        <f>VLOOKUP('Customer Info'!A3691,'Customer Info'!A3691:I4190,5,FALSE)</f>
        <v>#N/A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687</v>
      </c>
      <c r="R3699" s="2" t="s">
        <v>26</v>
      </c>
      <c r="S3699" s="9">
        <f t="shared" si="289"/>
        <v>0.05</v>
      </c>
    </row>
    <row r="3700" spans="1:19" x14ac:dyDescent="0.25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e">
        <f>VLOOKUP('Customer Info'!A3692,'Customer Info'!A3692:I4191,2,FALSE)</f>
        <v>#N/A</v>
      </c>
      <c r="H3700" s="6" t="e">
        <f>VLOOKUP('Customer Info'!A3692,'Customer Info'!A3692:I4192,3,FALSE)</f>
        <v>#N/A</v>
      </c>
      <c r="I3700" s="6" t="e">
        <f>VLOOKUP('Customer Info'!A3692,'Customer Info'!A3692:I4191,5,FALSE)</f>
        <v>#N/A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1149</v>
      </c>
      <c r="R3700" s="2" t="s">
        <v>28</v>
      </c>
      <c r="S3700" s="9">
        <f t="shared" si="289"/>
        <v>0.05</v>
      </c>
    </row>
    <row r="3701" spans="1:19" x14ac:dyDescent="0.25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e">
        <f>VLOOKUP('Customer Info'!A3693,'Customer Info'!A3693:I4192,2,FALSE)</f>
        <v>#N/A</v>
      </c>
      <c r="H3701" s="6" t="e">
        <f>VLOOKUP('Customer Info'!A3693,'Customer Info'!A3693:I4193,3,FALSE)</f>
        <v>#N/A</v>
      </c>
      <c r="I3701" s="6" t="e">
        <f>VLOOKUP('Customer Info'!A3693,'Customer Info'!A3693:I4192,5,FALSE)</f>
        <v>#N/A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1387</v>
      </c>
      <c r="R3701" s="2" t="s">
        <v>50</v>
      </c>
      <c r="S3701" s="9">
        <f t="shared" si="289"/>
        <v>0.05</v>
      </c>
    </row>
    <row r="3702" spans="1:19" x14ac:dyDescent="0.25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e">
        <f>VLOOKUP('Customer Info'!A3694,'Customer Info'!A3694:I4193,2,FALSE)</f>
        <v>#N/A</v>
      </c>
      <c r="H3702" s="6" t="e">
        <f>VLOOKUP('Customer Info'!A3694,'Customer Info'!A3694:I4194,3,FALSE)</f>
        <v>#N/A</v>
      </c>
      <c r="I3702" s="6" t="e">
        <f>VLOOKUP('Customer Info'!A3694,'Customer Info'!A3694:I4193,5,FALSE)</f>
        <v>#N/A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16</v>
      </c>
      <c r="R3702" s="2" t="s">
        <v>50</v>
      </c>
      <c r="S3702" s="9">
        <f t="shared" si="289"/>
        <v>0.02</v>
      </c>
    </row>
    <row r="3703" spans="1:19" x14ac:dyDescent="0.25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e">
        <f>VLOOKUP('Customer Info'!A3695,'Customer Info'!A3695:I4194,2,FALSE)</f>
        <v>#N/A</v>
      </c>
      <c r="H3703" s="6" t="e">
        <f>VLOOKUP('Customer Info'!A3695,'Customer Info'!A3695:I4195,3,FALSE)</f>
        <v>#N/A</v>
      </c>
      <c r="I3703" s="6" t="e">
        <f>VLOOKUP('Customer Info'!A3695,'Customer Info'!A3695:I4194,5,FALSE)</f>
        <v>#N/A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135</v>
      </c>
      <c r="R3703" s="2" t="s">
        <v>28</v>
      </c>
      <c r="S3703" s="9">
        <f t="shared" si="289"/>
        <v>0.05</v>
      </c>
    </row>
    <row r="3704" spans="1:19" x14ac:dyDescent="0.25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e">
        <f>VLOOKUP('Customer Info'!A3696,'Customer Info'!A3696:I4195,2,FALSE)</f>
        <v>#N/A</v>
      </c>
      <c r="H3704" s="6" t="e">
        <f>VLOOKUP('Customer Info'!A3696,'Customer Info'!A3696:I4196,3,FALSE)</f>
        <v>#N/A</v>
      </c>
      <c r="I3704" s="6" t="e">
        <f>VLOOKUP('Customer Info'!A3696,'Customer Info'!A3696:I4195,5,FALSE)</f>
        <v>#N/A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48</v>
      </c>
      <c r="R3704" s="2" t="s">
        <v>28</v>
      </c>
      <c r="S3704" s="9">
        <f t="shared" si="289"/>
        <v>0.02</v>
      </c>
    </row>
    <row r="3705" spans="1:19" x14ac:dyDescent="0.25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e">
        <f>VLOOKUP('Customer Info'!A3697,'Customer Info'!A3697:I4196,2,FALSE)</f>
        <v>#N/A</v>
      </c>
      <c r="H3705" s="6" t="e">
        <f>VLOOKUP('Customer Info'!A3697,'Customer Info'!A3697:I4197,3,FALSE)</f>
        <v>#N/A</v>
      </c>
      <c r="I3705" s="6" t="e">
        <f>VLOOKUP('Customer Info'!A3697,'Customer Info'!A3697:I4196,5,FALSE)</f>
        <v>#N/A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48</v>
      </c>
      <c r="R3705" s="2" t="s">
        <v>28</v>
      </c>
      <c r="S3705" s="9">
        <f t="shared" si="289"/>
        <v>0.02</v>
      </c>
    </row>
    <row r="3706" spans="1:19" x14ac:dyDescent="0.25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e">
        <f>VLOOKUP('Customer Info'!A3698,'Customer Info'!A3698:I4197,2,FALSE)</f>
        <v>#N/A</v>
      </c>
      <c r="H3706" s="6" t="e">
        <f>VLOOKUP('Customer Info'!A3698,'Customer Info'!A3698:I4198,3,FALSE)</f>
        <v>#N/A</v>
      </c>
      <c r="I3706" s="6" t="e">
        <f>VLOOKUP('Customer Info'!A3698,'Customer Info'!A3698:I4197,5,FALSE)</f>
        <v>#N/A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1039</v>
      </c>
      <c r="R3706" s="2" t="s">
        <v>50</v>
      </c>
      <c r="S3706" s="9">
        <f t="shared" si="289"/>
        <v>0.05</v>
      </c>
    </row>
    <row r="3707" spans="1:19" x14ac:dyDescent="0.25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e">
        <f>VLOOKUP('Customer Info'!A3699,'Customer Info'!A3699:I4198,2,FALSE)</f>
        <v>#N/A</v>
      </c>
      <c r="H3707" s="6" t="e">
        <f>VLOOKUP('Customer Info'!A3699,'Customer Info'!A3699:I4199,3,FALSE)</f>
        <v>#N/A</v>
      </c>
      <c r="I3707" s="6" t="e">
        <f>VLOOKUP('Customer Info'!A3699,'Customer Info'!A3699:I4198,5,FALSE)</f>
        <v>#N/A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98</v>
      </c>
      <c r="R3707" s="2" t="s">
        <v>50</v>
      </c>
      <c r="S3707" s="9">
        <f t="shared" si="289"/>
        <v>0.02</v>
      </c>
    </row>
    <row r="3708" spans="1:19" x14ac:dyDescent="0.25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e">
        <f>VLOOKUP('Customer Info'!A3700,'Customer Info'!A3700:I4199,2,FALSE)</f>
        <v>#N/A</v>
      </c>
      <c r="H3708" s="6" t="e">
        <f>VLOOKUP('Customer Info'!A3700,'Customer Info'!A3700:I4200,3,FALSE)</f>
        <v>#N/A</v>
      </c>
      <c r="I3708" s="6" t="e">
        <f>VLOOKUP('Customer Info'!A3700,'Customer Info'!A3700:I4199,5,FALSE)</f>
        <v>#N/A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793</v>
      </c>
      <c r="R3708" s="2" t="s">
        <v>28</v>
      </c>
      <c r="S3708" s="9">
        <f t="shared" si="289"/>
        <v>0.05</v>
      </c>
    </row>
    <row r="3709" spans="1:19" x14ac:dyDescent="0.25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e">
        <f>VLOOKUP('Customer Info'!A3701,'Customer Info'!A3701:I4200,2,FALSE)</f>
        <v>#N/A</v>
      </c>
      <c r="H3709" s="6" t="e">
        <f>VLOOKUP('Customer Info'!A3701,'Customer Info'!A3701:I4201,3,FALSE)</f>
        <v>#N/A</v>
      </c>
      <c r="I3709" s="6" t="e">
        <f>VLOOKUP('Customer Info'!A3701,'Customer Info'!A3701:I4200,5,FALSE)</f>
        <v>#N/A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398</v>
      </c>
      <c r="R3709" s="2" t="s">
        <v>28</v>
      </c>
      <c r="S3709" s="9">
        <f t="shared" si="289"/>
        <v>0.05</v>
      </c>
    </row>
    <row r="3710" spans="1:19" x14ac:dyDescent="0.25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e">
        <f>VLOOKUP('Customer Info'!A3702,'Customer Info'!A3702:I4201,2,FALSE)</f>
        <v>#N/A</v>
      </c>
      <c r="H3710" s="6" t="e">
        <f>VLOOKUP('Customer Info'!A3702,'Customer Info'!A3702:I4202,3,FALSE)</f>
        <v>#N/A</v>
      </c>
      <c r="I3710" s="6" t="e">
        <f>VLOOKUP('Customer Info'!A3702,'Customer Info'!A3702:I4201,5,FALSE)</f>
        <v>#N/A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254</v>
      </c>
      <c r="R3710" s="2" t="s">
        <v>28</v>
      </c>
      <c r="S3710" s="9">
        <f t="shared" si="289"/>
        <v>0.02</v>
      </c>
    </row>
    <row r="3711" spans="1:19" x14ac:dyDescent="0.25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e">
        <f>VLOOKUP('Customer Info'!A3703,'Customer Info'!A3703:I4202,2,FALSE)</f>
        <v>#N/A</v>
      </c>
      <c r="H3711" s="6" t="e">
        <f>VLOOKUP('Customer Info'!A3703,'Customer Info'!A3703:I4203,3,FALSE)</f>
        <v>#N/A</v>
      </c>
      <c r="I3711" s="6" t="e">
        <f>VLOOKUP('Customer Info'!A3703,'Customer Info'!A3703:I4202,5,FALSE)</f>
        <v>#N/A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261</v>
      </c>
      <c r="R3711" s="2" t="s">
        <v>28</v>
      </c>
      <c r="S3711" s="9">
        <f t="shared" si="289"/>
        <v>0.05</v>
      </c>
    </row>
    <row r="3712" spans="1:19" x14ac:dyDescent="0.25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e">
        <f>VLOOKUP('Customer Info'!A3704,'Customer Info'!A3704:I4203,2,FALSE)</f>
        <v>#N/A</v>
      </c>
      <c r="H3712" s="6" t="e">
        <f>VLOOKUP('Customer Info'!A3704,'Customer Info'!A3704:I4204,3,FALSE)</f>
        <v>#N/A</v>
      </c>
      <c r="I3712" s="6" t="e">
        <f>VLOOKUP('Customer Info'!A3704,'Customer Info'!A3704:I4203,5,FALSE)</f>
        <v>#N/A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72</v>
      </c>
      <c r="R3712" s="2" t="s">
        <v>50</v>
      </c>
      <c r="S3712" s="9">
        <f t="shared" si="289"/>
        <v>0.02</v>
      </c>
    </row>
    <row r="3713" spans="1:19" x14ac:dyDescent="0.25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e">
        <f>VLOOKUP('Customer Info'!A3705,'Customer Info'!A3705:I4204,2,FALSE)</f>
        <v>#N/A</v>
      </c>
      <c r="H3713" s="6" t="e">
        <f>VLOOKUP('Customer Info'!A3705,'Customer Info'!A3705:I4205,3,FALSE)</f>
        <v>#N/A</v>
      </c>
      <c r="I3713" s="6" t="e">
        <f>VLOOKUP('Customer Info'!A3705,'Customer Info'!A3705:I4204,5,FALSE)</f>
        <v>#N/A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897</v>
      </c>
      <c r="R3713" s="2" t="s">
        <v>50</v>
      </c>
      <c r="S3713" s="9">
        <f t="shared" si="289"/>
        <v>0.05</v>
      </c>
    </row>
    <row r="3714" spans="1:19" x14ac:dyDescent="0.25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e">
        <f>VLOOKUP('Customer Info'!A3706,'Customer Info'!A3706:I4205,2,FALSE)</f>
        <v>#N/A</v>
      </c>
      <c r="H3714" s="6" t="e">
        <f>VLOOKUP('Customer Info'!A3706,'Customer Info'!A3706:I4206,3,FALSE)</f>
        <v>#N/A</v>
      </c>
      <c r="I3714" s="6" t="e">
        <f>VLOOKUP('Customer Info'!A3706,'Customer Info'!A3706:I4205,5,FALSE)</f>
        <v>#N/A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1136</v>
      </c>
      <c r="R3714" s="2" t="s">
        <v>28</v>
      </c>
      <c r="S3714" s="9">
        <f t="shared" si="289"/>
        <v>0.05</v>
      </c>
    </row>
    <row r="3715" spans="1:19" x14ac:dyDescent="0.25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e">
        <f>VLOOKUP('Customer Info'!A3707,'Customer Info'!A3707:I4206,2,FALSE)</f>
        <v>#N/A</v>
      </c>
      <c r="H3715" s="6" t="e">
        <f>VLOOKUP('Customer Info'!A3707,'Customer Info'!A3707:I4207,3,FALSE)</f>
        <v>#N/A</v>
      </c>
      <c r="I3715" s="6" t="e">
        <f>VLOOKUP('Customer Info'!A3707,'Customer Info'!A3707:I4206,5,FALSE)</f>
        <v>#N/A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508</v>
      </c>
      <c r="R3715" s="2" t="s">
        <v>26</v>
      </c>
      <c r="S3715" s="9">
        <f t="shared" si="289"/>
        <v>0.05</v>
      </c>
    </row>
    <row r="3716" spans="1:19" x14ac:dyDescent="0.25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e">
        <f>VLOOKUP('Customer Info'!A3708,'Customer Info'!A3708:I4207,2,FALSE)</f>
        <v>#N/A</v>
      </c>
      <c r="H3716" s="6" t="e">
        <f>VLOOKUP('Customer Info'!A3708,'Customer Info'!A3708:I4208,3,FALSE)</f>
        <v>#N/A</v>
      </c>
      <c r="I3716" s="6" t="e">
        <f>VLOOKUP('Customer Info'!A3708,'Customer Info'!A3708:I4207,5,FALSE)</f>
        <v>#N/A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117</v>
      </c>
      <c r="R3716" s="2" t="s">
        <v>28</v>
      </c>
      <c r="S3716" s="9">
        <f t="shared" si="289"/>
        <v>0.02</v>
      </c>
    </row>
    <row r="3717" spans="1:19" x14ac:dyDescent="0.25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e">
        <f>VLOOKUP('Customer Info'!A3709,'Customer Info'!A3709:I4208,2,FALSE)</f>
        <v>#N/A</v>
      </c>
      <c r="H3717" s="6" t="e">
        <f>VLOOKUP('Customer Info'!A3709,'Customer Info'!A3709:I4209,3,FALSE)</f>
        <v>#N/A</v>
      </c>
      <c r="I3717" s="6" t="e">
        <f>VLOOKUP('Customer Info'!A3709,'Customer Info'!A3709:I4208,5,FALSE)</f>
        <v>#N/A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742</v>
      </c>
      <c r="R3717" s="2" t="s">
        <v>28</v>
      </c>
      <c r="S3717" s="9">
        <f t="shared" si="289"/>
        <v>0.05</v>
      </c>
    </row>
    <row r="3718" spans="1:19" x14ac:dyDescent="0.25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e">
        <f>VLOOKUP('Customer Info'!A3710,'Customer Info'!A3710:I4209,2,FALSE)</f>
        <v>#N/A</v>
      </c>
      <c r="H3718" s="6" t="e">
        <f>VLOOKUP('Customer Info'!A3710,'Customer Info'!A3710:I4210,3,FALSE)</f>
        <v>#N/A</v>
      </c>
      <c r="I3718" s="6" t="e">
        <f>VLOOKUP('Customer Info'!A3710,'Customer Info'!A3710:I4209,5,FALSE)</f>
        <v>#N/A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47</v>
      </c>
      <c r="R3718" s="2" t="s">
        <v>50</v>
      </c>
      <c r="S3718" s="9">
        <f t="shared" si="289"/>
        <v>0.02</v>
      </c>
    </row>
    <row r="3719" spans="1:19" x14ac:dyDescent="0.25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e">
        <f>VLOOKUP('Customer Info'!A3711,'Customer Info'!A3711:I4210,2,FALSE)</f>
        <v>#N/A</v>
      </c>
      <c r="H3719" s="6" t="e">
        <f>VLOOKUP('Customer Info'!A3711,'Customer Info'!A3711:I4211,3,FALSE)</f>
        <v>#N/A</v>
      </c>
      <c r="I3719" s="6" t="e">
        <f>VLOOKUP('Customer Info'!A3711,'Customer Info'!A3711:I4210,5,FALSE)</f>
        <v>#N/A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265</v>
      </c>
      <c r="R3719" s="2" t="s">
        <v>50</v>
      </c>
      <c r="S3719" s="9">
        <f t="shared" si="289"/>
        <v>0.05</v>
      </c>
    </row>
    <row r="3720" spans="1:19" x14ac:dyDescent="0.25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e">
        <f>VLOOKUP('Customer Info'!A3712,'Customer Info'!A3712:I4211,2,FALSE)</f>
        <v>#N/A</v>
      </c>
      <c r="H3720" s="6" t="e">
        <f>VLOOKUP('Customer Info'!A3712,'Customer Info'!A3712:I4212,3,FALSE)</f>
        <v>#N/A</v>
      </c>
      <c r="I3720" s="6" t="e">
        <f>VLOOKUP('Customer Info'!A3712,'Customer Info'!A3712:I4211,5,FALSE)</f>
        <v>#N/A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432</v>
      </c>
      <c r="R3720" s="2" t="s">
        <v>28</v>
      </c>
      <c r="S3720" s="9">
        <f t="shared" si="289"/>
        <v>0.05</v>
      </c>
    </row>
    <row r="3721" spans="1:19" x14ac:dyDescent="0.25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e">
        <f>VLOOKUP('Customer Info'!A3713,'Customer Info'!A3713:I4212,2,FALSE)</f>
        <v>#N/A</v>
      </c>
      <c r="H3721" s="6" t="e">
        <f>VLOOKUP('Customer Info'!A3713,'Customer Info'!A3713:I4213,3,FALSE)</f>
        <v>#N/A</v>
      </c>
      <c r="I3721" s="6" t="e">
        <f>VLOOKUP('Customer Info'!A3713,'Customer Info'!A3713:I4212,5,FALSE)</f>
        <v>#N/A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132</v>
      </c>
      <c r="R3721" s="2" t="s">
        <v>50</v>
      </c>
      <c r="S3721" s="9">
        <f t="shared" si="289"/>
        <v>0.02</v>
      </c>
    </row>
    <row r="3722" spans="1:19" x14ac:dyDescent="0.25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e">
        <f>VLOOKUP('Customer Info'!A3714,'Customer Info'!A3714:I4213,2,FALSE)</f>
        <v>#N/A</v>
      </c>
      <c r="H3722" s="6" t="e">
        <f>VLOOKUP('Customer Info'!A3714,'Customer Info'!A3714:I4214,3,FALSE)</f>
        <v>#N/A</v>
      </c>
      <c r="I3722" s="6" t="e">
        <f>VLOOKUP('Customer Info'!A3714,'Customer Info'!A3714:I4213,5,FALSE)</f>
        <v>#N/A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52</v>
      </c>
      <c r="R3722" s="2" t="s">
        <v>28</v>
      </c>
      <c r="S3722" s="9">
        <f t="shared" si="289"/>
        <v>0.02</v>
      </c>
    </row>
    <row r="3723" spans="1:19" x14ac:dyDescent="0.25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e">
        <f>VLOOKUP('Customer Info'!A3715,'Customer Info'!A3715:I4214,2,FALSE)</f>
        <v>#N/A</v>
      </c>
      <c r="H3723" s="6" t="e">
        <f>VLOOKUP('Customer Info'!A3715,'Customer Info'!A3715:I4215,3,FALSE)</f>
        <v>#N/A</v>
      </c>
      <c r="I3723" s="6" t="e">
        <f>VLOOKUP('Customer Info'!A3715,'Customer Info'!A3715:I4214,5,FALSE)</f>
        <v>#N/A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8">
        <f t="shared" ref="P3723:P3786" si="292">N3723+O3723</f>
        <v>197</v>
      </c>
      <c r="Q3723" s="8">
        <f t="shared" ref="Q3723:Q3786" si="293">P3723-M3723</f>
        <v>45</v>
      </c>
      <c r="R3723" s="2" t="s">
        <v>28</v>
      </c>
      <c r="S3723" s="9">
        <f t="shared" ref="S3723:S3786" si="294">VLOOKUP(P3723,$T$2:$U$7,2,TRUE)</f>
        <v>0.02</v>
      </c>
    </row>
    <row r="3724" spans="1:19" x14ac:dyDescent="0.25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e">
        <f>VLOOKUP('Customer Info'!A3716,'Customer Info'!A3716:I4215,2,FALSE)</f>
        <v>#N/A</v>
      </c>
      <c r="H3724" s="6" t="e">
        <f>VLOOKUP('Customer Info'!A3716,'Customer Info'!A3716:I4216,3,FALSE)</f>
        <v>#N/A</v>
      </c>
      <c r="I3724" s="6" t="e">
        <f>VLOOKUP('Customer Info'!A3716,'Customer Info'!A3716:I4215,5,FALSE)</f>
        <v>#N/A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33</v>
      </c>
      <c r="R3724" s="2" t="s">
        <v>28</v>
      </c>
      <c r="S3724" s="9">
        <f t="shared" si="294"/>
        <v>0.02</v>
      </c>
    </row>
    <row r="3725" spans="1:19" x14ac:dyDescent="0.25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e">
        <f>VLOOKUP('Customer Info'!A3717,'Customer Info'!A3717:I4216,2,FALSE)</f>
        <v>#N/A</v>
      </c>
      <c r="H3725" s="6" t="e">
        <f>VLOOKUP('Customer Info'!A3717,'Customer Info'!A3717:I4217,3,FALSE)</f>
        <v>#N/A</v>
      </c>
      <c r="I3725" s="6" t="e">
        <f>VLOOKUP('Customer Info'!A3717,'Customer Info'!A3717:I4216,5,FALSE)</f>
        <v>#N/A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521</v>
      </c>
      <c r="R3725" s="2" t="s">
        <v>56</v>
      </c>
      <c r="S3725" s="9">
        <f t="shared" si="294"/>
        <v>0.05</v>
      </c>
    </row>
    <row r="3726" spans="1:19" x14ac:dyDescent="0.25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e">
        <f>VLOOKUP('Customer Info'!A3718,'Customer Info'!A3718:I4217,2,FALSE)</f>
        <v>#N/A</v>
      </c>
      <c r="H3726" s="6" t="e">
        <f>VLOOKUP('Customer Info'!A3718,'Customer Info'!A3718:I4218,3,FALSE)</f>
        <v>#N/A</v>
      </c>
      <c r="I3726" s="6" t="e">
        <f>VLOOKUP('Customer Info'!A3718,'Customer Info'!A3718:I4217,5,FALSE)</f>
        <v>#N/A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90</v>
      </c>
      <c r="R3726" s="2" t="s">
        <v>50</v>
      </c>
      <c r="S3726" s="9">
        <f t="shared" si="294"/>
        <v>0.02</v>
      </c>
    </row>
    <row r="3727" spans="1:19" x14ac:dyDescent="0.25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e">
        <f>VLOOKUP('Customer Info'!A3719,'Customer Info'!A3719:I4218,2,FALSE)</f>
        <v>#N/A</v>
      </c>
      <c r="H3727" s="6" t="e">
        <f>VLOOKUP('Customer Info'!A3719,'Customer Info'!A3719:I4219,3,FALSE)</f>
        <v>#N/A</v>
      </c>
      <c r="I3727" s="6" t="e">
        <f>VLOOKUP('Customer Info'!A3719,'Customer Info'!A3719:I4218,5,FALSE)</f>
        <v>#N/A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85</v>
      </c>
      <c r="R3727" s="2" t="s">
        <v>50</v>
      </c>
      <c r="S3727" s="9">
        <f t="shared" si="294"/>
        <v>0.02</v>
      </c>
    </row>
    <row r="3728" spans="1:19" x14ac:dyDescent="0.25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e">
        <f>VLOOKUP('Customer Info'!A3720,'Customer Info'!A3720:I4219,2,FALSE)</f>
        <v>#N/A</v>
      </c>
      <c r="H3728" s="6" t="e">
        <f>VLOOKUP('Customer Info'!A3720,'Customer Info'!A3720:I4220,3,FALSE)</f>
        <v>#N/A</v>
      </c>
      <c r="I3728" s="6" t="e">
        <f>VLOOKUP('Customer Info'!A3720,'Customer Info'!A3720:I4219,5,FALSE)</f>
        <v>#N/A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58</v>
      </c>
      <c r="R3728" s="2" t="s">
        <v>50</v>
      </c>
      <c r="S3728" s="9">
        <f t="shared" si="294"/>
        <v>0.02</v>
      </c>
    </row>
    <row r="3729" spans="1:19" x14ac:dyDescent="0.25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e">
        <f>VLOOKUP('Customer Info'!A3721,'Customer Info'!A3721:I4220,2,FALSE)</f>
        <v>#N/A</v>
      </c>
      <c r="H3729" s="6" t="e">
        <f>VLOOKUP('Customer Info'!A3721,'Customer Info'!A3721:I4221,3,FALSE)</f>
        <v>#N/A</v>
      </c>
      <c r="I3729" s="6" t="e">
        <f>VLOOKUP('Customer Info'!A3721,'Customer Info'!A3721:I4220,5,FALSE)</f>
        <v>#N/A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440</v>
      </c>
      <c r="R3729" s="2" t="s">
        <v>50</v>
      </c>
      <c r="S3729" s="9">
        <f t="shared" si="294"/>
        <v>0.02</v>
      </c>
    </row>
    <row r="3730" spans="1:19" x14ac:dyDescent="0.25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e">
        <f>VLOOKUP('Customer Info'!A3722,'Customer Info'!A3722:I4221,2,FALSE)</f>
        <v>#N/A</v>
      </c>
      <c r="H3730" s="6" t="e">
        <f>VLOOKUP('Customer Info'!A3722,'Customer Info'!A3722:I4222,3,FALSE)</f>
        <v>#N/A</v>
      </c>
      <c r="I3730" s="6" t="e">
        <f>VLOOKUP('Customer Info'!A3722,'Customer Info'!A3722:I4221,5,FALSE)</f>
        <v>#N/A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1272</v>
      </c>
      <c r="R3730" s="2" t="s">
        <v>50</v>
      </c>
      <c r="S3730" s="9">
        <f t="shared" si="294"/>
        <v>0.05</v>
      </c>
    </row>
    <row r="3731" spans="1:19" x14ac:dyDescent="0.25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e">
        <f>VLOOKUP('Customer Info'!A3723,'Customer Info'!A3723:I4222,2,FALSE)</f>
        <v>#N/A</v>
      </c>
      <c r="H3731" s="6" t="e">
        <f>VLOOKUP('Customer Info'!A3723,'Customer Info'!A3723:I4223,3,FALSE)</f>
        <v>#N/A</v>
      </c>
      <c r="I3731" s="6" t="e">
        <f>VLOOKUP('Customer Info'!A3723,'Customer Info'!A3723:I4222,5,FALSE)</f>
        <v>#N/A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24</v>
      </c>
      <c r="R3731" s="2" t="s">
        <v>26</v>
      </c>
      <c r="S3731" s="9">
        <f t="shared" si="294"/>
        <v>0.02</v>
      </c>
    </row>
    <row r="3732" spans="1:19" x14ac:dyDescent="0.25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e">
        <f>VLOOKUP('Customer Info'!A3724,'Customer Info'!A3724:I4223,2,FALSE)</f>
        <v>#N/A</v>
      </c>
      <c r="H3732" s="6" t="e">
        <f>VLOOKUP('Customer Info'!A3724,'Customer Info'!A3724:I4224,3,FALSE)</f>
        <v>#N/A</v>
      </c>
      <c r="I3732" s="6" t="e">
        <f>VLOOKUP('Customer Info'!A3724,'Customer Info'!A3724:I4223,5,FALSE)</f>
        <v>#N/A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2814</v>
      </c>
      <c r="R3732" s="2" t="s">
        <v>28</v>
      </c>
      <c r="S3732" s="9">
        <f t="shared" si="294"/>
        <v>7.0000000000000007E-2</v>
      </c>
    </row>
    <row r="3733" spans="1:19" x14ac:dyDescent="0.25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e">
        <f>VLOOKUP('Customer Info'!A3725,'Customer Info'!A3725:I4224,2,FALSE)</f>
        <v>#N/A</v>
      </c>
      <c r="H3733" s="6" t="e">
        <f>VLOOKUP('Customer Info'!A3725,'Customer Info'!A3725:I4225,3,FALSE)</f>
        <v>#N/A</v>
      </c>
      <c r="I3733" s="6" t="e">
        <f>VLOOKUP('Customer Info'!A3725,'Customer Info'!A3725:I4224,5,FALSE)</f>
        <v>#N/A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194</v>
      </c>
      <c r="R3733" s="2" t="s">
        <v>56</v>
      </c>
      <c r="S3733" s="9">
        <f t="shared" si="294"/>
        <v>0.02</v>
      </c>
    </row>
    <row r="3734" spans="1:19" x14ac:dyDescent="0.25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e">
        <f>VLOOKUP('Customer Info'!A3726,'Customer Info'!A3726:I4225,2,FALSE)</f>
        <v>#N/A</v>
      </c>
      <c r="H3734" s="6" t="e">
        <f>VLOOKUP('Customer Info'!A3726,'Customer Info'!A3726:I4226,3,FALSE)</f>
        <v>#N/A</v>
      </c>
      <c r="I3734" s="6" t="e">
        <f>VLOOKUP('Customer Info'!A3726,'Customer Info'!A3726:I4225,5,FALSE)</f>
        <v>#N/A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806</v>
      </c>
      <c r="R3734" s="2" t="s">
        <v>28</v>
      </c>
      <c r="S3734" s="9">
        <f t="shared" si="294"/>
        <v>0.05</v>
      </c>
    </row>
    <row r="3735" spans="1:19" x14ac:dyDescent="0.25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e">
        <f>VLOOKUP('Customer Info'!A3727,'Customer Info'!A3727:I4226,2,FALSE)</f>
        <v>#N/A</v>
      </c>
      <c r="H3735" s="6" t="e">
        <f>VLOOKUP('Customer Info'!A3727,'Customer Info'!A3727:I4227,3,FALSE)</f>
        <v>#N/A</v>
      </c>
      <c r="I3735" s="6" t="e">
        <f>VLOOKUP('Customer Info'!A3727,'Customer Info'!A3727:I4226,5,FALSE)</f>
        <v>#N/A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738</v>
      </c>
      <c r="R3735" s="2" t="s">
        <v>26</v>
      </c>
      <c r="S3735" s="9">
        <f t="shared" si="294"/>
        <v>0.05</v>
      </c>
    </row>
    <row r="3736" spans="1:19" x14ac:dyDescent="0.25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e">
        <f>VLOOKUP('Customer Info'!A3728,'Customer Info'!A3728:I4227,2,FALSE)</f>
        <v>#N/A</v>
      </c>
      <c r="H3736" s="6" t="e">
        <f>VLOOKUP('Customer Info'!A3728,'Customer Info'!A3728:I4228,3,FALSE)</f>
        <v>#N/A</v>
      </c>
      <c r="I3736" s="6" t="e">
        <f>VLOOKUP('Customer Info'!A3728,'Customer Info'!A3728:I4227,5,FALSE)</f>
        <v>#N/A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355</v>
      </c>
      <c r="R3736" s="2" t="s">
        <v>28</v>
      </c>
      <c r="S3736" s="9">
        <f t="shared" si="294"/>
        <v>0.05</v>
      </c>
    </row>
    <row r="3737" spans="1:19" x14ac:dyDescent="0.25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e">
        <f>VLOOKUP('Customer Info'!A3729,'Customer Info'!A3729:I4228,2,FALSE)</f>
        <v>#N/A</v>
      </c>
      <c r="H3737" s="6" t="e">
        <f>VLOOKUP('Customer Info'!A3729,'Customer Info'!A3729:I4229,3,FALSE)</f>
        <v>#N/A</v>
      </c>
      <c r="I3737" s="6" t="e">
        <f>VLOOKUP('Customer Info'!A3729,'Customer Info'!A3729:I4228,5,FALSE)</f>
        <v>#N/A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222</v>
      </c>
      <c r="R3737" s="2" t="s">
        <v>50</v>
      </c>
      <c r="S3737" s="9">
        <f t="shared" si="294"/>
        <v>0.05</v>
      </c>
    </row>
    <row r="3738" spans="1:19" x14ac:dyDescent="0.25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e">
        <f>VLOOKUP('Customer Info'!A3730,'Customer Info'!A3730:I4229,2,FALSE)</f>
        <v>#N/A</v>
      </c>
      <c r="H3738" s="6" t="e">
        <f>VLOOKUP('Customer Info'!A3730,'Customer Info'!A3730:I4230,3,FALSE)</f>
        <v>#N/A</v>
      </c>
      <c r="I3738" s="6" t="e">
        <f>VLOOKUP('Customer Info'!A3730,'Customer Info'!A3730:I4229,5,FALSE)</f>
        <v>#N/A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629</v>
      </c>
      <c r="R3738" s="2" t="s">
        <v>28</v>
      </c>
      <c r="S3738" s="9">
        <f t="shared" si="294"/>
        <v>0.05</v>
      </c>
    </row>
    <row r="3739" spans="1:19" x14ac:dyDescent="0.25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e">
        <f>VLOOKUP('Customer Info'!A3731,'Customer Info'!A3731:I4230,2,FALSE)</f>
        <v>#N/A</v>
      </c>
      <c r="H3739" s="6" t="e">
        <f>VLOOKUP('Customer Info'!A3731,'Customer Info'!A3731:I4231,3,FALSE)</f>
        <v>#N/A</v>
      </c>
      <c r="I3739" s="6" t="e">
        <f>VLOOKUP('Customer Info'!A3731,'Customer Info'!A3731:I4230,5,FALSE)</f>
        <v>#N/A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78</v>
      </c>
      <c r="R3739" s="2" t="s">
        <v>28</v>
      </c>
      <c r="S3739" s="9">
        <f t="shared" si="294"/>
        <v>0.02</v>
      </c>
    </row>
    <row r="3740" spans="1:19" x14ac:dyDescent="0.25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e">
        <f>VLOOKUP('Customer Info'!A3732,'Customer Info'!A3732:I4231,2,FALSE)</f>
        <v>#N/A</v>
      </c>
      <c r="H3740" s="6" t="e">
        <f>VLOOKUP('Customer Info'!A3732,'Customer Info'!A3732:I4232,3,FALSE)</f>
        <v>#N/A</v>
      </c>
      <c r="I3740" s="6" t="e">
        <f>VLOOKUP('Customer Info'!A3732,'Customer Info'!A3732:I4231,5,FALSE)</f>
        <v>#N/A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23</v>
      </c>
      <c r="R3740" s="2" t="s">
        <v>28</v>
      </c>
      <c r="S3740" s="9">
        <f t="shared" si="294"/>
        <v>0.05</v>
      </c>
    </row>
    <row r="3741" spans="1:19" x14ac:dyDescent="0.25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e">
        <f>VLOOKUP('Customer Info'!A3733,'Customer Info'!A3733:I4232,2,FALSE)</f>
        <v>#N/A</v>
      </c>
      <c r="H3741" s="6" t="e">
        <f>VLOOKUP('Customer Info'!A3733,'Customer Info'!A3733:I4233,3,FALSE)</f>
        <v>#N/A</v>
      </c>
      <c r="I3741" s="6" t="e">
        <f>VLOOKUP('Customer Info'!A3733,'Customer Info'!A3733:I4232,5,FALSE)</f>
        <v>#N/A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20</v>
      </c>
      <c r="R3741" s="2" t="s">
        <v>50</v>
      </c>
      <c r="S3741" s="9">
        <f t="shared" si="294"/>
        <v>0.02</v>
      </c>
    </row>
    <row r="3742" spans="1:19" x14ac:dyDescent="0.25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e">
        <f>VLOOKUP('Customer Info'!A3734,'Customer Info'!A3734:I4233,2,FALSE)</f>
        <v>#N/A</v>
      </c>
      <c r="H3742" s="6" t="e">
        <f>VLOOKUP('Customer Info'!A3734,'Customer Info'!A3734:I4234,3,FALSE)</f>
        <v>#N/A</v>
      </c>
      <c r="I3742" s="6" t="e">
        <f>VLOOKUP('Customer Info'!A3734,'Customer Info'!A3734:I4233,5,FALSE)</f>
        <v>#N/A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42</v>
      </c>
      <c r="R3742" s="2" t="s">
        <v>28</v>
      </c>
      <c r="S3742" s="9">
        <f t="shared" si="294"/>
        <v>0.02</v>
      </c>
    </row>
    <row r="3743" spans="1:19" x14ac:dyDescent="0.25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e">
        <f>VLOOKUP('Customer Info'!A3735,'Customer Info'!A3735:I4234,2,FALSE)</f>
        <v>#N/A</v>
      </c>
      <c r="H3743" s="6" t="e">
        <f>VLOOKUP('Customer Info'!A3735,'Customer Info'!A3735:I4235,3,FALSE)</f>
        <v>#N/A</v>
      </c>
      <c r="I3743" s="6" t="e">
        <f>VLOOKUP('Customer Info'!A3735,'Customer Info'!A3735:I4234,5,FALSE)</f>
        <v>#N/A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361</v>
      </c>
      <c r="R3743" s="2" t="s">
        <v>50</v>
      </c>
      <c r="S3743" s="9">
        <f t="shared" si="294"/>
        <v>0.02</v>
      </c>
    </row>
    <row r="3744" spans="1:19" x14ac:dyDescent="0.25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e">
        <f>VLOOKUP('Customer Info'!A3736,'Customer Info'!A3736:I4235,2,FALSE)</f>
        <v>#N/A</v>
      </c>
      <c r="H3744" s="6" t="e">
        <f>VLOOKUP('Customer Info'!A3736,'Customer Info'!A3736:I4236,3,FALSE)</f>
        <v>#N/A</v>
      </c>
      <c r="I3744" s="6" t="e">
        <f>VLOOKUP('Customer Info'!A3736,'Customer Info'!A3736:I4235,5,FALSE)</f>
        <v>#N/A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28</v>
      </c>
      <c r="R3744" s="2" t="s">
        <v>50</v>
      </c>
      <c r="S3744" s="9">
        <f t="shared" si="294"/>
        <v>0.02</v>
      </c>
    </row>
    <row r="3745" spans="1:19" x14ac:dyDescent="0.25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e">
        <f>VLOOKUP('Customer Info'!A3737,'Customer Info'!A3737:I4236,2,FALSE)</f>
        <v>#N/A</v>
      </c>
      <c r="H3745" s="6" t="e">
        <f>VLOOKUP('Customer Info'!A3737,'Customer Info'!A3737:I4237,3,FALSE)</f>
        <v>#N/A</v>
      </c>
      <c r="I3745" s="6" t="e">
        <f>VLOOKUP('Customer Info'!A3737,'Customer Info'!A3737:I4236,5,FALSE)</f>
        <v>#N/A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773</v>
      </c>
      <c r="R3745" s="2" t="s">
        <v>28</v>
      </c>
      <c r="S3745" s="9">
        <f t="shared" si="294"/>
        <v>0.05</v>
      </c>
    </row>
    <row r="3746" spans="1:19" x14ac:dyDescent="0.25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e">
        <f>VLOOKUP('Customer Info'!A3738,'Customer Info'!A3738:I4237,2,FALSE)</f>
        <v>#N/A</v>
      </c>
      <c r="H3746" s="6" t="e">
        <f>VLOOKUP('Customer Info'!A3738,'Customer Info'!A3738:I4238,3,FALSE)</f>
        <v>#N/A</v>
      </c>
      <c r="I3746" s="6" t="e">
        <f>VLOOKUP('Customer Info'!A3738,'Customer Info'!A3738:I4237,5,FALSE)</f>
        <v>#N/A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490</v>
      </c>
      <c r="R3746" s="2" t="s">
        <v>28</v>
      </c>
      <c r="S3746" s="9">
        <f t="shared" si="294"/>
        <v>0.05</v>
      </c>
    </row>
    <row r="3747" spans="1:19" x14ac:dyDescent="0.25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e">
        <f>VLOOKUP('Customer Info'!A3739,'Customer Info'!A3739:I4238,2,FALSE)</f>
        <v>#N/A</v>
      </c>
      <c r="H3747" s="6" t="e">
        <f>VLOOKUP('Customer Info'!A3739,'Customer Info'!A3739:I4239,3,FALSE)</f>
        <v>#N/A</v>
      </c>
      <c r="I3747" s="6" t="e">
        <f>VLOOKUP('Customer Info'!A3739,'Customer Info'!A3739:I4238,5,FALSE)</f>
        <v>#N/A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417</v>
      </c>
      <c r="R3747" s="2" t="s">
        <v>28</v>
      </c>
      <c r="S3747" s="9">
        <f t="shared" si="294"/>
        <v>0.05</v>
      </c>
    </row>
    <row r="3748" spans="1:19" x14ac:dyDescent="0.25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e">
        <f>VLOOKUP('Customer Info'!A3740,'Customer Info'!A3740:I4239,2,FALSE)</f>
        <v>#N/A</v>
      </c>
      <c r="H3748" s="6" t="e">
        <f>VLOOKUP('Customer Info'!A3740,'Customer Info'!A3740:I4240,3,FALSE)</f>
        <v>#N/A</v>
      </c>
      <c r="I3748" s="6" t="e">
        <f>VLOOKUP('Customer Info'!A3740,'Customer Info'!A3740:I4239,5,FALSE)</f>
        <v>#N/A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47</v>
      </c>
      <c r="R3748" s="2" t="s">
        <v>28</v>
      </c>
      <c r="S3748" s="9">
        <f t="shared" si="294"/>
        <v>0.02</v>
      </c>
    </row>
    <row r="3749" spans="1:19" x14ac:dyDescent="0.25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e">
        <f>VLOOKUP('Customer Info'!A3741,'Customer Info'!A3741:I4240,2,FALSE)</f>
        <v>#N/A</v>
      </c>
      <c r="H3749" s="6" t="e">
        <f>VLOOKUP('Customer Info'!A3741,'Customer Info'!A3741:I4241,3,FALSE)</f>
        <v>#N/A</v>
      </c>
      <c r="I3749" s="6" t="e">
        <f>VLOOKUP('Customer Info'!A3741,'Customer Info'!A3741:I4240,5,FALSE)</f>
        <v>#N/A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749</v>
      </c>
      <c r="R3749" s="2" t="s">
        <v>28</v>
      </c>
      <c r="S3749" s="9">
        <f t="shared" si="294"/>
        <v>0.05</v>
      </c>
    </row>
    <row r="3750" spans="1:19" x14ac:dyDescent="0.25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e">
        <f>VLOOKUP('Customer Info'!A3742,'Customer Info'!A3742:I4241,2,FALSE)</f>
        <v>#N/A</v>
      </c>
      <c r="H3750" s="6" t="e">
        <f>VLOOKUP('Customer Info'!A3742,'Customer Info'!A3742:I4242,3,FALSE)</f>
        <v>#N/A</v>
      </c>
      <c r="I3750" s="6" t="e">
        <f>VLOOKUP('Customer Info'!A3742,'Customer Info'!A3742:I4241,5,FALSE)</f>
        <v>#N/A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540</v>
      </c>
      <c r="R3750" s="2" t="s">
        <v>28</v>
      </c>
      <c r="S3750" s="9">
        <f t="shared" si="294"/>
        <v>0.05</v>
      </c>
    </row>
    <row r="3751" spans="1:19" x14ac:dyDescent="0.25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e">
        <f>VLOOKUP('Customer Info'!A3743,'Customer Info'!A3743:I4242,2,FALSE)</f>
        <v>#N/A</v>
      </c>
      <c r="H3751" s="6" t="e">
        <f>VLOOKUP('Customer Info'!A3743,'Customer Info'!A3743:I4243,3,FALSE)</f>
        <v>#N/A</v>
      </c>
      <c r="I3751" s="6" t="e">
        <f>VLOOKUP('Customer Info'!A3743,'Customer Info'!A3743:I4242,5,FALSE)</f>
        <v>#N/A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246</v>
      </c>
      <c r="R3751" s="2" t="s">
        <v>50</v>
      </c>
      <c r="S3751" s="9">
        <f t="shared" si="294"/>
        <v>0.05</v>
      </c>
    </row>
    <row r="3752" spans="1:19" x14ac:dyDescent="0.25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e">
        <f>VLOOKUP('Customer Info'!A3744,'Customer Info'!A3744:I4243,2,FALSE)</f>
        <v>#N/A</v>
      </c>
      <c r="H3752" s="6" t="e">
        <f>VLOOKUP('Customer Info'!A3744,'Customer Info'!A3744:I4244,3,FALSE)</f>
        <v>#N/A</v>
      </c>
      <c r="I3752" s="6" t="e">
        <f>VLOOKUP('Customer Info'!A3744,'Customer Info'!A3744:I4243,5,FALSE)</f>
        <v>#N/A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60</v>
      </c>
      <c r="R3752" s="2" t="s">
        <v>28</v>
      </c>
      <c r="S3752" s="9">
        <f t="shared" si="294"/>
        <v>0.02</v>
      </c>
    </row>
    <row r="3753" spans="1:19" x14ac:dyDescent="0.25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e">
        <f>VLOOKUP('Customer Info'!A3745,'Customer Info'!A3745:I4244,2,FALSE)</f>
        <v>#N/A</v>
      </c>
      <c r="H3753" s="6" t="e">
        <f>VLOOKUP('Customer Info'!A3745,'Customer Info'!A3745:I4245,3,FALSE)</f>
        <v>#N/A</v>
      </c>
      <c r="I3753" s="6" t="e">
        <f>VLOOKUP('Customer Info'!A3745,'Customer Info'!A3745:I4244,5,FALSE)</f>
        <v>#N/A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635</v>
      </c>
      <c r="R3753" s="2" t="s">
        <v>28</v>
      </c>
      <c r="S3753" s="9">
        <f t="shared" si="294"/>
        <v>0.05</v>
      </c>
    </row>
    <row r="3754" spans="1:19" x14ac:dyDescent="0.25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e">
        <f>VLOOKUP('Customer Info'!A3746,'Customer Info'!A3746:I4245,2,FALSE)</f>
        <v>#N/A</v>
      </c>
      <c r="H3754" s="6" t="e">
        <f>VLOOKUP('Customer Info'!A3746,'Customer Info'!A3746:I4246,3,FALSE)</f>
        <v>#N/A</v>
      </c>
      <c r="I3754" s="6" t="e">
        <f>VLOOKUP('Customer Info'!A3746,'Customer Info'!A3746:I4245,5,FALSE)</f>
        <v>#N/A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155</v>
      </c>
      <c r="R3754" s="2" t="s">
        <v>28</v>
      </c>
      <c r="S3754" s="9">
        <f t="shared" si="294"/>
        <v>0.02</v>
      </c>
    </row>
    <row r="3755" spans="1:19" x14ac:dyDescent="0.25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e">
        <f>VLOOKUP('Customer Info'!A3747,'Customer Info'!A3747:I4246,2,FALSE)</f>
        <v>#N/A</v>
      </c>
      <c r="H3755" s="6" t="e">
        <f>VLOOKUP('Customer Info'!A3747,'Customer Info'!A3747:I4247,3,FALSE)</f>
        <v>#N/A</v>
      </c>
      <c r="I3755" s="6" t="e">
        <f>VLOOKUP('Customer Info'!A3747,'Customer Info'!A3747:I4246,5,FALSE)</f>
        <v>#N/A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337</v>
      </c>
      <c r="R3755" s="2" t="s">
        <v>28</v>
      </c>
      <c r="S3755" s="9">
        <f t="shared" si="294"/>
        <v>0.02</v>
      </c>
    </row>
    <row r="3756" spans="1:19" x14ac:dyDescent="0.25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e">
        <f>VLOOKUP('Customer Info'!A3748,'Customer Info'!A3748:I4247,2,FALSE)</f>
        <v>#N/A</v>
      </c>
      <c r="H3756" s="6" t="e">
        <f>VLOOKUP('Customer Info'!A3748,'Customer Info'!A3748:I4248,3,FALSE)</f>
        <v>#N/A</v>
      </c>
      <c r="I3756" s="6" t="e">
        <f>VLOOKUP('Customer Info'!A3748,'Customer Info'!A3748:I4247,5,FALSE)</f>
        <v>#N/A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309</v>
      </c>
      <c r="R3756" s="2" t="s">
        <v>28</v>
      </c>
      <c r="S3756" s="9">
        <f t="shared" si="294"/>
        <v>0.02</v>
      </c>
    </row>
    <row r="3757" spans="1:19" x14ac:dyDescent="0.25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e">
        <f>VLOOKUP('Customer Info'!A3749,'Customer Info'!A3749:I4248,2,FALSE)</f>
        <v>#N/A</v>
      </c>
      <c r="H3757" s="6" t="e">
        <f>VLOOKUP('Customer Info'!A3749,'Customer Info'!A3749:I4249,3,FALSE)</f>
        <v>#N/A</v>
      </c>
      <c r="I3757" s="6" t="e">
        <f>VLOOKUP('Customer Info'!A3749,'Customer Info'!A3749:I4248,5,FALSE)</f>
        <v>#N/A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1667</v>
      </c>
      <c r="R3757" s="2" t="s">
        <v>50</v>
      </c>
      <c r="S3757" s="9">
        <f t="shared" si="294"/>
        <v>0.05</v>
      </c>
    </row>
    <row r="3758" spans="1:19" x14ac:dyDescent="0.25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e">
        <f>VLOOKUP('Customer Info'!A3750,'Customer Info'!A3750:I4249,2,FALSE)</f>
        <v>#N/A</v>
      </c>
      <c r="H3758" s="6" t="e">
        <f>VLOOKUP('Customer Info'!A3750,'Customer Info'!A3750:I4250,3,FALSE)</f>
        <v>#N/A</v>
      </c>
      <c r="I3758" s="6" t="e">
        <f>VLOOKUP('Customer Info'!A3750,'Customer Info'!A3750:I4249,5,FALSE)</f>
        <v>#N/A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642</v>
      </c>
      <c r="R3758" s="2" t="s">
        <v>28</v>
      </c>
      <c r="S3758" s="9">
        <f t="shared" si="294"/>
        <v>0.05</v>
      </c>
    </row>
    <row r="3759" spans="1:19" x14ac:dyDescent="0.25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e">
        <f>VLOOKUP('Customer Info'!A3751,'Customer Info'!A3751:I4250,2,FALSE)</f>
        <v>#N/A</v>
      </c>
      <c r="H3759" s="6" t="e">
        <f>VLOOKUP('Customer Info'!A3751,'Customer Info'!A3751:I4251,3,FALSE)</f>
        <v>#N/A</v>
      </c>
      <c r="I3759" s="6" t="e">
        <f>VLOOKUP('Customer Info'!A3751,'Customer Info'!A3751:I4250,5,FALSE)</f>
        <v>#N/A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355</v>
      </c>
      <c r="R3759" s="2" t="s">
        <v>28</v>
      </c>
      <c r="S3759" s="9">
        <f t="shared" si="294"/>
        <v>0.02</v>
      </c>
    </row>
    <row r="3760" spans="1:19" x14ac:dyDescent="0.25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e">
        <f>VLOOKUP('Customer Info'!A3752,'Customer Info'!A3752:I4251,2,FALSE)</f>
        <v>#N/A</v>
      </c>
      <c r="H3760" s="6" t="e">
        <f>VLOOKUP('Customer Info'!A3752,'Customer Info'!A3752:I4252,3,FALSE)</f>
        <v>#N/A</v>
      </c>
      <c r="I3760" s="6" t="e">
        <f>VLOOKUP('Customer Info'!A3752,'Customer Info'!A3752:I4251,5,FALSE)</f>
        <v>#N/A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122</v>
      </c>
      <c r="R3760" s="2" t="s">
        <v>50</v>
      </c>
      <c r="S3760" s="9">
        <f t="shared" si="294"/>
        <v>0.02</v>
      </c>
    </row>
    <row r="3761" spans="1:19" x14ac:dyDescent="0.25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e">
        <f>VLOOKUP('Customer Info'!A3753,'Customer Info'!A3753:I4252,2,FALSE)</f>
        <v>#N/A</v>
      </c>
      <c r="H3761" s="6" t="e">
        <f>VLOOKUP('Customer Info'!A3753,'Customer Info'!A3753:I4253,3,FALSE)</f>
        <v>#N/A</v>
      </c>
      <c r="I3761" s="6" t="e">
        <f>VLOOKUP('Customer Info'!A3753,'Customer Info'!A3753:I4252,5,FALSE)</f>
        <v>#N/A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232</v>
      </c>
      <c r="R3761" s="2" t="s">
        <v>26</v>
      </c>
      <c r="S3761" s="9">
        <f t="shared" si="294"/>
        <v>0.02</v>
      </c>
    </row>
    <row r="3762" spans="1:19" x14ac:dyDescent="0.25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e">
        <f>VLOOKUP('Customer Info'!A3754,'Customer Info'!A3754:I4253,2,FALSE)</f>
        <v>#N/A</v>
      </c>
      <c r="H3762" s="6" t="e">
        <f>VLOOKUP('Customer Info'!A3754,'Customer Info'!A3754:I4254,3,FALSE)</f>
        <v>#N/A</v>
      </c>
      <c r="I3762" s="6" t="e">
        <f>VLOOKUP('Customer Info'!A3754,'Customer Info'!A3754:I4253,5,FALSE)</f>
        <v>#N/A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301</v>
      </c>
      <c r="R3762" s="2" t="s">
        <v>28</v>
      </c>
      <c r="S3762" s="9">
        <f t="shared" si="294"/>
        <v>0.02</v>
      </c>
    </row>
    <row r="3763" spans="1:19" x14ac:dyDescent="0.25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e">
        <f>VLOOKUP('Customer Info'!A3755,'Customer Info'!A3755:I4254,2,FALSE)</f>
        <v>#N/A</v>
      </c>
      <c r="H3763" s="6" t="e">
        <f>VLOOKUP('Customer Info'!A3755,'Customer Info'!A3755:I4255,3,FALSE)</f>
        <v>#N/A</v>
      </c>
      <c r="I3763" s="6" t="e">
        <f>VLOOKUP('Customer Info'!A3755,'Customer Info'!A3755:I4254,5,FALSE)</f>
        <v>#N/A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534</v>
      </c>
      <c r="R3763" s="2" t="s">
        <v>50</v>
      </c>
      <c r="S3763" s="9">
        <f t="shared" si="294"/>
        <v>0.05</v>
      </c>
    </row>
    <row r="3764" spans="1:19" x14ac:dyDescent="0.25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e">
        <f>VLOOKUP('Customer Info'!A3756,'Customer Info'!A3756:I4255,2,FALSE)</f>
        <v>#N/A</v>
      </c>
      <c r="H3764" s="6" t="e">
        <f>VLOOKUP('Customer Info'!A3756,'Customer Info'!A3756:I4256,3,FALSE)</f>
        <v>#N/A</v>
      </c>
      <c r="I3764" s="6" t="e">
        <f>VLOOKUP('Customer Info'!A3756,'Customer Info'!A3756:I4255,5,FALSE)</f>
        <v>#N/A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63</v>
      </c>
      <c r="R3764" s="2" t="s">
        <v>50</v>
      </c>
      <c r="S3764" s="9">
        <f t="shared" si="294"/>
        <v>0.02</v>
      </c>
    </row>
    <row r="3765" spans="1:19" x14ac:dyDescent="0.25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e">
        <f>VLOOKUP('Customer Info'!A3757,'Customer Info'!A3757:I4256,2,FALSE)</f>
        <v>#N/A</v>
      </c>
      <c r="H3765" s="6" t="e">
        <f>VLOOKUP('Customer Info'!A3757,'Customer Info'!A3757:I4257,3,FALSE)</f>
        <v>#N/A</v>
      </c>
      <c r="I3765" s="6" t="e">
        <f>VLOOKUP('Customer Info'!A3757,'Customer Info'!A3757:I4256,5,FALSE)</f>
        <v>#N/A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251</v>
      </c>
      <c r="R3765" s="2" t="s">
        <v>56</v>
      </c>
      <c r="S3765" s="9">
        <f t="shared" si="294"/>
        <v>0.02</v>
      </c>
    </row>
    <row r="3766" spans="1:19" x14ac:dyDescent="0.25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e">
        <f>VLOOKUP('Customer Info'!A3758,'Customer Info'!A3758:I4257,2,FALSE)</f>
        <v>#N/A</v>
      </c>
      <c r="H3766" s="6" t="e">
        <f>VLOOKUP('Customer Info'!A3758,'Customer Info'!A3758:I4258,3,FALSE)</f>
        <v>#N/A</v>
      </c>
      <c r="I3766" s="6" t="e">
        <f>VLOOKUP('Customer Info'!A3758,'Customer Info'!A3758:I4257,5,FALSE)</f>
        <v>#N/A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474</v>
      </c>
      <c r="R3766" s="2" t="s">
        <v>26</v>
      </c>
      <c r="S3766" s="9">
        <f t="shared" si="294"/>
        <v>0.05</v>
      </c>
    </row>
    <row r="3767" spans="1:19" x14ac:dyDescent="0.25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e">
        <f>VLOOKUP('Customer Info'!A3759,'Customer Info'!A3759:I4258,2,FALSE)</f>
        <v>#N/A</v>
      </c>
      <c r="H3767" s="6" t="e">
        <f>VLOOKUP('Customer Info'!A3759,'Customer Info'!A3759:I4259,3,FALSE)</f>
        <v>#N/A</v>
      </c>
      <c r="I3767" s="6" t="e">
        <f>VLOOKUP('Customer Info'!A3759,'Customer Info'!A3759:I4258,5,FALSE)</f>
        <v>#N/A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114</v>
      </c>
      <c r="R3767" s="2" t="s">
        <v>50</v>
      </c>
      <c r="S3767" s="9">
        <f t="shared" si="294"/>
        <v>0.02</v>
      </c>
    </row>
    <row r="3768" spans="1:19" x14ac:dyDescent="0.25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e">
        <f>VLOOKUP('Customer Info'!A3760,'Customer Info'!A3760:I4259,2,FALSE)</f>
        <v>#N/A</v>
      </c>
      <c r="H3768" s="6" t="e">
        <f>VLOOKUP('Customer Info'!A3760,'Customer Info'!A3760:I4260,3,FALSE)</f>
        <v>#N/A</v>
      </c>
      <c r="I3768" s="6" t="e">
        <f>VLOOKUP('Customer Info'!A3760,'Customer Info'!A3760:I4259,5,FALSE)</f>
        <v>#N/A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322</v>
      </c>
      <c r="R3768" s="2" t="s">
        <v>28</v>
      </c>
      <c r="S3768" s="9">
        <f t="shared" si="294"/>
        <v>0.02</v>
      </c>
    </row>
    <row r="3769" spans="1:19" x14ac:dyDescent="0.25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e">
        <f>VLOOKUP('Customer Info'!A3761,'Customer Info'!A3761:I4260,2,FALSE)</f>
        <v>#N/A</v>
      </c>
      <c r="H3769" s="6" t="e">
        <f>VLOOKUP('Customer Info'!A3761,'Customer Info'!A3761:I4261,3,FALSE)</f>
        <v>#N/A</v>
      </c>
      <c r="I3769" s="6" t="e">
        <f>VLOOKUP('Customer Info'!A3761,'Customer Info'!A3761:I4260,5,FALSE)</f>
        <v>#N/A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179</v>
      </c>
      <c r="R3769" s="2" t="s">
        <v>28</v>
      </c>
      <c r="S3769" s="9">
        <f t="shared" si="294"/>
        <v>0.02</v>
      </c>
    </row>
    <row r="3770" spans="1:19" x14ac:dyDescent="0.25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e">
        <f>VLOOKUP('Customer Info'!A3762,'Customer Info'!A3762:I4261,2,FALSE)</f>
        <v>#N/A</v>
      </c>
      <c r="H3770" s="6" t="e">
        <f>VLOOKUP('Customer Info'!A3762,'Customer Info'!A3762:I4262,3,FALSE)</f>
        <v>#N/A</v>
      </c>
      <c r="I3770" s="6" t="e">
        <f>VLOOKUP('Customer Info'!A3762,'Customer Info'!A3762:I4261,5,FALSE)</f>
        <v>#N/A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15</v>
      </c>
      <c r="R3770" s="2" t="s">
        <v>26</v>
      </c>
      <c r="S3770" s="9">
        <f t="shared" si="294"/>
        <v>0.02</v>
      </c>
    </row>
    <row r="3771" spans="1:19" x14ac:dyDescent="0.25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e">
        <f>VLOOKUP('Customer Info'!A3763,'Customer Info'!A3763:I4262,2,FALSE)</f>
        <v>#N/A</v>
      </c>
      <c r="H3771" s="6" t="e">
        <f>VLOOKUP('Customer Info'!A3763,'Customer Info'!A3763:I4263,3,FALSE)</f>
        <v>#N/A</v>
      </c>
      <c r="I3771" s="6" t="e">
        <f>VLOOKUP('Customer Info'!A3763,'Customer Info'!A3763:I4262,5,FALSE)</f>
        <v>#N/A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163</v>
      </c>
      <c r="R3771" s="2" t="s">
        <v>26</v>
      </c>
      <c r="S3771" s="9">
        <f t="shared" si="294"/>
        <v>0.02</v>
      </c>
    </row>
    <row r="3772" spans="1:19" x14ac:dyDescent="0.25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e">
        <f>VLOOKUP('Customer Info'!A3764,'Customer Info'!A3764:I4263,2,FALSE)</f>
        <v>#N/A</v>
      </c>
      <c r="H3772" s="6" t="e">
        <f>VLOOKUP('Customer Info'!A3764,'Customer Info'!A3764:I4264,3,FALSE)</f>
        <v>#N/A</v>
      </c>
      <c r="I3772" s="6" t="e">
        <f>VLOOKUP('Customer Info'!A3764,'Customer Info'!A3764:I4263,5,FALSE)</f>
        <v>#N/A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306</v>
      </c>
      <c r="R3772" s="2" t="s">
        <v>28</v>
      </c>
      <c r="S3772" s="9">
        <f t="shared" si="294"/>
        <v>0.02</v>
      </c>
    </row>
    <row r="3773" spans="1:19" x14ac:dyDescent="0.25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e">
        <f>VLOOKUP('Customer Info'!A3765,'Customer Info'!A3765:I4264,2,FALSE)</f>
        <v>#N/A</v>
      </c>
      <c r="H3773" s="6" t="e">
        <f>VLOOKUP('Customer Info'!A3765,'Customer Info'!A3765:I4265,3,FALSE)</f>
        <v>#N/A</v>
      </c>
      <c r="I3773" s="6" t="e">
        <f>VLOOKUP('Customer Info'!A3765,'Customer Info'!A3765:I4264,5,FALSE)</f>
        <v>#N/A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30</v>
      </c>
      <c r="R3773" s="2" t="s">
        <v>50</v>
      </c>
      <c r="S3773" s="9">
        <f t="shared" si="294"/>
        <v>0.02</v>
      </c>
    </row>
    <row r="3774" spans="1:19" x14ac:dyDescent="0.25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e">
        <f>VLOOKUP('Customer Info'!A3766,'Customer Info'!A3766:I4265,2,FALSE)</f>
        <v>#N/A</v>
      </c>
      <c r="H3774" s="6" t="e">
        <f>VLOOKUP('Customer Info'!A3766,'Customer Info'!A3766:I4266,3,FALSE)</f>
        <v>#N/A</v>
      </c>
      <c r="I3774" s="6" t="e">
        <f>VLOOKUP('Customer Info'!A3766,'Customer Info'!A3766:I4265,5,FALSE)</f>
        <v>#N/A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427</v>
      </c>
      <c r="R3774" s="2" t="s">
        <v>26</v>
      </c>
      <c r="S3774" s="9">
        <f t="shared" si="294"/>
        <v>0.05</v>
      </c>
    </row>
    <row r="3775" spans="1:19" x14ac:dyDescent="0.25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e">
        <f>VLOOKUP('Customer Info'!A3767,'Customer Info'!A3767:I4266,2,FALSE)</f>
        <v>#N/A</v>
      </c>
      <c r="H3775" s="6" t="e">
        <f>VLOOKUP('Customer Info'!A3767,'Customer Info'!A3767:I4267,3,FALSE)</f>
        <v>#N/A</v>
      </c>
      <c r="I3775" s="6" t="e">
        <f>VLOOKUP('Customer Info'!A3767,'Customer Info'!A3767:I4266,5,FALSE)</f>
        <v>#N/A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12364</v>
      </c>
      <c r="R3775" s="2" t="s">
        <v>28</v>
      </c>
      <c r="S3775" s="9">
        <f t="shared" si="294"/>
        <v>0.12</v>
      </c>
    </row>
    <row r="3776" spans="1:19" x14ac:dyDescent="0.25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e">
        <f>VLOOKUP('Customer Info'!A3768,'Customer Info'!A3768:I4267,2,FALSE)</f>
        <v>#N/A</v>
      </c>
      <c r="H3776" s="6" t="e">
        <f>VLOOKUP('Customer Info'!A3768,'Customer Info'!A3768:I4268,3,FALSE)</f>
        <v>#N/A</v>
      </c>
      <c r="I3776" s="6" t="e">
        <f>VLOOKUP('Customer Info'!A3768,'Customer Info'!A3768:I4267,5,FALSE)</f>
        <v>#N/A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71</v>
      </c>
      <c r="R3776" s="2" t="s">
        <v>50</v>
      </c>
      <c r="S3776" s="9">
        <f t="shared" si="294"/>
        <v>0.02</v>
      </c>
    </row>
    <row r="3777" spans="1:19" x14ac:dyDescent="0.25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e">
        <f>VLOOKUP('Customer Info'!A3769,'Customer Info'!A3769:I4268,2,FALSE)</f>
        <v>#N/A</v>
      </c>
      <c r="H3777" s="6" t="e">
        <f>VLOOKUP('Customer Info'!A3769,'Customer Info'!A3769:I4269,3,FALSE)</f>
        <v>#N/A</v>
      </c>
      <c r="I3777" s="6" t="e">
        <f>VLOOKUP('Customer Info'!A3769,'Customer Info'!A3769:I4268,5,FALSE)</f>
        <v>#N/A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132</v>
      </c>
      <c r="R3777" s="2" t="s">
        <v>28</v>
      </c>
      <c r="S3777" s="9">
        <f t="shared" si="294"/>
        <v>0.02</v>
      </c>
    </row>
    <row r="3778" spans="1:19" x14ac:dyDescent="0.25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e">
        <f>VLOOKUP('Customer Info'!A3770,'Customer Info'!A3770:I4269,2,FALSE)</f>
        <v>#N/A</v>
      </c>
      <c r="H3778" s="6" t="e">
        <f>VLOOKUP('Customer Info'!A3770,'Customer Info'!A3770:I4270,3,FALSE)</f>
        <v>#N/A</v>
      </c>
      <c r="I3778" s="6" t="e">
        <f>VLOOKUP('Customer Info'!A3770,'Customer Info'!A3770:I4269,5,FALSE)</f>
        <v>#N/A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56</v>
      </c>
      <c r="R3778" s="2" t="s">
        <v>28</v>
      </c>
      <c r="S3778" s="9">
        <f t="shared" si="294"/>
        <v>0.02</v>
      </c>
    </row>
    <row r="3779" spans="1:19" x14ac:dyDescent="0.25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e">
        <f>VLOOKUP('Customer Info'!A3771,'Customer Info'!A3771:I4270,2,FALSE)</f>
        <v>#N/A</v>
      </c>
      <c r="H3779" s="6" t="e">
        <f>VLOOKUP('Customer Info'!A3771,'Customer Info'!A3771:I4271,3,FALSE)</f>
        <v>#N/A</v>
      </c>
      <c r="I3779" s="6" t="e">
        <f>VLOOKUP('Customer Info'!A3771,'Customer Info'!A3771:I4270,5,FALSE)</f>
        <v>#N/A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401</v>
      </c>
      <c r="R3779" s="2" t="s">
        <v>28</v>
      </c>
      <c r="S3779" s="9">
        <f t="shared" si="294"/>
        <v>0.05</v>
      </c>
    </row>
    <row r="3780" spans="1:19" x14ac:dyDescent="0.25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e">
        <f>VLOOKUP('Customer Info'!A3772,'Customer Info'!A3772:I4271,2,FALSE)</f>
        <v>#N/A</v>
      </c>
      <c r="H3780" s="6" t="e">
        <f>VLOOKUP('Customer Info'!A3772,'Customer Info'!A3772:I4272,3,FALSE)</f>
        <v>#N/A</v>
      </c>
      <c r="I3780" s="6" t="e">
        <f>VLOOKUP('Customer Info'!A3772,'Customer Info'!A3772:I4271,5,FALSE)</f>
        <v>#N/A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235</v>
      </c>
      <c r="R3780" s="2" t="s">
        <v>26</v>
      </c>
      <c r="S3780" s="9">
        <f t="shared" si="294"/>
        <v>0.02</v>
      </c>
    </row>
    <row r="3781" spans="1:19" x14ac:dyDescent="0.25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e">
        <f>VLOOKUP('Customer Info'!A3773,'Customer Info'!A3773:I4272,2,FALSE)</f>
        <v>#N/A</v>
      </c>
      <c r="H3781" s="6" t="e">
        <f>VLOOKUP('Customer Info'!A3773,'Customer Info'!A3773:I4273,3,FALSE)</f>
        <v>#N/A</v>
      </c>
      <c r="I3781" s="6" t="e">
        <f>VLOOKUP('Customer Info'!A3773,'Customer Info'!A3773:I4272,5,FALSE)</f>
        <v>#N/A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99</v>
      </c>
      <c r="R3781" s="2" t="s">
        <v>28</v>
      </c>
      <c r="S3781" s="9">
        <f t="shared" si="294"/>
        <v>0.02</v>
      </c>
    </row>
    <row r="3782" spans="1:19" x14ac:dyDescent="0.25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e">
        <f>VLOOKUP('Customer Info'!A3774,'Customer Info'!A3774:I4273,2,FALSE)</f>
        <v>#N/A</v>
      </c>
      <c r="H3782" s="6" t="e">
        <f>VLOOKUP('Customer Info'!A3774,'Customer Info'!A3774:I4274,3,FALSE)</f>
        <v>#N/A</v>
      </c>
      <c r="I3782" s="6" t="e">
        <f>VLOOKUP('Customer Info'!A3774,'Customer Info'!A3774:I4273,5,FALSE)</f>
        <v>#N/A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3862</v>
      </c>
      <c r="R3782" s="2" t="s">
        <v>28</v>
      </c>
      <c r="S3782" s="9">
        <f t="shared" si="294"/>
        <v>7.0000000000000007E-2</v>
      </c>
    </row>
    <row r="3783" spans="1:19" x14ac:dyDescent="0.25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e">
        <f>VLOOKUP('Customer Info'!A3775,'Customer Info'!A3775:I4274,2,FALSE)</f>
        <v>#N/A</v>
      </c>
      <c r="H3783" s="6" t="e">
        <f>VLOOKUP('Customer Info'!A3775,'Customer Info'!A3775:I4275,3,FALSE)</f>
        <v>#N/A</v>
      </c>
      <c r="I3783" s="6" t="e">
        <f>VLOOKUP('Customer Info'!A3775,'Customer Info'!A3775:I4274,5,FALSE)</f>
        <v>#N/A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118</v>
      </c>
      <c r="R3783" s="2" t="s">
        <v>50</v>
      </c>
      <c r="S3783" s="9">
        <f t="shared" si="294"/>
        <v>0.02</v>
      </c>
    </row>
    <row r="3784" spans="1:19" x14ac:dyDescent="0.25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e">
        <f>VLOOKUP('Customer Info'!A3776,'Customer Info'!A3776:I4275,2,FALSE)</f>
        <v>#N/A</v>
      </c>
      <c r="H3784" s="6" t="e">
        <f>VLOOKUP('Customer Info'!A3776,'Customer Info'!A3776:I4276,3,FALSE)</f>
        <v>#N/A</v>
      </c>
      <c r="I3784" s="6" t="e">
        <f>VLOOKUP('Customer Info'!A3776,'Customer Info'!A3776:I4275,5,FALSE)</f>
        <v>#N/A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2078</v>
      </c>
      <c r="R3784" s="2" t="s">
        <v>26</v>
      </c>
      <c r="S3784" s="9">
        <f t="shared" si="294"/>
        <v>0.05</v>
      </c>
    </row>
    <row r="3785" spans="1:19" x14ac:dyDescent="0.25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e">
        <f>VLOOKUP('Customer Info'!A3777,'Customer Info'!A3777:I4276,2,FALSE)</f>
        <v>#N/A</v>
      </c>
      <c r="H3785" s="6" t="e">
        <f>VLOOKUP('Customer Info'!A3777,'Customer Info'!A3777:I4277,3,FALSE)</f>
        <v>#N/A</v>
      </c>
      <c r="I3785" s="6" t="e">
        <f>VLOOKUP('Customer Info'!A3777,'Customer Info'!A3777:I4276,5,FALSE)</f>
        <v>#N/A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2586</v>
      </c>
      <c r="R3785" s="2" t="s">
        <v>28</v>
      </c>
      <c r="S3785" s="9">
        <f t="shared" si="294"/>
        <v>7.0000000000000007E-2</v>
      </c>
    </row>
    <row r="3786" spans="1:19" x14ac:dyDescent="0.25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e">
        <f>VLOOKUP('Customer Info'!A3778,'Customer Info'!A3778:I4277,2,FALSE)</f>
        <v>#N/A</v>
      </c>
      <c r="H3786" s="6" t="e">
        <f>VLOOKUP('Customer Info'!A3778,'Customer Info'!A3778:I4278,3,FALSE)</f>
        <v>#N/A</v>
      </c>
      <c r="I3786" s="6" t="e">
        <f>VLOOKUP('Customer Info'!A3778,'Customer Info'!A3778:I4277,5,FALSE)</f>
        <v>#N/A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258</v>
      </c>
      <c r="R3786" s="2" t="s">
        <v>50</v>
      </c>
      <c r="S3786" s="9">
        <f t="shared" si="294"/>
        <v>0.02</v>
      </c>
    </row>
    <row r="3787" spans="1:19" x14ac:dyDescent="0.25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e">
        <f>VLOOKUP('Customer Info'!A3779,'Customer Info'!A3779:I4278,2,FALSE)</f>
        <v>#N/A</v>
      </c>
      <c r="H3787" s="6" t="e">
        <f>VLOOKUP('Customer Info'!A3779,'Customer Info'!A3779:I4279,3,FALSE)</f>
        <v>#N/A</v>
      </c>
      <c r="I3787" s="6" t="e">
        <f>VLOOKUP('Customer Info'!A3779,'Customer Info'!A3779:I4278,5,FALSE)</f>
        <v>#N/A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8">
        <f t="shared" ref="P3787:P3850" si="297">N3787+O3787</f>
        <v>5963</v>
      </c>
      <c r="Q3787" s="8">
        <f t="shared" ref="Q3787:Q3850" si="298">P3787-M3787</f>
        <v>477</v>
      </c>
      <c r="R3787" s="2" t="s">
        <v>50</v>
      </c>
      <c r="S3787" s="9">
        <f t="shared" ref="S3787:S3850" si="299">VLOOKUP(P3787,$T$2:$U$7,2,TRUE)</f>
        <v>0.05</v>
      </c>
    </row>
    <row r="3788" spans="1:19" x14ac:dyDescent="0.25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e">
        <f>VLOOKUP('Customer Info'!A3780,'Customer Info'!A3780:I4279,2,FALSE)</f>
        <v>#N/A</v>
      </c>
      <c r="H3788" s="6" t="e">
        <f>VLOOKUP('Customer Info'!A3780,'Customer Info'!A3780:I4280,3,FALSE)</f>
        <v>#N/A</v>
      </c>
      <c r="I3788" s="6" t="e">
        <f>VLOOKUP('Customer Info'!A3780,'Customer Info'!A3780:I4279,5,FALSE)</f>
        <v>#N/A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1773</v>
      </c>
      <c r="R3788" s="2" t="s">
        <v>28</v>
      </c>
      <c r="S3788" s="9">
        <f t="shared" si="299"/>
        <v>7.0000000000000007E-2</v>
      </c>
    </row>
    <row r="3789" spans="1:19" x14ac:dyDescent="0.25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e">
        <f>VLOOKUP('Customer Info'!A3781,'Customer Info'!A3781:I4280,2,FALSE)</f>
        <v>#N/A</v>
      </c>
      <c r="H3789" s="6" t="e">
        <f>VLOOKUP('Customer Info'!A3781,'Customer Info'!A3781:I4281,3,FALSE)</f>
        <v>#N/A</v>
      </c>
      <c r="I3789" s="6" t="e">
        <f>VLOOKUP('Customer Info'!A3781,'Customer Info'!A3781:I4280,5,FALSE)</f>
        <v>#N/A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112</v>
      </c>
      <c r="R3789" s="2" t="s">
        <v>28</v>
      </c>
      <c r="S3789" s="9">
        <f t="shared" si="299"/>
        <v>0.02</v>
      </c>
    </row>
    <row r="3790" spans="1:19" x14ac:dyDescent="0.25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e">
        <f>VLOOKUP('Customer Info'!A3782,'Customer Info'!A3782:I4281,2,FALSE)</f>
        <v>#N/A</v>
      </c>
      <c r="H3790" s="6" t="e">
        <f>VLOOKUP('Customer Info'!A3782,'Customer Info'!A3782:I4282,3,FALSE)</f>
        <v>#N/A</v>
      </c>
      <c r="I3790" s="6" t="e">
        <f>VLOOKUP('Customer Info'!A3782,'Customer Info'!A3782:I4281,5,FALSE)</f>
        <v>#N/A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60</v>
      </c>
      <c r="R3790" s="2" t="s">
        <v>28</v>
      </c>
      <c r="S3790" s="9">
        <f t="shared" si="299"/>
        <v>0.02</v>
      </c>
    </row>
    <row r="3791" spans="1:19" x14ac:dyDescent="0.25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e">
        <f>VLOOKUP('Customer Info'!A3783,'Customer Info'!A3783:I4282,2,FALSE)</f>
        <v>#N/A</v>
      </c>
      <c r="H3791" s="6" t="e">
        <f>VLOOKUP('Customer Info'!A3783,'Customer Info'!A3783:I4283,3,FALSE)</f>
        <v>#N/A</v>
      </c>
      <c r="I3791" s="6" t="e">
        <f>VLOOKUP('Customer Info'!A3783,'Customer Info'!A3783:I4282,5,FALSE)</f>
        <v>#N/A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63</v>
      </c>
      <c r="R3791" s="2" t="s">
        <v>28</v>
      </c>
      <c r="S3791" s="9">
        <f t="shared" si="299"/>
        <v>0.02</v>
      </c>
    </row>
    <row r="3792" spans="1:19" x14ac:dyDescent="0.25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e">
        <f>VLOOKUP('Customer Info'!A3784,'Customer Info'!A3784:I4283,2,FALSE)</f>
        <v>#N/A</v>
      </c>
      <c r="H3792" s="6" t="e">
        <f>VLOOKUP('Customer Info'!A3784,'Customer Info'!A3784:I4284,3,FALSE)</f>
        <v>#N/A</v>
      </c>
      <c r="I3792" s="6" t="e">
        <f>VLOOKUP('Customer Info'!A3784,'Customer Info'!A3784:I4283,5,FALSE)</f>
        <v>#N/A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1011</v>
      </c>
      <c r="R3792" s="2" t="s">
        <v>56</v>
      </c>
      <c r="S3792" s="9">
        <f t="shared" si="299"/>
        <v>0.05</v>
      </c>
    </row>
    <row r="3793" spans="1:19" x14ac:dyDescent="0.25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e">
        <f>VLOOKUP('Customer Info'!A3785,'Customer Info'!A3785:I4284,2,FALSE)</f>
        <v>#N/A</v>
      </c>
      <c r="H3793" s="6" t="e">
        <f>VLOOKUP('Customer Info'!A3785,'Customer Info'!A3785:I4285,3,FALSE)</f>
        <v>#N/A</v>
      </c>
      <c r="I3793" s="6" t="e">
        <f>VLOOKUP('Customer Info'!A3785,'Customer Info'!A3785:I4284,5,FALSE)</f>
        <v>#N/A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48</v>
      </c>
      <c r="R3793" s="2" t="s">
        <v>28</v>
      </c>
      <c r="S3793" s="9">
        <f t="shared" si="299"/>
        <v>0.02</v>
      </c>
    </row>
    <row r="3794" spans="1:19" x14ac:dyDescent="0.25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e">
        <f>VLOOKUP('Customer Info'!A3786,'Customer Info'!A3786:I4285,2,FALSE)</f>
        <v>#N/A</v>
      </c>
      <c r="H3794" s="6" t="e">
        <f>VLOOKUP('Customer Info'!A3786,'Customer Info'!A3786:I4286,3,FALSE)</f>
        <v>#N/A</v>
      </c>
      <c r="I3794" s="6" t="e">
        <f>VLOOKUP('Customer Info'!A3786,'Customer Info'!A3786:I4285,5,FALSE)</f>
        <v>#N/A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14414</v>
      </c>
      <c r="R3794" s="2" t="s">
        <v>28</v>
      </c>
      <c r="S3794" s="9">
        <f t="shared" si="299"/>
        <v>0.12</v>
      </c>
    </row>
    <row r="3795" spans="1:19" x14ac:dyDescent="0.25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e">
        <f>VLOOKUP('Customer Info'!A3787,'Customer Info'!A3787:I4286,2,FALSE)</f>
        <v>#N/A</v>
      </c>
      <c r="H3795" s="6" t="e">
        <f>VLOOKUP('Customer Info'!A3787,'Customer Info'!A3787:I4287,3,FALSE)</f>
        <v>#N/A</v>
      </c>
      <c r="I3795" s="6" t="e">
        <f>VLOOKUP('Customer Info'!A3787,'Customer Info'!A3787:I4286,5,FALSE)</f>
        <v>#N/A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935</v>
      </c>
      <c r="R3795" s="2" t="s">
        <v>28</v>
      </c>
      <c r="S3795" s="9">
        <f t="shared" si="299"/>
        <v>0.05</v>
      </c>
    </row>
    <row r="3796" spans="1:19" x14ac:dyDescent="0.25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e">
        <f>VLOOKUP('Customer Info'!A3788,'Customer Info'!A3788:I4287,2,FALSE)</f>
        <v>#N/A</v>
      </c>
      <c r="H3796" s="6" t="e">
        <f>VLOOKUP('Customer Info'!A3788,'Customer Info'!A3788:I4288,3,FALSE)</f>
        <v>#N/A</v>
      </c>
      <c r="I3796" s="6" t="e">
        <f>VLOOKUP('Customer Info'!A3788,'Customer Info'!A3788:I4287,5,FALSE)</f>
        <v>#N/A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727</v>
      </c>
      <c r="R3796" s="2" t="s">
        <v>28</v>
      </c>
      <c r="S3796" s="9">
        <f t="shared" si="299"/>
        <v>0.05</v>
      </c>
    </row>
    <row r="3797" spans="1:19" x14ac:dyDescent="0.25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e">
        <f>VLOOKUP('Customer Info'!A3789,'Customer Info'!A3789:I4288,2,FALSE)</f>
        <v>#N/A</v>
      </c>
      <c r="H3797" s="6" t="e">
        <f>VLOOKUP('Customer Info'!A3789,'Customer Info'!A3789:I4289,3,FALSE)</f>
        <v>#N/A</v>
      </c>
      <c r="I3797" s="6" t="e">
        <f>VLOOKUP('Customer Info'!A3789,'Customer Info'!A3789:I4288,5,FALSE)</f>
        <v>#N/A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30</v>
      </c>
      <c r="R3797" s="2" t="s">
        <v>28</v>
      </c>
      <c r="S3797" s="9">
        <f t="shared" si="299"/>
        <v>0.02</v>
      </c>
    </row>
    <row r="3798" spans="1:19" x14ac:dyDescent="0.25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e">
        <f>VLOOKUP('Customer Info'!A3790,'Customer Info'!A3790:I4289,2,FALSE)</f>
        <v>#N/A</v>
      </c>
      <c r="H3798" s="6" t="e">
        <f>VLOOKUP('Customer Info'!A3790,'Customer Info'!A3790:I4290,3,FALSE)</f>
        <v>#N/A</v>
      </c>
      <c r="I3798" s="6" t="e">
        <f>VLOOKUP('Customer Info'!A3790,'Customer Info'!A3790:I4289,5,FALSE)</f>
        <v>#N/A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489</v>
      </c>
      <c r="R3798" s="2" t="s">
        <v>28</v>
      </c>
      <c r="S3798" s="9">
        <f t="shared" si="299"/>
        <v>0.05</v>
      </c>
    </row>
    <row r="3799" spans="1:19" x14ac:dyDescent="0.25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e">
        <f>VLOOKUP('Customer Info'!A3791,'Customer Info'!A3791:I4290,2,FALSE)</f>
        <v>#N/A</v>
      </c>
      <c r="H3799" s="6" t="e">
        <f>VLOOKUP('Customer Info'!A3791,'Customer Info'!A3791:I4291,3,FALSE)</f>
        <v>#N/A</v>
      </c>
      <c r="I3799" s="6" t="e">
        <f>VLOOKUP('Customer Info'!A3791,'Customer Info'!A3791:I4290,5,FALSE)</f>
        <v>#N/A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698</v>
      </c>
      <c r="R3799" s="2" t="s">
        <v>26</v>
      </c>
      <c r="S3799" s="9">
        <f t="shared" si="299"/>
        <v>0.05</v>
      </c>
    </row>
    <row r="3800" spans="1:19" x14ac:dyDescent="0.25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e">
        <f>VLOOKUP('Customer Info'!A3792,'Customer Info'!A3792:I4291,2,FALSE)</f>
        <v>#N/A</v>
      </c>
      <c r="H3800" s="6" t="e">
        <f>VLOOKUP('Customer Info'!A3792,'Customer Info'!A3792:I4292,3,FALSE)</f>
        <v>#N/A</v>
      </c>
      <c r="I3800" s="6" t="e">
        <f>VLOOKUP('Customer Info'!A3792,'Customer Info'!A3792:I4291,5,FALSE)</f>
        <v>#N/A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206</v>
      </c>
      <c r="R3800" s="2" t="s">
        <v>28</v>
      </c>
      <c r="S3800" s="9">
        <f t="shared" si="299"/>
        <v>0.02</v>
      </c>
    </row>
    <row r="3801" spans="1:19" x14ac:dyDescent="0.25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e">
        <f>VLOOKUP('Customer Info'!A3793,'Customer Info'!A3793:I4292,2,FALSE)</f>
        <v>#N/A</v>
      </c>
      <c r="H3801" s="6" t="e">
        <f>VLOOKUP('Customer Info'!A3793,'Customer Info'!A3793:I4293,3,FALSE)</f>
        <v>#N/A</v>
      </c>
      <c r="I3801" s="6" t="e">
        <f>VLOOKUP('Customer Info'!A3793,'Customer Info'!A3793:I4292,5,FALSE)</f>
        <v>#N/A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179</v>
      </c>
      <c r="R3801" s="2" t="s">
        <v>28</v>
      </c>
      <c r="S3801" s="9">
        <f t="shared" si="299"/>
        <v>0.02</v>
      </c>
    </row>
    <row r="3802" spans="1:19" x14ac:dyDescent="0.25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e">
        <f>VLOOKUP('Customer Info'!A3794,'Customer Info'!A3794:I4293,2,FALSE)</f>
        <v>#N/A</v>
      </c>
      <c r="H3802" s="6" t="e">
        <f>VLOOKUP('Customer Info'!A3794,'Customer Info'!A3794:I4294,3,FALSE)</f>
        <v>#N/A</v>
      </c>
      <c r="I3802" s="6" t="e">
        <f>VLOOKUP('Customer Info'!A3794,'Customer Info'!A3794:I4293,5,FALSE)</f>
        <v>#N/A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75</v>
      </c>
      <c r="R3802" s="2" t="s">
        <v>28</v>
      </c>
      <c r="S3802" s="9">
        <f t="shared" si="299"/>
        <v>0.02</v>
      </c>
    </row>
    <row r="3803" spans="1:19" x14ac:dyDescent="0.25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e">
        <f>VLOOKUP('Customer Info'!A3795,'Customer Info'!A3795:I4294,2,FALSE)</f>
        <v>#N/A</v>
      </c>
      <c r="H3803" s="6" t="e">
        <f>VLOOKUP('Customer Info'!A3795,'Customer Info'!A3795:I4295,3,FALSE)</f>
        <v>#N/A</v>
      </c>
      <c r="I3803" s="6" t="e">
        <f>VLOOKUP('Customer Info'!A3795,'Customer Info'!A3795:I4294,5,FALSE)</f>
        <v>#N/A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170</v>
      </c>
      <c r="R3803" s="2" t="s">
        <v>50</v>
      </c>
      <c r="S3803" s="9">
        <f t="shared" si="299"/>
        <v>0.02</v>
      </c>
    </row>
    <row r="3804" spans="1:19" x14ac:dyDescent="0.25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e">
        <f>VLOOKUP('Customer Info'!A3796,'Customer Info'!A3796:I4295,2,FALSE)</f>
        <v>#N/A</v>
      </c>
      <c r="H3804" s="6" t="e">
        <f>VLOOKUP('Customer Info'!A3796,'Customer Info'!A3796:I4296,3,FALSE)</f>
        <v>#N/A</v>
      </c>
      <c r="I3804" s="6" t="e">
        <f>VLOOKUP('Customer Info'!A3796,'Customer Info'!A3796:I4295,5,FALSE)</f>
        <v>#N/A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58</v>
      </c>
      <c r="R3804" s="2" t="s">
        <v>50</v>
      </c>
      <c r="S3804" s="9">
        <f t="shared" si="299"/>
        <v>0.02</v>
      </c>
    </row>
    <row r="3805" spans="1:19" x14ac:dyDescent="0.25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e">
        <f>VLOOKUP('Customer Info'!A3797,'Customer Info'!A3797:I4296,2,FALSE)</f>
        <v>#N/A</v>
      </c>
      <c r="H3805" s="6" t="e">
        <f>VLOOKUP('Customer Info'!A3797,'Customer Info'!A3797:I4297,3,FALSE)</f>
        <v>#N/A</v>
      </c>
      <c r="I3805" s="6" t="e">
        <f>VLOOKUP('Customer Info'!A3797,'Customer Info'!A3797:I4296,5,FALSE)</f>
        <v>#N/A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249</v>
      </c>
      <c r="R3805" s="2" t="s">
        <v>28</v>
      </c>
      <c r="S3805" s="9">
        <f t="shared" si="299"/>
        <v>0.02</v>
      </c>
    </row>
    <row r="3806" spans="1:19" x14ac:dyDescent="0.25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e">
        <f>VLOOKUP('Customer Info'!A3798,'Customer Info'!A3798:I4297,2,FALSE)</f>
        <v>#N/A</v>
      </c>
      <c r="H3806" s="6" t="e">
        <f>VLOOKUP('Customer Info'!A3798,'Customer Info'!A3798:I4298,3,FALSE)</f>
        <v>#N/A</v>
      </c>
      <c r="I3806" s="6" t="e">
        <f>VLOOKUP('Customer Info'!A3798,'Customer Info'!A3798:I4297,5,FALSE)</f>
        <v>#N/A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174</v>
      </c>
      <c r="R3806" s="2" t="s">
        <v>28</v>
      </c>
      <c r="S3806" s="9">
        <f t="shared" si="299"/>
        <v>0.02</v>
      </c>
    </row>
    <row r="3807" spans="1:19" x14ac:dyDescent="0.25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e">
        <f>VLOOKUP('Customer Info'!A3799,'Customer Info'!A3799:I4298,2,FALSE)</f>
        <v>#N/A</v>
      </c>
      <c r="H3807" s="6" t="e">
        <f>VLOOKUP('Customer Info'!A3799,'Customer Info'!A3799:I4299,3,FALSE)</f>
        <v>#N/A</v>
      </c>
      <c r="I3807" s="6" t="e">
        <f>VLOOKUP('Customer Info'!A3799,'Customer Info'!A3799:I4298,5,FALSE)</f>
        <v>#N/A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262</v>
      </c>
      <c r="R3807" s="2" t="s">
        <v>28</v>
      </c>
      <c r="S3807" s="9">
        <f t="shared" si="299"/>
        <v>0.02</v>
      </c>
    </row>
    <row r="3808" spans="1:19" x14ac:dyDescent="0.25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e">
        <f>VLOOKUP('Customer Info'!A3800,'Customer Info'!A3800:I4299,2,FALSE)</f>
        <v>#N/A</v>
      </c>
      <c r="H3808" s="6" t="e">
        <f>VLOOKUP('Customer Info'!A3800,'Customer Info'!A3800:I4300,3,FALSE)</f>
        <v>#N/A</v>
      </c>
      <c r="I3808" s="6" t="e">
        <f>VLOOKUP('Customer Info'!A3800,'Customer Info'!A3800:I4299,5,FALSE)</f>
        <v>#N/A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520</v>
      </c>
      <c r="R3808" s="2" t="s">
        <v>28</v>
      </c>
      <c r="S3808" s="9">
        <f t="shared" si="299"/>
        <v>0.05</v>
      </c>
    </row>
    <row r="3809" spans="1:19" x14ac:dyDescent="0.25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e">
        <f>VLOOKUP('Customer Info'!A3801,'Customer Info'!A3801:I4300,2,FALSE)</f>
        <v>#N/A</v>
      </c>
      <c r="H3809" s="6" t="e">
        <f>VLOOKUP('Customer Info'!A3801,'Customer Info'!A3801:I4301,3,FALSE)</f>
        <v>#N/A</v>
      </c>
      <c r="I3809" s="6" t="e">
        <f>VLOOKUP('Customer Info'!A3801,'Customer Info'!A3801:I4300,5,FALSE)</f>
        <v>#N/A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247</v>
      </c>
      <c r="R3809" s="2" t="s">
        <v>28</v>
      </c>
      <c r="S3809" s="9">
        <f t="shared" si="299"/>
        <v>0.02</v>
      </c>
    </row>
    <row r="3810" spans="1:19" x14ac:dyDescent="0.25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e">
        <f>VLOOKUP('Customer Info'!A3802,'Customer Info'!A3802:I4301,2,FALSE)</f>
        <v>#N/A</v>
      </c>
      <c r="H3810" s="6" t="e">
        <f>VLOOKUP('Customer Info'!A3802,'Customer Info'!A3802:I4302,3,FALSE)</f>
        <v>#N/A</v>
      </c>
      <c r="I3810" s="6" t="e">
        <f>VLOOKUP('Customer Info'!A3802,'Customer Info'!A3802:I4301,5,FALSE)</f>
        <v>#N/A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48</v>
      </c>
      <c r="R3810" s="2" t="s">
        <v>28</v>
      </c>
      <c r="S3810" s="9">
        <f t="shared" si="299"/>
        <v>0.02</v>
      </c>
    </row>
    <row r="3811" spans="1:19" x14ac:dyDescent="0.25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e">
        <f>VLOOKUP('Customer Info'!A3803,'Customer Info'!A3803:I4302,2,FALSE)</f>
        <v>#N/A</v>
      </c>
      <c r="H3811" s="6" t="e">
        <f>VLOOKUP('Customer Info'!A3803,'Customer Info'!A3803:I4303,3,FALSE)</f>
        <v>#N/A</v>
      </c>
      <c r="I3811" s="6" t="e">
        <f>VLOOKUP('Customer Info'!A3803,'Customer Info'!A3803:I4302,5,FALSE)</f>
        <v>#N/A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2641</v>
      </c>
      <c r="R3811" s="2" t="s">
        <v>28</v>
      </c>
      <c r="S3811" s="9">
        <f t="shared" si="299"/>
        <v>7.0000000000000007E-2</v>
      </c>
    </row>
    <row r="3812" spans="1:19" x14ac:dyDescent="0.25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e">
        <f>VLOOKUP('Customer Info'!A3804,'Customer Info'!A3804:I4303,2,FALSE)</f>
        <v>#N/A</v>
      </c>
      <c r="H3812" s="6" t="e">
        <f>VLOOKUP('Customer Info'!A3804,'Customer Info'!A3804:I4304,3,FALSE)</f>
        <v>#N/A</v>
      </c>
      <c r="I3812" s="6" t="e">
        <f>VLOOKUP('Customer Info'!A3804,'Customer Info'!A3804:I4303,5,FALSE)</f>
        <v>#N/A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2130</v>
      </c>
      <c r="R3812" s="2" t="s">
        <v>56</v>
      </c>
      <c r="S3812" s="9">
        <f t="shared" si="299"/>
        <v>7.0000000000000007E-2</v>
      </c>
    </row>
    <row r="3813" spans="1:19" x14ac:dyDescent="0.25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e">
        <f>VLOOKUP('Customer Info'!A3805,'Customer Info'!A3805:I4304,2,FALSE)</f>
        <v>#N/A</v>
      </c>
      <c r="H3813" s="6" t="e">
        <f>VLOOKUP('Customer Info'!A3805,'Customer Info'!A3805:I4305,3,FALSE)</f>
        <v>#N/A</v>
      </c>
      <c r="I3813" s="6" t="e">
        <f>VLOOKUP('Customer Info'!A3805,'Customer Info'!A3805:I4304,5,FALSE)</f>
        <v>#N/A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100</v>
      </c>
      <c r="R3813" s="2" t="s">
        <v>50</v>
      </c>
      <c r="S3813" s="9">
        <f t="shared" si="299"/>
        <v>0.02</v>
      </c>
    </row>
    <row r="3814" spans="1:19" x14ac:dyDescent="0.25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e">
        <f>VLOOKUP('Customer Info'!A3806,'Customer Info'!A3806:I4305,2,FALSE)</f>
        <v>#N/A</v>
      </c>
      <c r="H3814" s="6" t="e">
        <f>VLOOKUP('Customer Info'!A3806,'Customer Info'!A3806:I4306,3,FALSE)</f>
        <v>#N/A</v>
      </c>
      <c r="I3814" s="6" t="e">
        <f>VLOOKUP('Customer Info'!A3806,'Customer Info'!A3806:I4305,5,FALSE)</f>
        <v>#N/A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464</v>
      </c>
      <c r="R3814" s="2" t="s">
        <v>28</v>
      </c>
      <c r="S3814" s="9">
        <f t="shared" si="299"/>
        <v>0.05</v>
      </c>
    </row>
    <row r="3815" spans="1:19" x14ac:dyDescent="0.25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e">
        <f>VLOOKUP('Customer Info'!A3807,'Customer Info'!A3807:I4306,2,FALSE)</f>
        <v>#N/A</v>
      </c>
      <c r="H3815" s="6" t="e">
        <f>VLOOKUP('Customer Info'!A3807,'Customer Info'!A3807:I4307,3,FALSE)</f>
        <v>#N/A</v>
      </c>
      <c r="I3815" s="6" t="e">
        <f>VLOOKUP('Customer Info'!A3807,'Customer Info'!A3807:I4306,5,FALSE)</f>
        <v>#N/A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208</v>
      </c>
      <c r="R3815" s="2" t="s">
        <v>50</v>
      </c>
      <c r="S3815" s="9">
        <f t="shared" si="299"/>
        <v>0.02</v>
      </c>
    </row>
    <row r="3816" spans="1:19" x14ac:dyDescent="0.25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e">
        <f>VLOOKUP('Customer Info'!A3808,'Customer Info'!A3808:I4307,2,FALSE)</f>
        <v>#N/A</v>
      </c>
      <c r="H3816" s="6" t="e">
        <f>VLOOKUP('Customer Info'!A3808,'Customer Info'!A3808:I4308,3,FALSE)</f>
        <v>#N/A</v>
      </c>
      <c r="I3816" s="6" t="e">
        <f>VLOOKUP('Customer Info'!A3808,'Customer Info'!A3808:I4307,5,FALSE)</f>
        <v>#N/A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165</v>
      </c>
      <c r="R3816" s="2" t="s">
        <v>28</v>
      </c>
      <c r="S3816" s="9">
        <f t="shared" si="299"/>
        <v>0.02</v>
      </c>
    </row>
    <row r="3817" spans="1:19" x14ac:dyDescent="0.25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e">
        <f>VLOOKUP('Customer Info'!A3809,'Customer Info'!A3809:I4308,2,FALSE)</f>
        <v>#N/A</v>
      </c>
      <c r="H3817" s="6" t="e">
        <f>VLOOKUP('Customer Info'!A3809,'Customer Info'!A3809:I4309,3,FALSE)</f>
        <v>#N/A</v>
      </c>
      <c r="I3817" s="6" t="e">
        <f>VLOOKUP('Customer Info'!A3809,'Customer Info'!A3809:I4308,5,FALSE)</f>
        <v>#N/A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533</v>
      </c>
      <c r="R3817" s="2" t="s">
        <v>50</v>
      </c>
      <c r="S3817" s="9">
        <f t="shared" si="299"/>
        <v>0.05</v>
      </c>
    </row>
    <row r="3818" spans="1:19" x14ac:dyDescent="0.25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e">
        <f>VLOOKUP('Customer Info'!A3810,'Customer Info'!A3810:I4309,2,FALSE)</f>
        <v>#N/A</v>
      </c>
      <c r="H3818" s="6" t="e">
        <f>VLOOKUP('Customer Info'!A3810,'Customer Info'!A3810:I4310,3,FALSE)</f>
        <v>#N/A</v>
      </c>
      <c r="I3818" s="6" t="e">
        <f>VLOOKUP('Customer Info'!A3810,'Customer Info'!A3810:I4309,5,FALSE)</f>
        <v>#N/A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237</v>
      </c>
      <c r="R3818" s="2" t="s">
        <v>50</v>
      </c>
      <c r="S3818" s="9">
        <f t="shared" si="299"/>
        <v>0.02</v>
      </c>
    </row>
    <row r="3819" spans="1:19" x14ac:dyDescent="0.25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e">
        <f>VLOOKUP('Customer Info'!A3811,'Customer Info'!A3811:I4310,2,FALSE)</f>
        <v>#N/A</v>
      </c>
      <c r="H3819" s="6" t="e">
        <f>VLOOKUP('Customer Info'!A3811,'Customer Info'!A3811:I4311,3,FALSE)</f>
        <v>#N/A</v>
      </c>
      <c r="I3819" s="6" t="e">
        <f>VLOOKUP('Customer Info'!A3811,'Customer Info'!A3811:I4310,5,FALSE)</f>
        <v>#N/A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154</v>
      </c>
      <c r="R3819" s="2" t="s">
        <v>50</v>
      </c>
      <c r="S3819" s="9">
        <f t="shared" si="299"/>
        <v>0.02</v>
      </c>
    </row>
    <row r="3820" spans="1:19" x14ac:dyDescent="0.25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e">
        <f>VLOOKUP('Customer Info'!A3812,'Customer Info'!A3812:I4311,2,FALSE)</f>
        <v>#N/A</v>
      </c>
      <c r="H3820" s="6" t="e">
        <f>VLOOKUP('Customer Info'!A3812,'Customer Info'!A3812:I4312,3,FALSE)</f>
        <v>#N/A</v>
      </c>
      <c r="I3820" s="6" t="e">
        <f>VLOOKUP('Customer Info'!A3812,'Customer Info'!A3812:I4311,5,FALSE)</f>
        <v>#N/A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1345</v>
      </c>
      <c r="R3820" s="2" t="s">
        <v>28</v>
      </c>
      <c r="S3820" s="9">
        <f t="shared" si="299"/>
        <v>0.05</v>
      </c>
    </row>
    <row r="3821" spans="1:19" x14ac:dyDescent="0.25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e">
        <f>VLOOKUP('Customer Info'!A3813,'Customer Info'!A3813:I4312,2,FALSE)</f>
        <v>#N/A</v>
      </c>
      <c r="H3821" s="6" t="e">
        <f>VLOOKUP('Customer Info'!A3813,'Customer Info'!A3813:I4313,3,FALSE)</f>
        <v>#N/A</v>
      </c>
      <c r="I3821" s="6" t="e">
        <f>VLOOKUP('Customer Info'!A3813,'Customer Info'!A3813:I4312,5,FALSE)</f>
        <v>#N/A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38</v>
      </c>
      <c r="R3821" s="2" t="s">
        <v>50</v>
      </c>
      <c r="S3821" s="9">
        <f t="shared" si="299"/>
        <v>0.02</v>
      </c>
    </row>
    <row r="3822" spans="1:19" x14ac:dyDescent="0.25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e">
        <f>VLOOKUP('Customer Info'!A3814,'Customer Info'!A3814:I4313,2,FALSE)</f>
        <v>#N/A</v>
      </c>
      <c r="H3822" s="6" t="e">
        <f>VLOOKUP('Customer Info'!A3814,'Customer Info'!A3814:I4314,3,FALSE)</f>
        <v>#N/A</v>
      </c>
      <c r="I3822" s="6" t="e">
        <f>VLOOKUP('Customer Info'!A3814,'Customer Info'!A3814:I4313,5,FALSE)</f>
        <v>#N/A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430</v>
      </c>
      <c r="R3822" s="2" t="s">
        <v>28</v>
      </c>
      <c r="S3822" s="9">
        <f t="shared" si="299"/>
        <v>0.05</v>
      </c>
    </row>
    <row r="3823" spans="1:19" x14ac:dyDescent="0.25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e">
        <f>VLOOKUP('Customer Info'!A3815,'Customer Info'!A3815:I4314,2,FALSE)</f>
        <v>#N/A</v>
      </c>
      <c r="H3823" s="6" t="e">
        <f>VLOOKUP('Customer Info'!A3815,'Customer Info'!A3815:I4315,3,FALSE)</f>
        <v>#N/A</v>
      </c>
      <c r="I3823" s="6" t="e">
        <f>VLOOKUP('Customer Info'!A3815,'Customer Info'!A3815:I4314,5,FALSE)</f>
        <v>#N/A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3068</v>
      </c>
      <c r="R3823" s="2" t="s">
        <v>28</v>
      </c>
      <c r="S3823" s="9">
        <f t="shared" si="299"/>
        <v>7.0000000000000007E-2</v>
      </c>
    </row>
    <row r="3824" spans="1:19" x14ac:dyDescent="0.25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e">
        <f>VLOOKUP('Customer Info'!A3816,'Customer Info'!A3816:I4315,2,FALSE)</f>
        <v>#N/A</v>
      </c>
      <c r="H3824" s="6" t="e">
        <f>VLOOKUP('Customer Info'!A3816,'Customer Info'!A3816:I4316,3,FALSE)</f>
        <v>#N/A</v>
      </c>
      <c r="I3824" s="6" t="e">
        <f>VLOOKUP('Customer Info'!A3816,'Customer Info'!A3816:I4315,5,FALSE)</f>
        <v>#N/A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1653</v>
      </c>
      <c r="R3824" s="2" t="s">
        <v>28</v>
      </c>
      <c r="S3824" s="9">
        <f t="shared" si="299"/>
        <v>0.05</v>
      </c>
    </row>
    <row r="3825" spans="1:19" x14ac:dyDescent="0.25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e">
        <f>VLOOKUP('Customer Info'!A3817,'Customer Info'!A3817:I4316,2,FALSE)</f>
        <v>#N/A</v>
      </c>
      <c r="H3825" s="6" t="e">
        <f>VLOOKUP('Customer Info'!A3817,'Customer Info'!A3817:I4317,3,FALSE)</f>
        <v>#N/A</v>
      </c>
      <c r="I3825" s="6" t="e">
        <f>VLOOKUP('Customer Info'!A3817,'Customer Info'!A3817:I4316,5,FALSE)</f>
        <v>#N/A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3073</v>
      </c>
      <c r="R3825" s="2" t="s">
        <v>26</v>
      </c>
      <c r="S3825" s="9">
        <f t="shared" si="299"/>
        <v>0.09</v>
      </c>
    </row>
    <row r="3826" spans="1:19" x14ac:dyDescent="0.25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e">
        <f>VLOOKUP('Customer Info'!A3818,'Customer Info'!A3818:I4317,2,FALSE)</f>
        <v>#N/A</v>
      </c>
      <c r="H3826" s="6" t="e">
        <f>VLOOKUP('Customer Info'!A3818,'Customer Info'!A3818:I4318,3,FALSE)</f>
        <v>#N/A</v>
      </c>
      <c r="I3826" s="6" t="e">
        <f>VLOOKUP('Customer Info'!A3818,'Customer Info'!A3818:I4317,5,FALSE)</f>
        <v>#N/A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42</v>
      </c>
      <c r="R3826" s="2" t="s">
        <v>56</v>
      </c>
      <c r="S3826" s="9">
        <f t="shared" si="299"/>
        <v>0.02</v>
      </c>
    </row>
    <row r="3827" spans="1:19" x14ac:dyDescent="0.25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e">
        <f>VLOOKUP('Customer Info'!A3819,'Customer Info'!A3819:I4318,2,FALSE)</f>
        <v>#N/A</v>
      </c>
      <c r="H3827" s="6" t="e">
        <f>VLOOKUP('Customer Info'!A3819,'Customer Info'!A3819:I4319,3,FALSE)</f>
        <v>#N/A</v>
      </c>
      <c r="I3827" s="6" t="e">
        <f>VLOOKUP('Customer Info'!A3819,'Customer Info'!A3819:I4318,5,FALSE)</f>
        <v>#N/A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2110</v>
      </c>
      <c r="R3827" s="2" t="s">
        <v>26</v>
      </c>
      <c r="S3827" s="9">
        <f t="shared" si="299"/>
        <v>0.05</v>
      </c>
    </row>
    <row r="3828" spans="1:19" x14ac:dyDescent="0.25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e">
        <f>VLOOKUP('Customer Info'!A3820,'Customer Info'!A3820:I4319,2,FALSE)</f>
        <v>#N/A</v>
      </c>
      <c r="H3828" s="6" t="e">
        <f>VLOOKUP('Customer Info'!A3820,'Customer Info'!A3820:I4320,3,FALSE)</f>
        <v>#N/A</v>
      </c>
      <c r="I3828" s="6" t="e">
        <f>VLOOKUP('Customer Info'!A3820,'Customer Info'!A3820:I4319,5,FALSE)</f>
        <v>#N/A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1249</v>
      </c>
      <c r="R3828" s="2" t="s">
        <v>28</v>
      </c>
      <c r="S3828" s="9">
        <f t="shared" si="299"/>
        <v>7.0000000000000007E-2</v>
      </c>
    </row>
    <row r="3829" spans="1:19" x14ac:dyDescent="0.25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e">
        <f>VLOOKUP('Customer Info'!A3821,'Customer Info'!A3821:I4320,2,FALSE)</f>
        <v>#N/A</v>
      </c>
      <c r="H3829" s="6" t="e">
        <f>VLOOKUP('Customer Info'!A3821,'Customer Info'!A3821:I4321,3,FALSE)</f>
        <v>#N/A</v>
      </c>
      <c r="I3829" s="6" t="e">
        <f>VLOOKUP('Customer Info'!A3821,'Customer Info'!A3821:I4320,5,FALSE)</f>
        <v>#N/A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45</v>
      </c>
      <c r="R3829" s="2" t="s">
        <v>50</v>
      </c>
      <c r="S3829" s="9">
        <f t="shared" si="299"/>
        <v>0.02</v>
      </c>
    </row>
    <row r="3830" spans="1:19" x14ac:dyDescent="0.25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e">
        <f>VLOOKUP('Customer Info'!A3822,'Customer Info'!A3822:I4321,2,FALSE)</f>
        <v>#N/A</v>
      </c>
      <c r="H3830" s="6" t="e">
        <f>VLOOKUP('Customer Info'!A3822,'Customer Info'!A3822:I4322,3,FALSE)</f>
        <v>#N/A</v>
      </c>
      <c r="I3830" s="6" t="e">
        <f>VLOOKUP('Customer Info'!A3822,'Customer Info'!A3822:I4321,5,FALSE)</f>
        <v>#N/A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190</v>
      </c>
      <c r="R3830" s="2" t="s">
        <v>28</v>
      </c>
      <c r="S3830" s="9">
        <f t="shared" si="299"/>
        <v>0.02</v>
      </c>
    </row>
    <row r="3831" spans="1:19" x14ac:dyDescent="0.25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e">
        <f>VLOOKUP('Customer Info'!A3823,'Customer Info'!A3823:I4322,2,FALSE)</f>
        <v>#N/A</v>
      </c>
      <c r="H3831" s="6" t="e">
        <f>VLOOKUP('Customer Info'!A3823,'Customer Info'!A3823:I4323,3,FALSE)</f>
        <v>#N/A</v>
      </c>
      <c r="I3831" s="6" t="e">
        <f>VLOOKUP('Customer Info'!A3823,'Customer Info'!A3823:I4322,5,FALSE)</f>
        <v>#N/A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100</v>
      </c>
      <c r="R3831" s="2" t="s">
        <v>50</v>
      </c>
      <c r="S3831" s="9">
        <f t="shared" si="299"/>
        <v>0.02</v>
      </c>
    </row>
    <row r="3832" spans="1:19" x14ac:dyDescent="0.25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e">
        <f>VLOOKUP('Customer Info'!A3824,'Customer Info'!A3824:I4323,2,FALSE)</f>
        <v>#N/A</v>
      </c>
      <c r="H3832" s="6" t="e">
        <f>VLOOKUP('Customer Info'!A3824,'Customer Info'!A3824:I4324,3,FALSE)</f>
        <v>#N/A</v>
      </c>
      <c r="I3832" s="6" t="e">
        <f>VLOOKUP('Customer Info'!A3824,'Customer Info'!A3824:I4323,5,FALSE)</f>
        <v>#N/A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220</v>
      </c>
      <c r="R3832" s="2" t="s">
        <v>50</v>
      </c>
      <c r="S3832" s="9">
        <f t="shared" si="299"/>
        <v>0.02</v>
      </c>
    </row>
    <row r="3833" spans="1:19" x14ac:dyDescent="0.25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e">
        <f>VLOOKUP('Customer Info'!A3825,'Customer Info'!A3825:I4324,2,FALSE)</f>
        <v>#N/A</v>
      </c>
      <c r="H3833" s="6" t="e">
        <f>VLOOKUP('Customer Info'!A3825,'Customer Info'!A3825:I4325,3,FALSE)</f>
        <v>#N/A</v>
      </c>
      <c r="I3833" s="6" t="e">
        <f>VLOOKUP('Customer Info'!A3825,'Customer Info'!A3825:I4324,5,FALSE)</f>
        <v>#N/A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927</v>
      </c>
      <c r="R3833" s="2" t="s">
        <v>28</v>
      </c>
      <c r="S3833" s="9">
        <f t="shared" si="299"/>
        <v>0.05</v>
      </c>
    </row>
    <row r="3834" spans="1:19" x14ac:dyDescent="0.25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e">
        <f>VLOOKUP('Customer Info'!A3826,'Customer Info'!A3826:I4325,2,FALSE)</f>
        <v>#N/A</v>
      </c>
      <c r="H3834" s="6" t="e">
        <f>VLOOKUP('Customer Info'!A3826,'Customer Info'!A3826:I4326,3,FALSE)</f>
        <v>#N/A</v>
      </c>
      <c r="I3834" s="6" t="e">
        <f>VLOOKUP('Customer Info'!A3826,'Customer Info'!A3826:I4325,5,FALSE)</f>
        <v>#N/A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1122</v>
      </c>
      <c r="R3834" s="2" t="s">
        <v>26</v>
      </c>
      <c r="S3834" s="9">
        <f t="shared" si="299"/>
        <v>0.05</v>
      </c>
    </row>
    <row r="3835" spans="1:19" x14ac:dyDescent="0.25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e">
        <f>VLOOKUP('Customer Info'!A3827,'Customer Info'!A3827:I4326,2,FALSE)</f>
        <v>#N/A</v>
      </c>
      <c r="H3835" s="6" t="e">
        <f>VLOOKUP('Customer Info'!A3827,'Customer Info'!A3827:I4327,3,FALSE)</f>
        <v>#N/A</v>
      </c>
      <c r="I3835" s="6" t="e">
        <f>VLOOKUP('Customer Info'!A3827,'Customer Info'!A3827:I4326,5,FALSE)</f>
        <v>#N/A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335</v>
      </c>
      <c r="R3835" s="2" t="s">
        <v>28</v>
      </c>
      <c r="S3835" s="9">
        <f t="shared" si="299"/>
        <v>0.02</v>
      </c>
    </row>
    <row r="3836" spans="1:19" x14ac:dyDescent="0.25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e">
        <f>VLOOKUP('Customer Info'!A3828,'Customer Info'!A3828:I4327,2,FALSE)</f>
        <v>#N/A</v>
      </c>
      <c r="H3836" s="6" t="e">
        <f>VLOOKUP('Customer Info'!A3828,'Customer Info'!A3828:I4328,3,FALSE)</f>
        <v>#N/A</v>
      </c>
      <c r="I3836" s="6" t="e">
        <f>VLOOKUP('Customer Info'!A3828,'Customer Info'!A3828:I4327,5,FALSE)</f>
        <v>#N/A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3562</v>
      </c>
      <c r="R3836" s="2" t="s">
        <v>28</v>
      </c>
      <c r="S3836" s="9">
        <f t="shared" si="299"/>
        <v>7.0000000000000007E-2</v>
      </c>
    </row>
    <row r="3837" spans="1:19" x14ac:dyDescent="0.25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e">
        <f>VLOOKUP('Customer Info'!A3829,'Customer Info'!A3829:I4328,2,FALSE)</f>
        <v>#N/A</v>
      </c>
      <c r="H3837" s="6" t="e">
        <f>VLOOKUP('Customer Info'!A3829,'Customer Info'!A3829:I4329,3,FALSE)</f>
        <v>#N/A</v>
      </c>
      <c r="I3837" s="6" t="e">
        <f>VLOOKUP('Customer Info'!A3829,'Customer Info'!A3829:I4328,5,FALSE)</f>
        <v>#N/A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14</v>
      </c>
      <c r="R3837" s="2" t="s">
        <v>28</v>
      </c>
      <c r="S3837" s="9">
        <f t="shared" si="299"/>
        <v>0.02</v>
      </c>
    </row>
    <row r="3838" spans="1:19" x14ac:dyDescent="0.25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e">
        <f>VLOOKUP('Customer Info'!A3830,'Customer Info'!A3830:I4329,2,FALSE)</f>
        <v>#N/A</v>
      </c>
      <c r="H3838" s="6" t="e">
        <f>VLOOKUP('Customer Info'!A3830,'Customer Info'!A3830:I4330,3,FALSE)</f>
        <v>#N/A</v>
      </c>
      <c r="I3838" s="6" t="e">
        <f>VLOOKUP('Customer Info'!A3830,'Customer Info'!A3830:I4329,5,FALSE)</f>
        <v>#N/A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55</v>
      </c>
      <c r="R3838" s="2" t="s">
        <v>28</v>
      </c>
      <c r="S3838" s="9">
        <f t="shared" si="299"/>
        <v>0.02</v>
      </c>
    </row>
    <row r="3839" spans="1:19" x14ac:dyDescent="0.25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e">
        <f>VLOOKUP('Customer Info'!A3831,'Customer Info'!A3831:I4330,2,FALSE)</f>
        <v>#N/A</v>
      </c>
      <c r="H3839" s="6" t="e">
        <f>VLOOKUP('Customer Info'!A3831,'Customer Info'!A3831:I4331,3,FALSE)</f>
        <v>#N/A</v>
      </c>
      <c r="I3839" s="6" t="e">
        <f>VLOOKUP('Customer Info'!A3831,'Customer Info'!A3831:I4330,5,FALSE)</f>
        <v>#N/A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45</v>
      </c>
      <c r="R3839" s="2" t="s">
        <v>28</v>
      </c>
      <c r="S3839" s="9">
        <f t="shared" si="299"/>
        <v>0.02</v>
      </c>
    </row>
    <row r="3840" spans="1:19" x14ac:dyDescent="0.25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e">
        <f>VLOOKUP('Customer Info'!A3832,'Customer Info'!A3832:I4331,2,FALSE)</f>
        <v>#N/A</v>
      </c>
      <c r="H3840" s="6" t="e">
        <f>VLOOKUP('Customer Info'!A3832,'Customer Info'!A3832:I4332,3,FALSE)</f>
        <v>#N/A</v>
      </c>
      <c r="I3840" s="6" t="e">
        <f>VLOOKUP('Customer Info'!A3832,'Customer Info'!A3832:I4331,5,FALSE)</f>
        <v>#N/A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2495</v>
      </c>
      <c r="R3840" s="2" t="s">
        <v>28</v>
      </c>
      <c r="S3840" s="9">
        <f t="shared" si="299"/>
        <v>0.05</v>
      </c>
    </row>
    <row r="3841" spans="1:19" x14ac:dyDescent="0.25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e">
        <f>VLOOKUP('Customer Info'!A3833,'Customer Info'!A3833:I4332,2,FALSE)</f>
        <v>#N/A</v>
      </c>
      <c r="H3841" s="6" t="e">
        <f>VLOOKUP('Customer Info'!A3833,'Customer Info'!A3833:I4333,3,FALSE)</f>
        <v>#N/A</v>
      </c>
      <c r="I3841" s="6" t="e">
        <f>VLOOKUP('Customer Info'!A3833,'Customer Info'!A3833:I4332,5,FALSE)</f>
        <v>#N/A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218</v>
      </c>
      <c r="R3841" s="2" t="s">
        <v>50</v>
      </c>
      <c r="S3841" s="9">
        <f t="shared" si="299"/>
        <v>0.02</v>
      </c>
    </row>
    <row r="3842" spans="1:19" x14ac:dyDescent="0.25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e">
        <f>VLOOKUP('Customer Info'!A3834,'Customer Info'!A3834:I4333,2,FALSE)</f>
        <v>#N/A</v>
      </c>
      <c r="H3842" s="6" t="e">
        <f>VLOOKUP('Customer Info'!A3834,'Customer Info'!A3834:I4334,3,FALSE)</f>
        <v>#N/A</v>
      </c>
      <c r="I3842" s="6" t="e">
        <f>VLOOKUP('Customer Info'!A3834,'Customer Info'!A3834:I4333,5,FALSE)</f>
        <v>#N/A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356</v>
      </c>
      <c r="R3842" s="2" t="s">
        <v>28</v>
      </c>
      <c r="S3842" s="9">
        <f t="shared" si="299"/>
        <v>0.05</v>
      </c>
    </row>
    <row r="3843" spans="1:19" x14ac:dyDescent="0.25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e">
        <f>VLOOKUP('Customer Info'!A3835,'Customer Info'!A3835:I4334,2,FALSE)</f>
        <v>#N/A</v>
      </c>
      <c r="H3843" s="6" t="e">
        <f>VLOOKUP('Customer Info'!A3835,'Customer Info'!A3835:I4335,3,FALSE)</f>
        <v>#N/A</v>
      </c>
      <c r="I3843" s="6" t="e">
        <f>VLOOKUP('Customer Info'!A3835,'Customer Info'!A3835:I4334,5,FALSE)</f>
        <v>#N/A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2063</v>
      </c>
      <c r="R3843" s="2" t="s">
        <v>50</v>
      </c>
      <c r="S3843" s="9">
        <f t="shared" si="299"/>
        <v>0.05</v>
      </c>
    </row>
    <row r="3844" spans="1:19" x14ac:dyDescent="0.25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e">
        <f>VLOOKUP('Customer Info'!A3836,'Customer Info'!A3836:I4335,2,FALSE)</f>
        <v>#N/A</v>
      </c>
      <c r="H3844" s="6" t="e">
        <f>VLOOKUP('Customer Info'!A3836,'Customer Info'!A3836:I4336,3,FALSE)</f>
        <v>#N/A</v>
      </c>
      <c r="I3844" s="6" t="e">
        <f>VLOOKUP('Customer Info'!A3836,'Customer Info'!A3836:I4335,5,FALSE)</f>
        <v>#N/A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503</v>
      </c>
      <c r="R3844" s="2" t="s">
        <v>56</v>
      </c>
      <c r="S3844" s="9">
        <f t="shared" si="299"/>
        <v>0.02</v>
      </c>
    </row>
    <row r="3845" spans="1:19" x14ac:dyDescent="0.25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e">
        <f>VLOOKUP('Customer Info'!A3837,'Customer Info'!A3837:I4336,2,FALSE)</f>
        <v>#N/A</v>
      </c>
      <c r="H3845" s="6" t="e">
        <f>VLOOKUP('Customer Info'!A3837,'Customer Info'!A3837:I4337,3,FALSE)</f>
        <v>#N/A</v>
      </c>
      <c r="I3845" s="6" t="e">
        <f>VLOOKUP('Customer Info'!A3837,'Customer Info'!A3837:I4336,5,FALSE)</f>
        <v>#N/A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14</v>
      </c>
      <c r="R3845" s="2" t="s">
        <v>50</v>
      </c>
      <c r="S3845" s="9">
        <f t="shared" si="299"/>
        <v>0.02</v>
      </c>
    </row>
    <row r="3846" spans="1:19" x14ac:dyDescent="0.25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e">
        <f>VLOOKUP('Customer Info'!A3838,'Customer Info'!A3838:I4337,2,FALSE)</f>
        <v>#N/A</v>
      </c>
      <c r="H3846" s="6" t="e">
        <f>VLOOKUP('Customer Info'!A3838,'Customer Info'!A3838:I4338,3,FALSE)</f>
        <v>#N/A</v>
      </c>
      <c r="I3846" s="6" t="e">
        <f>VLOOKUP('Customer Info'!A3838,'Customer Info'!A3838:I4337,5,FALSE)</f>
        <v>#N/A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163</v>
      </c>
      <c r="R3846" s="2" t="s">
        <v>50</v>
      </c>
      <c r="S3846" s="9">
        <f t="shared" si="299"/>
        <v>0.02</v>
      </c>
    </row>
    <row r="3847" spans="1:19" x14ac:dyDescent="0.25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e">
        <f>VLOOKUP('Customer Info'!A3839,'Customer Info'!A3839:I4338,2,FALSE)</f>
        <v>#N/A</v>
      </c>
      <c r="H3847" s="6" t="e">
        <f>VLOOKUP('Customer Info'!A3839,'Customer Info'!A3839:I4339,3,FALSE)</f>
        <v>#N/A</v>
      </c>
      <c r="I3847" s="6" t="e">
        <f>VLOOKUP('Customer Info'!A3839,'Customer Info'!A3839:I4338,5,FALSE)</f>
        <v>#N/A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266</v>
      </c>
      <c r="R3847" s="2" t="s">
        <v>28</v>
      </c>
      <c r="S3847" s="9">
        <f t="shared" si="299"/>
        <v>0.05</v>
      </c>
    </row>
    <row r="3848" spans="1:19" x14ac:dyDescent="0.25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e">
        <f>VLOOKUP('Customer Info'!A3840,'Customer Info'!A3840:I4339,2,FALSE)</f>
        <v>#N/A</v>
      </c>
      <c r="H3848" s="6" t="e">
        <f>VLOOKUP('Customer Info'!A3840,'Customer Info'!A3840:I4340,3,FALSE)</f>
        <v>#N/A</v>
      </c>
      <c r="I3848" s="6" t="e">
        <f>VLOOKUP('Customer Info'!A3840,'Customer Info'!A3840:I4339,5,FALSE)</f>
        <v>#N/A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4724</v>
      </c>
      <c r="R3848" s="2" t="s">
        <v>28</v>
      </c>
      <c r="S3848" s="9">
        <f t="shared" si="299"/>
        <v>0.09</v>
      </c>
    </row>
    <row r="3849" spans="1:19" x14ac:dyDescent="0.25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e">
        <f>VLOOKUP('Customer Info'!A3841,'Customer Info'!A3841:I4340,2,FALSE)</f>
        <v>#N/A</v>
      </c>
      <c r="H3849" s="6" t="e">
        <f>VLOOKUP('Customer Info'!A3841,'Customer Info'!A3841:I4341,3,FALSE)</f>
        <v>#N/A</v>
      </c>
      <c r="I3849" s="6" t="e">
        <f>VLOOKUP('Customer Info'!A3841,'Customer Info'!A3841:I4340,5,FALSE)</f>
        <v>#N/A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48</v>
      </c>
      <c r="R3849" s="2" t="s">
        <v>28</v>
      </c>
      <c r="S3849" s="9">
        <f t="shared" si="299"/>
        <v>0.02</v>
      </c>
    </row>
    <row r="3850" spans="1:19" x14ac:dyDescent="0.25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e">
        <f>VLOOKUP('Customer Info'!A3842,'Customer Info'!A3842:I4341,2,FALSE)</f>
        <v>#N/A</v>
      </c>
      <c r="H3850" s="6" t="e">
        <f>VLOOKUP('Customer Info'!A3842,'Customer Info'!A3842:I4342,3,FALSE)</f>
        <v>#N/A</v>
      </c>
      <c r="I3850" s="6" t="e">
        <f>VLOOKUP('Customer Info'!A3842,'Customer Info'!A3842:I4341,5,FALSE)</f>
        <v>#N/A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3126</v>
      </c>
      <c r="R3850" s="2" t="s">
        <v>28</v>
      </c>
      <c r="S3850" s="9">
        <f t="shared" si="299"/>
        <v>7.0000000000000007E-2</v>
      </c>
    </row>
    <row r="3851" spans="1:19" x14ac:dyDescent="0.25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e">
        <f>VLOOKUP('Customer Info'!A3843,'Customer Info'!A3843:I4342,2,FALSE)</f>
        <v>#N/A</v>
      </c>
      <c r="H3851" s="6" t="e">
        <f>VLOOKUP('Customer Info'!A3843,'Customer Info'!A3843:I4343,3,FALSE)</f>
        <v>#N/A</v>
      </c>
      <c r="I3851" s="6" t="e">
        <f>VLOOKUP('Customer Info'!A3843,'Customer Info'!A3843:I4342,5,FALSE)</f>
        <v>#N/A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8">
        <f t="shared" ref="P3851:P3914" si="302">N3851+O3851</f>
        <v>215</v>
      </c>
      <c r="Q3851" s="8">
        <f t="shared" ref="Q3851:Q3914" si="303">P3851-M3851</f>
        <v>41</v>
      </c>
      <c r="R3851" s="2" t="s">
        <v>28</v>
      </c>
      <c r="S3851" s="9">
        <f t="shared" ref="S3851:S3914" si="304">VLOOKUP(P3851,$T$2:$U$7,2,TRUE)</f>
        <v>0.02</v>
      </c>
    </row>
    <row r="3852" spans="1:19" x14ac:dyDescent="0.25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e">
        <f>VLOOKUP('Customer Info'!A3844,'Customer Info'!A3844:I4343,2,FALSE)</f>
        <v>#N/A</v>
      </c>
      <c r="H3852" s="6" t="e">
        <f>VLOOKUP('Customer Info'!A3844,'Customer Info'!A3844:I4344,3,FALSE)</f>
        <v>#N/A</v>
      </c>
      <c r="I3852" s="6" t="e">
        <f>VLOOKUP('Customer Info'!A3844,'Customer Info'!A3844:I4343,5,FALSE)</f>
        <v>#N/A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1884</v>
      </c>
      <c r="R3852" s="2" t="s">
        <v>28</v>
      </c>
      <c r="S3852" s="9">
        <f t="shared" si="304"/>
        <v>0.05</v>
      </c>
    </row>
    <row r="3853" spans="1:19" x14ac:dyDescent="0.25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e">
        <f>VLOOKUP('Customer Info'!A3845,'Customer Info'!A3845:I4344,2,FALSE)</f>
        <v>#N/A</v>
      </c>
      <c r="H3853" s="6" t="e">
        <f>VLOOKUP('Customer Info'!A3845,'Customer Info'!A3845:I4345,3,FALSE)</f>
        <v>#N/A</v>
      </c>
      <c r="I3853" s="6" t="e">
        <f>VLOOKUP('Customer Info'!A3845,'Customer Info'!A3845:I4344,5,FALSE)</f>
        <v>#N/A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113</v>
      </c>
      <c r="R3853" s="2" t="s">
        <v>50</v>
      </c>
      <c r="S3853" s="9">
        <f t="shared" si="304"/>
        <v>0.02</v>
      </c>
    </row>
    <row r="3854" spans="1:19" x14ac:dyDescent="0.25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e">
        <f>VLOOKUP('Customer Info'!A3846,'Customer Info'!A3846:I4345,2,FALSE)</f>
        <v>#N/A</v>
      </c>
      <c r="H3854" s="6" t="e">
        <f>VLOOKUP('Customer Info'!A3846,'Customer Info'!A3846:I4346,3,FALSE)</f>
        <v>#N/A</v>
      </c>
      <c r="I3854" s="6" t="e">
        <f>VLOOKUP('Customer Info'!A3846,'Customer Info'!A3846:I4345,5,FALSE)</f>
        <v>#N/A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776</v>
      </c>
      <c r="R3854" s="2" t="s">
        <v>28</v>
      </c>
      <c r="S3854" s="9">
        <f t="shared" si="304"/>
        <v>0.05</v>
      </c>
    </row>
    <row r="3855" spans="1:19" x14ac:dyDescent="0.25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e">
        <f>VLOOKUP('Customer Info'!A3847,'Customer Info'!A3847:I4346,2,FALSE)</f>
        <v>#N/A</v>
      </c>
      <c r="H3855" s="6" t="e">
        <f>VLOOKUP('Customer Info'!A3847,'Customer Info'!A3847:I4347,3,FALSE)</f>
        <v>#N/A</v>
      </c>
      <c r="I3855" s="6" t="e">
        <f>VLOOKUP('Customer Info'!A3847,'Customer Info'!A3847:I4346,5,FALSE)</f>
        <v>#N/A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221</v>
      </c>
      <c r="R3855" s="2" t="s">
        <v>50</v>
      </c>
      <c r="S3855" s="9">
        <f t="shared" si="304"/>
        <v>0.02</v>
      </c>
    </row>
    <row r="3856" spans="1:19" x14ac:dyDescent="0.25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e">
        <f>VLOOKUP('Customer Info'!A3848,'Customer Info'!A3848:I4347,2,FALSE)</f>
        <v>#N/A</v>
      </c>
      <c r="H3856" s="6" t="e">
        <f>VLOOKUP('Customer Info'!A3848,'Customer Info'!A3848:I4348,3,FALSE)</f>
        <v>#N/A</v>
      </c>
      <c r="I3856" s="6" t="e">
        <f>VLOOKUP('Customer Info'!A3848,'Customer Info'!A3848:I4347,5,FALSE)</f>
        <v>#N/A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639</v>
      </c>
      <c r="R3856" s="2" t="s">
        <v>28</v>
      </c>
      <c r="S3856" s="9">
        <f t="shared" si="304"/>
        <v>0.05</v>
      </c>
    </row>
    <row r="3857" spans="1:19" x14ac:dyDescent="0.25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e">
        <f>VLOOKUP('Customer Info'!A3849,'Customer Info'!A3849:I4348,2,FALSE)</f>
        <v>#N/A</v>
      </c>
      <c r="H3857" s="6" t="e">
        <f>VLOOKUP('Customer Info'!A3849,'Customer Info'!A3849:I4349,3,FALSE)</f>
        <v>#N/A</v>
      </c>
      <c r="I3857" s="6" t="e">
        <f>VLOOKUP('Customer Info'!A3849,'Customer Info'!A3849:I4348,5,FALSE)</f>
        <v>#N/A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151</v>
      </c>
      <c r="R3857" s="2" t="s">
        <v>28</v>
      </c>
      <c r="S3857" s="9">
        <f t="shared" si="304"/>
        <v>0.02</v>
      </c>
    </row>
    <row r="3858" spans="1:19" x14ac:dyDescent="0.25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e">
        <f>VLOOKUP('Customer Info'!A3850,'Customer Info'!A3850:I4349,2,FALSE)</f>
        <v>#N/A</v>
      </c>
      <c r="H3858" s="6" t="e">
        <f>VLOOKUP('Customer Info'!A3850,'Customer Info'!A3850:I4350,3,FALSE)</f>
        <v>#N/A</v>
      </c>
      <c r="I3858" s="6" t="e">
        <f>VLOOKUP('Customer Info'!A3850,'Customer Info'!A3850:I4349,5,FALSE)</f>
        <v>#N/A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2500</v>
      </c>
      <c r="R3858" s="2" t="s">
        <v>50</v>
      </c>
      <c r="S3858" s="9">
        <f t="shared" si="304"/>
        <v>7.0000000000000007E-2</v>
      </c>
    </row>
    <row r="3859" spans="1:19" x14ac:dyDescent="0.25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e">
        <f>VLOOKUP('Customer Info'!A3851,'Customer Info'!A3851:I4350,2,FALSE)</f>
        <v>#N/A</v>
      </c>
      <c r="H3859" s="6" t="e">
        <f>VLOOKUP('Customer Info'!A3851,'Customer Info'!A3851:I4351,3,FALSE)</f>
        <v>#N/A</v>
      </c>
      <c r="I3859" s="6" t="e">
        <f>VLOOKUP('Customer Info'!A3851,'Customer Info'!A3851:I4350,5,FALSE)</f>
        <v>#N/A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107</v>
      </c>
      <c r="R3859" s="2" t="s">
        <v>28</v>
      </c>
      <c r="S3859" s="9">
        <f t="shared" si="304"/>
        <v>0.02</v>
      </c>
    </row>
    <row r="3860" spans="1:19" x14ac:dyDescent="0.25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e">
        <f>VLOOKUP('Customer Info'!A3852,'Customer Info'!A3852:I4351,2,FALSE)</f>
        <v>#N/A</v>
      </c>
      <c r="H3860" s="6" t="e">
        <f>VLOOKUP('Customer Info'!A3852,'Customer Info'!A3852:I4352,3,FALSE)</f>
        <v>#N/A</v>
      </c>
      <c r="I3860" s="6" t="e">
        <f>VLOOKUP('Customer Info'!A3852,'Customer Info'!A3852:I4351,5,FALSE)</f>
        <v>#N/A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1732</v>
      </c>
      <c r="R3860" s="2" t="s">
        <v>50</v>
      </c>
      <c r="S3860" s="9">
        <f t="shared" si="304"/>
        <v>0.05</v>
      </c>
    </row>
    <row r="3861" spans="1:19" x14ac:dyDescent="0.25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e">
        <f>VLOOKUP('Customer Info'!A3853,'Customer Info'!A3853:I4352,2,FALSE)</f>
        <v>#N/A</v>
      </c>
      <c r="H3861" s="6" t="e">
        <f>VLOOKUP('Customer Info'!A3853,'Customer Info'!A3853:I4353,3,FALSE)</f>
        <v>#N/A</v>
      </c>
      <c r="I3861" s="6" t="e">
        <f>VLOOKUP('Customer Info'!A3853,'Customer Info'!A3853:I4352,5,FALSE)</f>
        <v>#N/A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614</v>
      </c>
      <c r="R3861" s="2" t="s">
        <v>28</v>
      </c>
      <c r="S3861" s="9">
        <f t="shared" si="304"/>
        <v>0.05</v>
      </c>
    </row>
    <row r="3862" spans="1:19" x14ac:dyDescent="0.25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e">
        <f>VLOOKUP('Customer Info'!A3854,'Customer Info'!A3854:I4353,2,FALSE)</f>
        <v>#N/A</v>
      </c>
      <c r="H3862" s="6" t="e">
        <f>VLOOKUP('Customer Info'!A3854,'Customer Info'!A3854:I4354,3,FALSE)</f>
        <v>#N/A</v>
      </c>
      <c r="I3862" s="6" t="e">
        <f>VLOOKUP('Customer Info'!A3854,'Customer Info'!A3854:I4353,5,FALSE)</f>
        <v>#N/A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45</v>
      </c>
      <c r="R3862" s="2" t="s">
        <v>56</v>
      </c>
      <c r="S3862" s="9">
        <f t="shared" si="304"/>
        <v>0.02</v>
      </c>
    </row>
    <row r="3863" spans="1:19" x14ac:dyDescent="0.25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e">
        <f>VLOOKUP('Customer Info'!A3855,'Customer Info'!A3855:I4354,2,FALSE)</f>
        <v>#N/A</v>
      </c>
      <c r="H3863" s="6" t="e">
        <f>VLOOKUP('Customer Info'!A3855,'Customer Info'!A3855:I4355,3,FALSE)</f>
        <v>#N/A</v>
      </c>
      <c r="I3863" s="6" t="e">
        <f>VLOOKUP('Customer Info'!A3855,'Customer Info'!A3855:I4354,5,FALSE)</f>
        <v>#N/A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35</v>
      </c>
      <c r="R3863" s="2" t="s">
        <v>26</v>
      </c>
      <c r="S3863" s="9">
        <f t="shared" si="304"/>
        <v>0.02</v>
      </c>
    </row>
    <row r="3864" spans="1:19" x14ac:dyDescent="0.25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e">
        <f>VLOOKUP('Customer Info'!A3856,'Customer Info'!A3856:I4355,2,FALSE)</f>
        <v>#N/A</v>
      </c>
      <c r="H3864" s="6" t="e">
        <f>VLOOKUP('Customer Info'!A3856,'Customer Info'!A3856:I4356,3,FALSE)</f>
        <v>#N/A</v>
      </c>
      <c r="I3864" s="6" t="e">
        <f>VLOOKUP('Customer Info'!A3856,'Customer Info'!A3856:I4355,5,FALSE)</f>
        <v>#N/A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1016</v>
      </c>
      <c r="R3864" s="2" t="s">
        <v>28</v>
      </c>
      <c r="S3864" s="9">
        <f t="shared" si="304"/>
        <v>0.05</v>
      </c>
    </row>
    <row r="3865" spans="1:19" x14ac:dyDescent="0.25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e">
        <f>VLOOKUP('Customer Info'!A3857,'Customer Info'!A3857:I4356,2,FALSE)</f>
        <v>#N/A</v>
      </c>
      <c r="H3865" s="6" t="e">
        <f>VLOOKUP('Customer Info'!A3857,'Customer Info'!A3857:I4357,3,FALSE)</f>
        <v>#N/A</v>
      </c>
      <c r="I3865" s="6" t="e">
        <f>VLOOKUP('Customer Info'!A3857,'Customer Info'!A3857:I4356,5,FALSE)</f>
        <v>#N/A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375</v>
      </c>
      <c r="R3865" s="2" t="s">
        <v>50</v>
      </c>
      <c r="S3865" s="9">
        <f t="shared" si="304"/>
        <v>0.05</v>
      </c>
    </row>
    <row r="3866" spans="1:19" x14ac:dyDescent="0.25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e">
        <f>VLOOKUP('Customer Info'!A3858,'Customer Info'!A3858:I4357,2,FALSE)</f>
        <v>#N/A</v>
      </c>
      <c r="H3866" s="6" t="e">
        <f>VLOOKUP('Customer Info'!A3858,'Customer Info'!A3858:I4358,3,FALSE)</f>
        <v>#N/A</v>
      </c>
      <c r="I3866" s="6" t="e">
        <f>VLOOKUP('Customer Info'!A3858,'Customer Info'!A3858:I4357,5,FALSE)</f>
        <v>#N/A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137</v>
      </c>
      <c r="R3866" s="2" t="s">
        <v>28</v>
      </c>
      <c r="S3866" s="9">
        <f t="shared" si="304"/>
        <v>0.02</v>
      </c>
    </row>
    <row r="3867" spans="1:19" x14ac:dyDescent="0.25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e">
        <f>VLOOKUP('Customer Info'!A3859,'Customer Info'!A3859:I4358,2,FALSE)</f>
        <v>#N/A</v>
      </c>
      <c r="H3867" s="6" t="e">
        <f>VLOOKUP('Customer Info'!A3859,'Customer Info'!A3859:I4359,3,FALSE)</f>
        <v>#N/A</v>
      </c>
      <c r="I3867" s="6" t="e">
        <f>VLOOKUP('Customer Info'!A3859,'Customer Info'!A3859:I4358,5,FALSE)</f>
        <v>#N/A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215</v>
      </c>
      <c r="R3867" s="2" t="s">
        <v>50</v>
      </c>
      <c r="S3867" s="9">
        <f t="shared" si="304"/>
        <v>0.02</v>
      </c>
    </row>
    <row r="3868" spans="1:19" x14ac:dyDescent="0.25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e">
        <f>VLOOKUP('Customer Info'!A3860,'Customer Info'!A3860:I4359,2,FALSE)</f>
        <v>#N/A</v>
      </c>
      <c r="H3868" s="6" t="e">
        <f>VLOOKUP('Customer Info'!A3860,'Customer Info'!A3860:I4360,3,FALSE)</f>
        <v>#N/A</v>
      </c>
      <c r="I3868" s="6" t="e">
        <f>VLOOKUP('Customer Info'!A3860,'Customer Info'!A3860:I4359,5,FALSE)</f>
        <v>#N/A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401</v>
      </c>
      <c r="R3868" s="2" t="s">
        <v>50</v>
      </c>
      <c r="S3868" s="9">
        <f t="shared" si="304"/>
        <v>0.05</v>
      </c>
    </row>
    <row r="3869" spans="1:19" x14ac:dyDescent="0.25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e">
        <f>VLOOKUP('Customer Info'!A3861,'Customer Info'!A3861:I4360,2,FALSE)</f>
        <v>#N/A</v>
      </c>
      <c r="H3869" s="6" t="e">
        <f>VLOOKUP('Customer Info'!A3861,'Customer Info'!A3861:I4361,3,FALSE)</f>
        <v>#N/A</v>
      </c>
      <c r="I3869" s="6" t="e">
        <f>VLOOKUP('Customer Info'!A3861,'Customer Info'!A3861:I4360,5,FALSE)</f>
        <v>#N/A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2480</v>
      </c>
      <c r="R3869" s="2" t="s">
        <v>28</v>
      </c>
      <c r="S3869" s="9">
        <f t="shared" si="304"/>
        <v>7.0000000000000007E-2</v>
      </c>
    </row>
    <row r="3870" spans="1:19" x14ac:dyDescent="0.25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e">
        <f>VLOOKUP('Customer Info'!A3862,'Customer Info'!A3862:I4361,2,FALSE)</f>
        <v>#N/A</v>
      </c>
      <c r="H3870" s="6" t="e">
        <f>VLOOKUP('Customer Info'!A3862,'Customer Info'!A3862:I4362,3,FALSE)</f>
        <v>#N/A</v>
      </c>
      <c r="I3870" s="6" t="e">
        <f>VLOOKUP('Customer Info'!A3862,'Customer Info'!A3862:I4361,5,FALSE)</f>
        <v>#N/A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30</v>
      </c>
      <c r="R3870" s="2" t="s">
        <v>28</v>
      </c>
      <c r="S3870" s="9">
        <f t="shared" si="304"/>
        <v>0.02</v>
      </c>
    </row>
    <row r="3871" spans="1:19" x14ac:dyDescent="0.25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e">
        <f>VLOOKUP('Customer Info'!A3863,'Customer Info'!A3863:I4362,2,FALSE)</f>
        <v>#N/A</v>
      </c>
      <c r="H3871" s="6" t="e">
        <f>VLOOKUP('Customer Info'!A3863,'Customer Info'!A3863:I4363,3,FALSE)</f>
        <v>#N/A</v>
      </c>
      <c r="I3871" s="6" t="e">
        <f>VLOOKUP('Customer Info'!A3863,'Customer Info'!A3863:I4362,5,FALSE)</f>
        <v>#N/A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170</v>
      </c>
      <c r="R3871" s="2" t="s">
        <v>50</v>
      </c>
      <c r="S3871" s="9">
        <f t="shared" si="304"/>
        <v>0.02</v>
      </c>
    </row>
    <row r="3872" spans="1:19" x14ac:dyDescent="0.25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e">
        <f>VLOOKUP('Customer Info'!A3864,'Customer Info'!A3864:I4363,2,FALSE)</f>
        <v>#N/A</v>
      </c>
      <c r="H3872" s="6" t="e">
        <f>VLOOKUP('Customer Info'!A3864,'Customer Info'!A3864:I4364,3,FALSE)</f>
        <v>#N/A</v>
      </c>
      <c r="I3872" s="6" t="e">
        <f>VLOOKUP('Customer Info'!A3864,'Customer Info'!A3864:I4363,5,FALSE)</f>
        <v>#N/A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205</v>
      </c>
      <c r="R3872" s="2" t="s">
        <v>28</v>
      </c>
      <c r="S3872" s="9">
        <f t="shared" si="304"/>
        <v>0.02</v>
      </c>
    </row>
    <row r="3873" spans="1:19" x14ac:dyDescent="0.25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e">
        <f>VLOOKUP('Customer Info'!A3865,'Customer Info'!A3865:I4364,2,FALSE)</f>
        <v>#N/A</v>
      </c>
      <c r="H3873" s="6" t="e">
        <f>VLOOKUP('Customer Info'!A3865,'Customer Info'!A3865:I4365,3,FALSE)</f>
        <v>#N/A</v>
      </c>
      <c r="I3873" s="6" t="e">
        <f>VLOOKUP('Customer Info'!A3865,'Customer Info'!A3865:I4364,5,FALSE)</f>
        <v>#N/A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15</v>
      </c>
      <c r="R3873" s="2" t="s">
        <v>50</v>
      </c>
      <c r="S3873" s="9">
        <f t="shared" si="304"/>
        <v>0.02</v>
      </c>
    </row>
    <row r="3874" spans="1:19" x14ac:dyDescent="0.25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e">
        <f>VLOOKUP('Customer Info'!A3866,'Customer Info'!A3866:I4365,2,FALSE)</f>
        <v>#N/A</v>
      </c>
      <c r="H3874" s="6" t="e">
        <f>VLOOKUP('Customer Info'!A3866,'Customer Info'!A3866:I4366,3,FALSE)</f>
        <v>#N/A</v>
      </c>
      <c r="I3874" s="6" t="e">
        <f>VLOOKUP('Customer Info'!A3866,'Customer Info'!A3866:I4365,5,FALSE)</f>
        <v>#N/A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1351</v>
      </c>
      <c r="R3874" s="2" t="s">
        <v>50</v>
      </c>
      <c r="S3874" s="9">
        <f t="shared" si="304"/>
        <v>0.05</v>
      </c>
    </row>
    <row r="3875" spans="1:19" x14ac:dyDescent="0.25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e">
        <f>VLOOKUP('Customer Info'!A3867,'Customer Info'!A3867:I4366,2,FALSE)</f>
        <v>#N/A</v>
      </c>
      <c r="H3875" s="6" t="e">
        <f>VLOOKUP('Customer Info'!A3867,'Customer Info'!A3867:I4367,3,FALSE)</f>
        <v>#N/A</v>
      </c>
      <c r="I3875" s="6" t="e">
        <f>VLOOKUP('Customer Info'!A3867,'Customer Info'!A3867:I4366,5,FALSE)</f>
        <v>#N/A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84</v>
      </c>
      <c r="R3875" s="2" t="s">
        <v>28</v>
      </c>
      <c r="S3875" s="9">
        <f t="shared" si="304"/>
        <v>0.02</v>
      </c>
    </row>
    <row r="3876" spans="1:19" x14ac:dyDescent="0.25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e">
        <f>VLOOKUP('Customer Info'!A3868,'Customer Info'!A3868:I4367,2,FALSE)</f>
        <v>#N/A</v>
      </c>
      <c r="H3876" s="6" t="e">
        <f>VLOOKUP('Customer Info'!A3868,'Customer Info'!A3868:I4368,3,FALSE)</f>
        <v>#N/A</v>
      </c>
      <c r="I3876" s="6" t="e">
        <f>VLOOKUP('Customer Info'!A3868,'Customer Info'!A3868:I4367,5,FALSE)</f>
        <v>#N/A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194</v>
      </c>
      <c r="R3876" s="2" t="s">
        <v>28</v>
      </c>
      <c r="S3876" s="9">
        <f t="shared" si="304"/>
        <v>0.02</v>
      </c>
    </row>
    <row r="3877" spans="1:19" x14ac:dyDescent="0.25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e">
        <f>VLOOKUP('Customer Info'!A3869,'Customer Info'!A3869:I4368,2,FALSE)</f>
        <v>#N/A</v>
      </c>
      <c r="H3877" s="6" t="e">
        <f>VLOOKUP('Customer Info'!A3869,'Customer Info'!A3869:I4369,3,FALSE)</f>
        <v>#N/A</v>
      </c>
      <c r="I3877" s="6" t="e">
        <f>VLOOKUP('Customer Info'!A3869,'Customer Info'!A3869:I4368,5,FALSE)</f>
        <v>#N/A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24</v>
      </c>
      <c r="R3877" s="2" t="s">
        <v>28</v>
      </c>
      <c r="S3877" s="9">
        <f t="shared" si="304"/>
        <v>0.02</v>
      </c>
    </row>
    <row r="3878" spans="1:19" x14ac:dyDescent="0.25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e">
        <f>VLOOKUP('Customer Info'!A3870,'Customer Info'!A3870:I4369,2,FALSE)</f>
        <v>#N/A</v>
      </c>
      <c r="H3878" s="6" t="e">
        <f>VLOOKUP('Customer Info'!A3870,'Customer Info'!A3870:I4370,3,FALSE)</f>
        <v>#N/A</v>
      </c>
      <c r="I3878" s="6" t="e">
        <f>VLOOKUP('Customer Info'!A3870,'Customer Info'!A3870:I4369,5,FALSE)</f>
        <v>#N/A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94</v>
      </c>
      <c r="R3878" s="2" t="s">
        <v>28</v>
      </c>
      <c r="S3878" s="9">
        <f t="shared" si="304"/>
        <v>0.02</v>
      </c>
    </row>
    <row r="3879" spans="1:19" x14ac:dyDescent="0.25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e">
        <f>VLOOKUP('Customer Info'!A3871,'Customer Info'!A3871:I4370,2,FALSE)</f>
        <v>#N/A</v>
      </c>
      <c r="H3879" s="6" t="e">
        <f>VLOOKUP('Customer Info'!A3871,'Customer Info'!A3871:I4371,3,FALSE)</f>
        <v>#N/A</v>
      </c>
      <c r="I3879" s="6" t="e">
        <f>VLOOKUP('Customer Info'!A3871,'Customer Info'!A3871:I4370,5,FALSE)</f>
        <v>#N/A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46</v>
      </c>
      <c r="R3879" s="2" t="s">
        <v>28</v>
      </c>
      <c r="S3879" s="9">
        <f t="shared" si="304"/>
        <v>0.02</v>
      </c>
    </row>
    <row r="3880" spans="1:19" x14ac:dyDescent="0.25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e">
        <f>VLOOKUP('Customer Info'!A3872,'Customer Info'!A3872:I4371,2,FALSE)</f>
        <v>#N/A</v>
      </c>
      <c r="H3880" s="6" t="e">
        <f>VLOOKUP('Customer Info'!A3872,'Customer Info'!A3872:I4372,3,FALSE)</f>
        <v>#N/A</v>
      </c>
      <c r="I3880" s="6" t="e">
        <f>VLOOKUP('Customer Info'!A3872,'Customer Info'!A3872:I4371,5,FALSE)</f>
        <v>#N/A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346</v>
      </c>
      <c r="R3880" s="2" t="s">
        <v>28</v>
      </c>
      <c r="S3880" s="9">
        <f t="shared" si="304"/>
        <v>0.02</v>
      </c>
    </row>
    <row r="3881" spans="1:19" x14ac:dyDescent="0.25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e">
        <f>VLOOKUP('Customer Info'!A3873,'Customer Info'!A3873:I4372,2,FALSE)</f>
        <v>#N/A</v>
      </c>
      <c r="H3881" s="6" t="e">
        <f>VLOOKUP('Customer Info'!A3873,'Customer Info'!A3873:I4373,3,FALSE)</f>
        <v>#N/A</v>
      </c>
      <c r="I3881" s="6" t="e">
        <f>VLOOKUP('Customer Info'!A3873,'Customer Info'!A3873:I4372,5,FALSE)</f>
        <v>#N/A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137</v>
      </c>
      <c r="R3881" s="2" t="s">
        <v>28</v>
      </c>
      <c r="S3881" s="9">
        <f t="shared" si="304"/>
        <v>0.02</v>
      </c>
    </row>
    <row r="3882" spans="1:19" x14ac:dyDescent="0.25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e">
        <f>VLOOKUP('Customer Info'!A3874,'Customer Info'!A3874:I4373,2,FALSE)</f>
        <v>#N/A</v>
      </c>
      <c r="H3882" s="6" t="e">
        <f>VLOOKUP('Customer Info'!A3874,'Customer Info'!A3874:I4374,3,FALSE)</f>
        <v>#N/A</v>
      </c>
      <c r="I3882" s="6" t="e">
        <f>VLOOKUP('Customer Info'!A3874,'Customer Info'!A3874:I4373,5,FALSE)</f>
        <v>#N/A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258</v>
      </c>
      <c r="R3882" s="2" t="s">
        <v>50</v>
      </c>
      <c r="S3882" s="9">
        <f t="shared" si="304"/>
        <v>0.02</v>
      </c>
    </row>
    <row r="3883" spans="1:19" x14ac:dyDescent="0.25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e">
        <f>VLOOKUP('Customer Info'!A3875,'Customer Info'!A3875:I4374,2,FALSE)</f>
        <v>#N/A</v>
      </c>
      <c r="H3883" s="6" t="e">
        <f>VLOOKUP('Customer Info'!A3875,'Customer Info'!A3875:I4375,3,FALSE)</f>
        <v>#N/A</v>
      </c>
      <c r="I3883" s="6" t="e">
        <f>VLOOKUP('Customer Info'!A3875,'Customer Info'!A3875:I4374,5,FALSE)</f>
        <v>#N/A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239</v>
      </c>
      <c r="R3883" s="2" t="s">
        <v>50</v>
      </c>
      <c r="S3883" s="9">
        <f t="shared" si="304"/>
        <v>0.02</v>
      </c>
    </row>
    <row r="3884" spans="1:19" x14ac:dyDescent="0.25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e">
        <f>VLOOKUP('Customer Info'!A3876,'Customer Info'!A3876:I4375,2,FALSE)</f>
        <v>#N/A</v>
      </c>
      <c r="H3884" s="6" t="e">
        <f>VLOOKUP('Customer Info'!A3876,'Customer Info'!A3876:I4376,3,FALSE)</f>
        <v>#N/A</v>
      </c>
      <c r="I3884" s="6" t="e">
        <f>VLOOKUP('Customer Info'!A3876,'Customer Info'!A3876:I4375,5,FALSE)</f>
        <v>#N/A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7001</v>
      </c>
      <c r="R3884" s="2" t="s">
        <v>50</v>
      </c>
      <c r="S3884" s="9">
        <f t="shared" si="304"/>
        <v>0.12</v>
      </c>
    </row>
    <row r="3885" spans="1:19" x14ac:dyDescent="0.25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e">
        <f>VLOOKUP('Customer Info'!A3877,'Customer Info'!A3877:I4376,2,FALSE)</f>
        <v>#N/A</v>
      </c>
      <c r="H3885" s="6" t="e">
        <f>VLOOKUP('Customer Info'!A3877,'Customer Info'!A3877:I4377,3,FALSE)</f>
        <v>#N/A</v>
      </c>
      <c r="I3885" s="6" t="e">
        <f>VLOOKUP('Customer Info'!A3877,'Customer Info'!A3877:I4376,5,FALSE)</f>
        <v>#N/A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537</v>
      </c>
      <c r="R3885" s="2" t="s">
        <v>50</v>
      </c>
      <c r="S3885" s="9">
        <f t="shared" si="304"/>
        <v>0.05</v>
      </c>
    </row>
    <row r="3886" spans="1:19" x14ac:dyDescent="0.25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e">
        <f>VLOOKUP('Customer Info'!A3878,'Customer Info'!A3878:I4377,2,FALSE)</f>
        <v>#N/A</v>
      </c>
      <c r="H3886" s="6" t="e">
        <f>VLOOKUP('Customer Info'!A3878,'Customer Info'!A3878:I4378,3,FALSE)</f>
        <v>#N/A</v>
      </c>
      <c r="I3886" s="6" t="e">
        <f>VLOOKUP('Customer Info'!A3878,'Customer Info'!A3878:I4377,5,FALSE)</f>
        <v>#N/A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115</v>
      </c>
      <c r="R3886" s="2" t="s">
        <v>56</v>
      </c>
      <c r="S3886" s="9">
        <f t="shared" si="304"/>
        <v>0.02</v>
      </c>
    </row>
    <row r="3887" spans="1:19" x14ac:dyDescent="0.25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e">
        <f>VLOOKUP('Customer Info'!A3879,'Customer Info'!A3879:I4378,2,FALSE)</f>
        <v>#N/A</v>
      </c>
      <c r="H3887" s="6" t="e">
        <f>VLOOKUP('Customer Info'!A3879,'Customer Info'!A3879:I4379,3,FALSE)</f>
        <v>#N/A</v>
      </c>
      <c r="I3887" s="6" t="e">
        <f>VLOOKUP('Customer Info'!A3879,'Customer Info'!A3879:I4378,5,FALSE)</f>
        <v>#N/A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111</v>
      </c>
      <c r="R3887" s="2" t="s">
        <v>28</v>
      </c>
      <c r="S3887" s="9">
        <f t="shared" si="304"/>
        <v>0.02</v>
      </c>
    </row>
    <row r="3888" spans="1:19" x14ac:dyDescent="0.25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e">
        <f>VLOOKUP('Customer Info'!A3880,'Customer Info'!A3880:I4379,2,FALSE)</f>
        <v>#N/A</v>
      </c>
      <c r="H3888" s="6" t="e">
        <f>VLOOKUP('Customer Info'!A3880,'Customer Info'!A3880:I4380,3,FALSE)</f>
        <v>#N/A</v>
      </c>
      <c r="I3888" s="6" t="e">
        <f>VLOOKUP('Customer Info'!A3880,'Customer Info'!A3880:I4379,5,FALSE)</f>
        <v>#N/A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2292</v>
      </c>
      <c r="R3888" s="2" t="s">
        <v>28</v>
      </c>
      <c r="S3888" s="9">
        <f t="shared" si="304"/>
        <v>7.0000000000000007E-2</v>
      </c>
    </row>
    <row r="3889" spans="1:19" x14ac:dyDescent="0.25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e">
        <f>VLOOKUP('Customer Info'!A3881,'Customer Info'!A3881:I4380,2,FALSE)</f>
        <v>#N/A</v>
      </c>
      <c r="H3889" s="6" t="e">
        <f>VLOOKUP('Customer Info'!A3881,'Customer Info'!A3881:I4381,3,FALSE)</f>
        <v>#N/A</v>
      </c>
      <c r="I3889" s="6" t="e">
        <f>VLOOKUP('Customer Info'!A3881,'Customer Info'!A3881:I4380,5,FALSE)</f>
        <v>#N/A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75</v>
      </c>
      <c r="R3889" s="2" t="s">
        <v>28</v>
      </c>
      <c r="S3889" s="9">
        <f t="shared" si="304"/>
        <v>0.02</v>
      </c>
    </row>
    <row r="3890" spans="1:19" x14ac:dyDescent="0.25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e">
        <f>VLOOKUP('Customer Info'!A3882,'Customer Info'!A3882:I4381,2,FALSE)</f>
        <v>#N/A</v>
      </c>
      <c r="H3890" s="6" t="e">
        <f>VLOOKUP('Customer Info'!A3882,'Customer Info'!A3882:I4382,3,FALSE)</f>
        <v>#N/A</v>
      </c>
      <c r="I3890" s="6" t="e">
        <f>VLOOKUP('Customer Info'!A3882,'Customer Info'!A3882:I4381,5,FALSE)</f>
        <v>#N/A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130</v>
      </c>
      <c r="R3890" s="2" t="s">
        <v>28</v>
      </c>
      <c r="S3890" s="9">
        <f t="shared" si="304"/>
        <v>0.02</v>
      </c>
    </row>
    <row r="3891" spans="1:19" x14ac:dyDescent="0.25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e">
        <f>VLOOKUP('Customer Info'!A3883,'Customer Info'!A3883:I4382,2,FALSE)</f>
        <v>#N/A</v>
      </c>
      <c r="H3891" s="6" t="e">
        <f>VLOOKUP('Customer Info'!A3883,'Customer Info'!A3883:I4383,3,FALSE)</f>
        <v>#N/A</v>
      </c>
      <c r="I3891" s="6" t="e">
        <f>VLOOKUP('Customer Info'!A3883,'Customer Info'!A3883:I4382,5,FALSE)</f>
        <v>#N/A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19</v>
      </c>
      <c r="R3891" s="2" t="s">
        <v>28</v>
      </c>
      <c r="S3891" s="9">
        <f t="shared" si="304"/>
        <v>0.02</v>
      </c>
    </row>
    <row r="3892" spans="1:19" x14ac:dyDescent="0.25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e">
        <f>VLOOKUP('Customer Info'!A3884,'Customer Info'!A3884:I4383,2,FALSE)</f>
        <v>#N/A</v>
      </c>
      <c r="H3892" s="6" t="e">
        <f>VLOOKUP('Customer Info'!A3884,'Customer Info'!A3884:I4384,3,FALSE)</f>
        <v>#N/A</v>
      </c>
      <c r="I3892" s="6" t="e">
        <f>VLOOKUP('Customer Info'!A3884,'Customer Info'!A3884:I4383,5,FALSE)</f>
        <v>#N/A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36</v>
      </c>
      <c r="R3892" s="2" t="s">
        <v>28</v>
      </c>
      <c r="S3892" s="9">
        <f t="shared" si="304"/>
        <v>0.02</v>
      </c>
    </row>
    <row r="3893" spans="1:19" x14ac:dyDescent="0.25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e">
        <f>VLOOKUP('Customer Info'!A3885,'Customer Info'!A3885:I4384,2,FALSE)</f>
        <v>#N/A</v>
      </c>
      <c r="H3893" s="6" t="e">
        <f>VLOOKUP('Customer Info'!A3885,'Customer Info'!A3885:I4385,3,FALSE)</f>
        <v>#N/A</v>
      </c>
      <c r="I3893" s="6" t="e">
        <f>VLOOKUP('Customer Info'!A3885,'Customer Info'!A3885:I4384,5,FALSE)</f>
        <v>#N/A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38</v>
      </c>
      <c r="R3893" s="2" t="s">
        <v>28</v>
      </c>
      <c r="S3893" s="9">
        <f t="shared" si="304"/>
        <v>0.02</v>
      </c>
    </row>
    <row r="3894" spans="1:19" x14ac:dyDescent="0.25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e">
        <f>VLOOKUP('Customer Info'!A3886,'Customer Info'!A3886:I4385,2,FALSE)</f>
        <v>#N/A</v>
      </c>
      <c r="H3894" s="6" t="e">
        <f>VLOOKUP('Customer Info'!A3886,'Customer Info'!A3886:I4386,3,FALSE)</f>
        <v>#N/A</v>
      </c>
      <c r="I3894" s="6" t="e">
        <f>VLOOKUP('Customer Info'!A3886,'Customer Info'!A3886:I4385,5,FALSE)</f>
        <v>#N/A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18</v>
      </c>
      <c r="R3894" s="2" t="s">
        <v>50</v>
      </c>
      <c r="S3894" s="9">
        <f t="shared" si="304"/>
        <v>0.02</v>
      </c>
    </row>
    <row r="3895" spans="1:19" x14ac:dyDescent="0.25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e">
        <f>VLOOKUP('Customer Info'!A3887,'Customer Info'!A3887:I4386,2,FALSE)</f>
        <v>#N/A</v>
      </c>
      <c r="H3895" s="6" t="e">
        <f>VLOOKUP('Customer Info'!A3887,'Customer Info'!A3887:I4387,3,FALSE)</f>
        <v>#N/A</v>
      </c>
      <c r="I3895" s="6" t="e">
        <f>VLOOKUP('Customer Info'!A3887,'Customer Info'!A3887:I4386,5,FALSE)</f>
        <v>#N/A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141</v>
      </c>
      <c r="R3895" s="2" t="s">
        <v>50</v>
      </c>
      <c r="S3895" s="9">
        <f t="shared" si="304"/>
        <v>0.02</v>
      </c>
    </row>
    <row r="3896" spans="1:19" x14ac:dyDescent="0.25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e">
        <f>VLOOKUP('Customer Info'!A3888,'Customer Info'!A3888:I4387,2,FALSE)</f>
        <v>#N/A</v>
      </c>
      <c r="H3896" s="6" t="e">
        <f>VLOOKUP('Customer Info'!A3888,'Customer Info'!A3888:I4388,3,FALSE)</f>
        <v>#N/A</v>
      </c>
      <c r="I3896" s="6" t="e">
        <f>VLOOKUP('Customer Info'!A3888,'Customer Info'!A3888:I4387,5,FALSE)</f>
        <v>#N/A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653</v>
      </c>
      <c r="R3896" s="2" t="s">
        <v>28</v>
      </c>
      <c r="S3896" s="9">
        <f t="shared" si="304"/>
        <v>0.05</v>
      </c>
    </row>
    <row r="3897" spans="1:19" x14ac:dyDescent="0.25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e">
        <f>VLOOKUP('Customer Info'!A3889,'Customer Info'!A3889:I4388,2,FALSE)</f>
        <v>#N/A</v>
      </c>
      <c r="H3897" s="6" t="e">
        <f>VLOOKUP('Customer Info'!A3889,'Customer Info'!A3889:I4389,3,FALSE)</f>
        <v>#N/A</v>
      </c>
      <c r="I3897" s="6" t="e">
        <f>VLOOKUP('Customer Info'!A3889,'Customer Info'!A3889:I4388,5,FALSE)</f>
        <v>#N/A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302</v>
      </c>
      <c r="R3897" s="2" t="s">
        <v>28</v>
      </c>
      <c r="S3897" s="9">
        <f t="shared" si="304"/>
        <v>0.02</v>
      </c>
    </row>
    <row r="3898" spans="1:19" x14ac:dyDescent="0.25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e">
        <f>VLOOKUP('Customer Info'!A3890,'Customer Info'!A3890:I4389,2,FALSE)</f>
        <v>#N/A</v>
      </c>
      <c r="H3898" s="6" t="e">
        <f>VLOOKUP('Customer Info'!A3890,'Customer Info'!A3890:I4390,3,FALSE)</f>
        <v>#N/A</v>
      </c>
      <c r="I3898" s="6" t="e">
        <f>VLOOKUP('Customer Info'!A3890,'Customer Info'!A3890:I4389,5,FALSE)</f>
        <v>#N/A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486</v>
      </c>
      <c r="R3898" s="2" t="s">
        <v>50</v>
      </c>
      <c r="S3898" s="9">
        <f t="shared" si="304"/>
        <v>0.05</v>
      </c>
    </row>
    <row r="3899" spans="1:19" x14ac:dyDescent="0.25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e">
        <f>VLOOKUP('Customer Info'!A3891,'Customer Info'!A3891:I4390,2,FALSE)</f>
        <v>#N/A</v>
      </c>
      <c r="H3899" s="6" t="e">
        <f>VLOOKUP('Customer Info'!A3891,'Customer Info'!A3891:I4391,3,FALSE)</f>
        <v>#N/A</v>
      </c>
      <c r="I3899" s="6" t="e">
        <f>VLOOKUP('Customer Info'!A3891,'Customer Info'!A3891:I4390,5,FALSE)</f>
        <v>#N/A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380</v>
      </c>
      <c r="R3899" s="2" t="s">
        <v>26</v>
      </c>
      <c r="S3899" s="9">
        <f t="shared" si="304"/>
        <v>0.05</v>
      </c>
    </row>
    <row r="3900" spans="1:19" x14ac:dyDescent="0.25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e">
        <f>VLOOKUP('Customer Info'!A3892,'Customer Info'!A3892:I4391,2,FALSE)</f>
        <v>#N/A</v>
      </c>
      <c r="H3900" s="6" t="e">
        <f>VLOOKUP('Customer Info'!A3892,'Customer Info'!A3892:I4392,3,FALSE)</f>
        <v>#N/A</v>
      </c>
      <c r="I3900" s="6" t="e">
        <f>VLOOKUP('Customer Info'!A3892,'Customer Info'!A3892:I4391,5,FALSE)</f>
        <v>#N/A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22</v>
      </c>
      <c r="R3900" s="2" t="s">
        <v>28</v>
      </c>
      <c r="S3900" s="9">
        <f t="shared" si="304"/>
        <v>0.02</v>
      </c>
    </row>
    <row r="3901" spans="1:19" x14ac:dyDescent="0.25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e">
        <f>VLOOKUP('Customer Info'!A3893,'Customer Info'!A3893:I4392,2,FALSE)</f>
        <v>#N/A</v>
      </c>
      <c r="H3901" s="6" t="e">
        <f>VLOOKUP('Customer Info'!A3893,'Customer Info'!A3893:I4393,3,FALSE)</f>
        <v>#N/A</v>
      </c>
      <c r="I3901" s="6" t="e">
        <f>VLOOKUP('Customer Info'!A3893,'Customer Info'!A3893:I4392,5,FALSE)</f>
        <v>#N/A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1987</v>
      </c>
      <c r="R3901" s="2" t="s">
        <v>50</v>
      </c>
      <c r="S3901" s="9">
        <f t="shared" si="304"/>
        <v>0.05</v>
      </c>
    </row>
    <row r="3902" spans="1:19" x14ac:dyDescent="0.25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e">
        <f>VLOOKUP('Customer Info'!A3894,'Customer Info'!A3894:I4393,2,FALSE)</f>
        <v>#N/A</v>
      </c>
      <c r="H3902" s="6" t="e">
        <f>VLOOKUP('Customer Info'!A3894,'Customer Info'!A3894:I4394,3,FALSE)</f>
        <v>#N/A</v>
      </c>
      <c r="I3902" s="6" t="e">
        <f>VLOOKUP('Customer Info'!A3894,'Customer Info'!A3894:I4393,5,FALSE)</f>
        <v>#N/A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387</v>
      </c>
      <c r="R3902" s="2" t="s">
        <v>50</v>
      </c>
      <c r="S3902" s="9">
        <f t="shared" si="304"/>
        <v>0.05</v>
      </c>
    </row>
    <row r="3903" spans="1:19" x14ac:dyDescent="0.25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e">
        <f>VLOOKUP('Customer Info'!A3895,'Customer Info'!A3895:I4394,2,FALSE)</f>
        <v>#N/A</v>
      </c>
      <c r="H3903" s="6" t="e">
        <f>VLOOKUP('Customer Info'!A3895,'Customer Info'!A3895:I4395,3,FALSE)</f>
        <v>#N/A</v>
      </c>
      <c r="I3903" s="6" t="e">
        <f>VLOOKUP('Customer Info'!A3895,'Customer Info'!A3895:I4394,5,FALSE)</f>
        <v>#N/A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344</v>
      </c>
      <c r="R3903" s="2" t="s">
        <v>50</v>
      </c>
      <c r="S3903" s="9">
        <f t="shared" si="304"/>
        <v>0.05</v>
      </c>
    </row>
    <row r="3904" spans="1:19" x14ac:dyDescent="0.25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e">
        <f>VLOOKUP('Customer Info'!A3896,'Customer Info'!A3896:I4395,2,FALSE)</f>
        <v>#N/A</v>
      </c>
      <c r="H3904" s="6" t="e">
        <f>VLOOKUP('Customer Info'!A3896,'Customer Info'!A3896:I4396,3,FALSE)</f>
        <v>#N/A</v>
      </c>
      <c r="I3904" s="6" t="e">
        <f>VLOOKUP('Customer Info'!A3896,'Customer Info'!A3896:I4395,5,FALSE)</f>
        <v>#N/A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22</v>
      </c>
      <c r="R3904" s="2" t="s">
        <v>50</v>
      </c>
      <c r="S3904" s="9">
        <f t="shared" si="304"/>
        <v>0.02</v>
      </c>
    </row>
    <row r="3905" spans="1:19" x14ac:dyDescent="0.25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e">
        <f>VLOOKUP('Customer Info'!A3897,'Customer Info'!A3897:I4396,2,FALSE)</f>
        <v>#N/A</v>
      </c>
      <c r="H3905" s="6" t="e">
        <f>VLOOKUP('Customer Info'!A3897,'Customer Info'!A3897:I4397,3,FALSE)</f>
        <v>#N/A</v>
      </c>
      <c r="I3905" s="6" t="e">
        <f>VLOOKUP('Customer Info'!A3897,'Customer Info'!A3897:I4396,5,FALSE)</f>
        <v>#N/A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3532</v>
      </c>
      <c r="R3905" s="2" t="s">
        <v>26</v>
      </c>
      <c r="S3905" s="9">
        <f t="shared" si="304"/>
        <v>7.0000000000000007E-2</v>
      </c>
    </row>
    <row r="3906" spans="1:19" x14ac:dyDescent="0.25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e">
        <f>VLOOKUP('Customer Info'!A3898,'Customer Info'!A3898:I4397,2,FALSE)</f>
        <v>#N/A</v>
      </c>
      <c r="H3906" s="6" t="e">
        <f>VLOOKUP('Customer Info'!A3898,'Customer Info'!A3898:I4398,3,FALSE)</f>
        <v>#N/A</v>
      </c>
      <c r="I3906" s="6" t="e">
        <f>VLOOKUP('Customer Info'!A3898,'Customer Info'!A3898:I4397,5,FALSE)</f>
        <v>#N/A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665</v>
      </c>
      <c r="R3906" s="2" t="s">
        <v>50</v>
      </c>
      <c r="S3906" s="9">
        <f t="shared" si="304"/>
        <v>0.05</v>
      </c>
    </row>
    <row r="3907" spans="1:19" x14ac:dyDescent="0.25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e">
        <f>VLOOKUP('Customer Info'!A3899,'Customer Info'!A3899:I4398,2,FALSE)</f>
        <v>#N/A</v>
      </c>
      <c r="H3907" s="6" t="e">
        <f>VLOOKUP('Customer Info'!A3899,'Customer Info'!A3899:I4399,3,FALSE)</f>
        <v>#N/A</v>
      </c>
      <c r="I3907" s="6" t="e">
        <f>VLOOKUP('Customer Info'!A3899,'Customer Info'!A3899:I4398,5,FALSE)</f>
        <v>#N/A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468</v>
      </c>
      <c r="R3907" s="2" t="s">
        <v>28</v>
      </c>
      <c r="S3907" s="9">
        <f t="shared" si="304"/>
        <v>0.05</v>
      </c>
    </row>
    <row r="3908" spans="1:19" x14ac:dyDescent="0.25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e">
        <f>VLOOKUP('Customer Info'!A3900,'Customer Info'!A3900:I4399,2,FALSE)</f>
        <v>#N/A</v>
      </c>
      <c r="H3908" s="6" t="e">
        <f>VLOOKUP('Customer Info'!A3900,'Customer Info'!A3900:I4400,3,FALSE)</f>
        <v>#N/A</v>
      </c>
      <c r="I3908" s="6" t="e">
        <f>VLOOKUP('Customer Info'!A3900,'Customer Info'!A3900:I4399,5,FALSE)</f>
        <v>#N/A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14238</v>
      </c>
      <c r="R3908" s="2" t="s">
        <v>28</v>
      </c>
      <c r="S3908" s="9">
        <f t="shared" si="304"/>
        <v>0.15</v>
      </c>
    </row>
    <row r="3909" spans="1:19" x14ac:dyDescent="0.25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e">
        <f>VLOOKUP('Customer Info'!A3901,'Customer Info'!A3901:I4400,2,FALSE)</f>
        <v>#N/A</v>
      </c>
      <c r="H3909" s="6" t="e">
        <f>VLOOKUP('Customer Info'!A3901,'Customer Info'!A3901:I4401,3,FALSE)</f>
        <v>#N/A</v>
      </c>
      <c r="I3909" s="6" t="e">
        <f>VLOOKUP('Customer Info'!A3901,'Customer Info'!A3901:I4400,5,FALSE)</f>
        <v>#N/A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263</v>
      </c>
      <c r="R3909" s="2" t="s">
        <v>28</v>
      </c>
      <c r="S3909" s="9">
        <f t="shared" si="304"/>
        <v>0.02</v>
      </c>
    </row>
    <row r="3910" spans="1:19" x14ac:dyDescent="0.25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e">
        <f>VLOOKUP('Customer Info'!A3902,'Customer Info'!A3902:I4401,2,FALSE)</f>
        <v>#N/A</v>
      </c>
      <c r="H3910" s="6" t="e">
        <f>VLOOKUP('Customer Info'!A3902,'Customer Info'!A3902:I4402,3,FALSE)</f>
        <v>#N/A</v>
      </c>
      <c r="I3910" s="6" t="e">
        <f>VLOOKUP('Customer Info'!A3902,'Customer Info'!A3902:I4401,5,FALSE)</f>
        <v>#N/A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159</v>
      </c>
      <c r="R3910" s="2" t="s">
        <v>28</v>
      </c>
      <c r="S3910" s="9">
        <f t="shared" si="304"/>
        <v>0.02</v>
      </c>
    </row>
    <row r="3911" spans="1:19" x14ac:dyDescent="0.25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e">
        <f>VLOOKUP('Customer Info'!A3903,'Customer Info'!A3903:I4402,2,FALSE)</f>
        <v>#N/A</v>
      </c>
      <c r="H3911" s="6" t="e">
        <f>VLOOKUP('Customer Info'!A3903,'Customer Info'!A3903:I4403,3,FALSE)</f>
        <v>#N/A</v>
      </c>
      <c r="I3911" s="6" t="e">
        <f>VLOOKUP('Customer Info'!A3903,'Customer Info'!A3903:I4402,5,FALSE)</f>
        <v>#N/A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1452</v>
      </c>
      <c r="R3911" s="2" t="s">
        <v>28</v>
      </c>
      <c r="S3911" s="9">
        <f t="shared" si="304"/>
        <v>0.05</v>
      </c>
    </row>
    <row r="3912" spans="1:19" x14ac:dyDescent="0.25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e">
        <f>VLOOKUP('Customer Info'!A3904,'Customer Info'!A3904:I4403,2,FALSE)</f>
        <v>#N/A</v>
      </c>
      <c r="H3912" s="6" t="e">
        <f>VLOOKUP('Customer Info'!A3904,'Customer Info'!A3904:I4404,3,FALSE)</f>
        <v>#N/A</v>
      </c>
      <c r="I3912" s="6" t="e">
        <f>VLOOKUP('Customer Info'!A3904,'Customer Info'!A3904:I4403,5,FALSE)</f>
        <v>#N/A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37</v>
      </c>
      <c r="R3912" s="2" t="s">
        <v>28</v>
      </c>
      <c r="S3912" s="9">
        <f t="shared" si="304"/>
        <v>0.02</v>
      </c>
    </row>
    <row r="3913" spans="1:19" x14ac:dyDescent="0.25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e">
        <f>VLOOKUP('Customer Info'!A3905,'Customer Info'!A3905:I4404,2,FALSE)</f>
        <v>#N/A</v>
      </c>
      <c r="H3913" s="6" t="e">
        <f>VLOOKUP('Customer Info'!A3905,'Customer Info'!A3905:I4405,3,FALSE)</f>
        <v>#N/A</v>
      </c>
      <c r="I3913" s="6" t="e">
        <f>VLOOKUP('Customer Info'!A3905,'Customer Info'!A3905:I4404,5,FALSE)</f>
        <v>#N/A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535</v>
      </c>
      <c r="R3913" s="2" t="s">
        <v>50</v>
      </c>
      <c r="S3913" s="9">
        <f t="shared" si="304"/>
        <v>0.05</v>
      </c>
    </row>
    <row r="3914" spans="1:19" x14ac:dyDescent="0.25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e">
        <f>VLOOKUP('Customer Info'!A3906,'Customer Info'!A3906:I4405,2,FALSE)</f>
        <v>#N/A</v>
      </c>
      <c r="H3914" s="6" t="e">
        <f>VLOOKUP('Customer Info'!A3906,'Customer Info'!A3906:I4406,3,FALSE)</f>
        <v>#N/A</v>
      </c>
      <c r="I3914" s="6" t="e">
        <f>VLOOKUP('Customer Info'!A3906,'Customer Info'!A3906:I4405,5,FALSE)</f>
        <v>#N/A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1572</v>
      </c>
      <c r="R3914" s="2" t="s">
        <v>28</v>
      </c>
      <c r="S3914" s="9">
        <f t="shared" si="304"/>
        <v>0.05</v>
      </c>
    </row>
    <row r="3915" spans="1:19" x14ac:dyDescent="0.25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e">
        <f>VLOOKUP('Customer Info'!A3907,'Customer Info'!A3907:I4406,2,FALSE)</f>
        <v>#N/A</v>
      </c>
      <c r="H3915" s="6" t="e">
        <f>VLOOKUP('Customer Info'!A3907,'Customer Info'!A3907:I4407,3,FALSE)</f>
        <v>#N/A</v>
      </c>
      <c r="I3915" s="6" t="e">
        <f>VLOOKUP('Customer Info'!A3907,'Customer Info'!A3907:I4406,5,FALSE)</f>
        <v>#N/A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8">
        <f t="shared" ref="P3915:P3978" si="307">N3915+O3915</f>
        <v>4146</v>
      </c>
      <c r="Q3915" s="8">
        <f t="shared" ref="Q3915:Q3978" si="308">P3915-M3915</f>
        <v>375</v>
      </c>
      <c r="R3915" s="2" t="s">
        <v>50</v>
      </c>
      <c r="S3915" s="9">
        <f t="shared" ref="S3915:S3978" si="309">VLOOKUP(P3915,$T$2:$U$7,2,TRUE)</f>
        <v>0.02</v>
      </c>
    </row>
    <row r="3916" spans="1:19" x14ac:dyDescent="0.25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e">
        <f>VLOOKUP('Customer Info'!A3908,'Customer Info'!A3908:I4407,2,FALSE)</f>
        <v>#N/A</v>
      </c>
      <c r="H3916" s="6" t="e">
        <f>VLOOKUP('Customer Info'!A3908,'Customer Info'!A3908:I4408,3,FALSE)</f>
        <v>#N/A</v>
      </c>
      <c r="I3916" s="6" t="e">
        <f>VLOOKUP('Customer Info'!A3908,'Customer Info'!A3908:I4407,5,FALSE)</f>
        <v>#N/A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3841</v>
      </c>
      <c r="R3916" s="2" t="s">
        <v>26</v>
      </c>
      <c r="S3916" s="9">
        <f t="shared" si="309"/>
        <v>7.0000000000000007E-2</v>
      </c>
    </row>
    <row r="3917" spans="1:19" x14ac:dyDescent="0.25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e">
        <f>VLOOKUP('Customer Info'!A3909,'Customer Info'!A3909:I4408,2,FALSE)</f>
        <v>#N/A</v>
      </c>
      <c r="H3917" s="6" t="e">
        <f>VLOOKUP('Customer Info'!A3909,'Customer Info'!A3909:I4409,3,FALSE)</f>
        <v>#N/A</v>
      </c>
      <c r="I3917" s="6" t="e">
        <f>VLOOKUP('Customer Info'!A3909,'Customer Info'!A3909:I4408,5,FALSE)</f>
        <v>#N/A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882</v>
      </c>
      <c r="R3917" s="2" t="s">
        <v>26</v>
      </c>
      <c r="S3917" s="9">
        <f t="shared" si="309"/>
        <v>0.05</v>
      </c>
    </row>
    <row r="3918" spans="1:19" x14ac:dyDescent="0.25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e">
        <f>VLOOKUP('Customer Info'!A3910,'Customer Info'!A3910:I4409,2,FALSE)</f>
        <v>#N/A</v>
      </c>
      <c r="H3918" s="6" t="e">
        <f>VLOOKUP('Customer Info'!A3910,'Customer Info'!A3910:I4410,3,FALSE)</f>
        <v>#N/A</v>
      </c>
      <c r="I3918" s="6" t="e">
        <f>VLOOKUP('Customer Info'!A3910,'Customer Info'!A3910:I4409,5,FALSE)</f>
        <v>#N/A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3232</v>
      </c>
      <c r="R3918" s="2" t="s">
        <v>28</v>
      </c>
      <c r="S3918" s="9">
        <f t="shared" si="309"/>
        <v>7.0000000000000007E-2</v>
      </c>
    </row>
    <row r="3919" spans="1:19" x14ac:dyDescent="0.25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e">
        <f>VLOOKUP('Customer Info'!A3911,'Customer Info'!A3911:I4410,2,FALSE)</f>
        <v>#N/A</v>
      </c>
      <c r="H3919" s="6" t="e">
        <f>VLOOKUP('Customer Info'!A3911,'Customer Info'!A3911:I4411,3,FALSE)</f>
        <v>#N/A</v>
      </c>
      <c r="I3919" s="6" t="e">
        <f>VLOOKUP('Customer Info'!A3911,'Customer Info'!A3911:I4410,5,FALSE)</f>
        <v>#N/A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154</v>
      </c>
      <c r="R3919" s="2" t="s">
        <v>26</v>
      </c>
      <c r="S3919" s="9">
        <f t="shared" si="309"/>
        <v>0.02</v>
      </c>
    </row>
    <row r="3920" spans="1:19" x14ac:dyDescent="0.25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e">
        <f>VLOOKUP('Customer Info'!A3912,'Customer Info'!A3912:I4411,2,FALSE)</f>
        <v>#N/A</v>
      </c>
      <c r="H3920" s="6" t="e">
        <f>VLOOKUP('Customer Info'!A3912,'Customer Info'!A3912:I4412,3,FALSE)</f>
        <v>#N/A</v>
      </c>
      <c r="I3920" s="6" t="e">
        <f>VLOOKUP('Customer Info'!A3912,'Customer Info'!A3912:I4411,5,FALSE)</f>
        <v>#N/A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1144</v>
      </c>
      <c r="R3920" s="2" t="s">
        <v>56</v>
      </c>
      <c r="S3920" s="9">
        <f t="shared" si="309"/>
        <v>0.09</v>
      </c>
    </row>
    <row r="3921" spans="1:19" x14ac:dyDescent="0.25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e">
        <f>VLOOKUP('Customer Info'!A3913,'Customer Info'!A3913:I4412,2,FALSE)</f>
        <v>#N/A</v>
      </c>
      <c r="H3921" s="6" t="e">
        <f>VLOOKUP('Customer Info'!A3913,'Customer Info'!A3913:I4413,3,FALSE)</f>
        <v>#N/A</v>
      </c>
      <c r="I3921" s="6" t="e">
        <f>VLOOKUP('Customer Info'!A3913,'Customer Info'!A3913:I4412,5,FALSE)</f>
        <v>#N/A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1220</v>
      </c>
      <c r="R3921" s="2" t="s">
        <v>26</v>
      </c>
      <c r="S3921" s="9">
        <f t="shared" si="309"/>
        <v>0.05</v>
      </c>
    </row>
    <row r="3922" spans="1:19" x14ac:dyDescent="0.25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e">
        <f>VLOOKUP('Customer Info'!A3914,'Customer Info'!A3914:I4413,2,FALSE)</f>
        <v>#N/A</v>
      </c>
      <c r="H3922" s="6" t="e">
        <f>VLOOKUP('Customer Info'!A3914,'Customer Info'!A3914:I4414,3,FALSE)</f>
        <v>#N/A</v>
      </c>
      <c r="I3922" s="6" t="e">
        <f>VLOOKUP('Customer Info'!A3914,'Customer Info'!A3914:I4413,5,FALSE)</f>
        <v>#N/A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44</v>
      </c>
      <c r="R3922" s="2" t="s">
        <v>50</v>
      </c>
      <c r="S3922" s="9">
        <f t="shared" si="309"/>
        <v>0.02</v>
      </c>
    </row>
    <row r="3923" spans="1:19" x14ac:dyDescent="0.25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e">
        <f>VLOOKUP('Customer Info'!A3915,'Customer Info'!A3915:I4414,2,FALSE)</f>
        <v>#N/A</v>
      </c>
      <c r="H3923" s="6" t="e">
        <f>VLOOKUP('Customer Info'!A3915,'Customer Info'!A3915:I4415,3,FALSE)</f>
        <v>#N/A</v>
      </c>
      <c r="I3923" s="6" t="e">
        <f>VLOOKUP('Customer Info'!A3915,'Customer Info'!A3915:I4414,5,FALSE)</f>
        <v>#N/A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121</v>
      </c>
      <c r="R3923" s="2" t="s">
        <v>26</v>
      </c>
      <c r="S3923" s="9">
        <f t="shared" si="309"/>
        <v>0.02</v>
      </c>
    </row>
    <row r="3924" spans="1:19" x14ac:dyDescent="0.25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e">
        <f>VLOOKUP('Customer Info'!A3916,'Customer Info'!A3916:I4415,2,FALSE)</f>
        <v>#N/A</v>
      </c>
      <c r="H3924" s="6" t="e">
        <f>VLOOKUP('Customer Info'!A3916,'Customer Info'!A3916:I4416,3,FALSE)</f>
        <v>#N/A</v>
      </c>
      <c r="I3924" s="6" t="e">
        <f>VLOOKUP('Customer Info'!A3916,'Customer Info'!A3916:I4415,5,FALSE)</f>
        <v>#N/A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331</v>
      </c>
      <c r="R3924" s="2" t="s">
        <v>28</v>
      </c>
      <c r="S3924" s="9">
        <f t="shared" si="309"/>
        <v>0.05</v>
      </c>
    </row>
    <row r="3925" spans="1:19" x14ac:dyDescent="0.25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e">
        <f>VLOOKUP('Customer Info'!A3917,'Customer Info'!A3917:I4416,2,FALSE)</f>
        <v>#N/A</v>
      </c>
      <c r="H3925" s="6" t="e">
        <f>VLOOKUP('Customer Info'!A3917,'Customer Info'!A3917:I4417,3,FALSE)</f>
        <v>#N/A</v>
      </c>
      <c r="I3925" s="6" t="e">
        <f>VLOOKUP('Customer Info'!A3917,'Customer Info'!A3917:I4416,5,FALSE)</f>
        <v>#N/A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1400</v>
      </c>
      <c r="R3925" s="2" t="s">
        <v>28</v>
      </c>
      <c r="S3925" s="9">
        <f t="shared" si="309"/>
        <v>0.05</v>
      </c>
    </row>
    <row r="3926" spans="1:19" x14ac:dyDescent="0.25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e">
        <f>VLOOKUP('Customer Info'!A3918,'Customer Info'!A3918:I4417,2,FALSE)</f>
        <v>#N/A</v>
      </c>
      <c r="H3926" s="6" t="e">
        <f>VLOOKUP('Customer Info'!A3918,'Customer Info'!A3918:I4418,3,FALSE)</f>
        <v>#N/A</v>
      </c>
      <c r="I3926" s="6" t="e">
        <f>VLOOKUP('Customer Info'!A3918,'Customer Info'!A3918:I4417,5,FALSE)</f>
        <v>#N/A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203</v>
      </c>
      <c r="R3926" s="2" t="s">
        <v>28</v>
      </c>
      <c r="S3926" s="9">
        <f t="shared" si="309"/>
        <v>0.02</v>
      </c>
    </row>
    <row r="3927" spans="1:19" x14ac:dyDescent="0.25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e">
        <f>VLOOKUP('Customer Info'!A3919,'Customer Info'!A3919:I4418,2,FALSE)</f>
        <v>#N/A</v>
      </c>
      <c r="H3927" s="6" t="e">
        <f>VLOOKUP('Customer Info'!A3919,'Customer Info'!A3919:I4419,3,FALSE)</f>
        <v>#N/A</v>
      </c>
      <c r="I3927" s="6" t="e">
        <f>VLOOKUP('Customer Info'!A3919,'Customer Info'!A3919:I4418,5,FALSE)</f>
        <v>#N/A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103</v>
      </c>
      <c r="R3927" s="2" t="s">
        <v>28</v>
      </c>
      <c r="S3927" s="9">
        <f t="shared" si="309"/>
        <v>0.02</v>
      </c>
    </row>
    <row r="3928" spans="1:19" x14ac:dyDescent="0.25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e">
        <f>VLOOKUP('Customer Info'!A3920,'Customer Info'!A3920:I4419,2,FALSE)</f>
        <v>#N/A</v>
      </c>
      <c r="H3928" s="6" t="e">
        <f>VLOOKUP('Customer Info'!A3920,'Customer Info'!A3920:I4420,3,FALSE)</f>
        <v>#N/A</v>
      </c>
      <c r="I3928" s="6" t="e">
        <f>VLOOKUP('Customer Info'!A3920,'Customer Info'!A3920:I4419,5,FALSE)</f>
        <v>#N/A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548</v>
      </c>
      <c r="R3928" s="2" t="s">
        <v>28</v>
      </c>
      <c r="S3928" s="9">
        <f t="shared" si="309"/>
        <v>0.02</v>
      </c>
    </row>
    <row r="3929" spans="1:19" x14ac:dyDescent="0.25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e">
        <f>VLOOKUP('Customer Info'!A3921,'Customer Info'!A3921:I4420,2,FALSE)</f>
        <v>#N/A</v>
      </c>
      <c r="H3929" s="6" t="e">
        <f>VLOOKUP('Customer Info'!A3921,'Customer Info'!A3921:I4421,3,FALSE)</f>
        <v>#N/A</v>
      </c>
      <c r="I3929" s="6" t="e">
        <f>VLOOKUP('Customer Info'!A3921,'Customer Info'!A3921:I4420,5,FALSE)</f>
        <v>#N/A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25</v>
      </c>
      <c r="R3929" s="2" t="s">
        <v>50</v>
      </c>
      <c r="S3929" s="9">
        <f t="shared" si="309"/>
        <v>0.02</v>
      </c>
    </row>
    <row r="3930" spans="1:19" x14ac:dyDescent="0.25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e">
        <f>VLOOKUP('Customer Info'!A3922,'Customer Info'!A3922:I4421,2,FALSE)</f>
        <v>#N/A</v>
      </c>
      <c r="H3930" s="6" t="e">
        <f>VLOOKUP('Customer Info'!A3922,'Customer Info'!A3922:I4422,3,FALSE)</f>
        <v>#N/A</v>
      </c>
      <c r="I3930" s="6" t="e">
        <f>VLOOKUP('Customer Info'!A3922,'Customer Info'!A3922:I4421,5,FALSE)</f>
        <v>#N/A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154</v>
      </c>
      <c r="R3930" s="2" t="s">
        <v>28</v>
      </c>
      <c r="S3930" s="9">
        <f t="shared" si="309"/>
        <v>0.02</v>
      </c>
    </row>
    <row r="3931" spans="1:19" x14ac:dyDescent="0.25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e">
        <f>VLOOKUP('Customer Info'!A3923,'Customer Info'!A3923:I4422,2,FALSE)</f>
        <v>#N/A</v>
      </c>
      <c r="H3931" s="6" t="e">
        <f>VLOOKUP('Customer Info'!A3923,'Customer Info'!A3923:I4423,3,FALSE)</f>
        <v>#N/A</v>
      </c>
      <c r="I3931" s="6" t="e">
        <f>VLOOKUP('Customer Info'!A3923,'Customer Info'!A3923:I4422,5,FALSE)</f>
        <v>#N/A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1139</v>
      </c>
      <c r="R3931" s="2" t="s">
        <v>50</v>
      </c>
      <c r="S3931" s="9">
        <f t="shared" si="309"/>
        <v>0.05</v>
      </c>
    </row>
    <row r="3932" spans="1:19" x14ac:dyDescent="0.25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e">
        <f>VLOOKUP('Customer Info'!A3924,'Customer Info'!A3924:I4423,2,FALSE)</f>
        <v>#N/A</v>
      </c>
      <c r="H3932" s="6" t="e">
        <f>VLOOKUP('Customer Info'!A3924,'Customer Info'!A3924:I4424,3,FALSE)</f>
        <v>#N/A</v>
      </c>
      <c r="I3932" s="6" t="e">
        <f>VLOOKUP('Customer Info'!A3924,'Customer Info'!A3924:I4423,5,FALSE)</f>
        <v>#N/A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126</v>
      </c>
      <c r="R3932" s="2" t="s">
        <v>50</v>
      </c>
      <c r="S3932" s="9">
        <f t="shared" si="309"/>
        <v>0.02</v>
      </c>
    </row>
    <row r="3933" spans="1:19" x14ac:dyDescent="0.25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e">
        <f>VLOOKUP('Customer Info'!A3925,'Customer Info'!A3925:I4424,2,FALSE)</f>
        <v>#N/A</v>
      </c>
      <c r="H3933" s="6" t="e">
        <f>VLOOKUP('Customer Info'!A3925,'Customer Info'!A3925:I4425,3,FALSE)</f>
        <v>#N/A</v>
      </c>
      <c r="I3933" s="6" t="e">
        <f>VLOOKUP('Customer Info'!A3925,'Customer Info'!A3925:I4424,5,FALSE)</f>
        <v>#N/A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257</v>
      </c>
      <c r="R3933" s="2" t="s">
        <v>50</v>
      </c>
      <c r="S3933" s="9">
        <f t="shared" si="309"/>
        <v>0.05</v>
      </c>
    </row>
    <row r="3934" spans="1:19" x14ac:dyDescent="0.25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e">
        <f>VLOOKUP('Customer Info'!A3926,'Customer Info'!A3926:I4425,2,FALSE)</f>
        <v>#N/A</v>
      </c>
      <c r="H3934" s="6" t="e">
        <f>VLOOKUP('Customer Info'!A3926,'Customer Info'!A3926:I4426,3,FALSE)</f>
        <v>#N/A</v>
      </c>
      <c r="I3934" s="6" t="e">
        <f>VLOOKUP('Customer Info'!A3926,'Customer Info'!A3926:I4425,5,FALSE)</f>
        <v>#N/A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80</v>
      </c>
      <c r="R3934" s="2" t="s">
        <v>28</v>
      </c>
      <c r="S3934" s="9">
        <f t="shared" si="309"/>
        <v>0.02</v>
      </c>
    </row>
    <row r="3935" spans="1:19" x14ac:dyDescent="0.25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e">
        <f>VLOOKUP('Customer Info'!A3927,'Customer Info'!A3927:I4426,2,FALSE)</f>
        <v>#N/A</v>
      </c>
      <c r="H3935" s="6" t="e">
        <f>VLOOKUP('Customer Info'!A3927,'Customer Info'!A3927:I4427,3,FALSE)</f>
        <v>#N/A</v>
      </c>
      <c r="I3935" s="6" t="e">
        <f>VLOOKUP('Customer Info'!A3927,'Customer Info'!A3927:I4426,5,FALSE)</f>
        <v>#N/A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378</v>
      </c>
      <c r="R3935" s="2" t="s">
        <v>50</v>
      </c>
      <c r="S3935" s="9">
        <f t="shared" si="309"/>
        <v>0.02</v>
      </c>
    </row>
    <row r="3936" spans="1:19" x14ac:dyDescent="0.25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e">
        <f>VLOOKUP('Customer Info'!A3928,'Customer Info'!A3928:I4427,2,FALSE)</f>
        <v>#N/A</v>
      </c>
      <c r="H3936" s="6" t="e">
        <f>VLOOKUP('Customer Info'!A3928,'Customer Info'!A3928:I4428,3,FALSE)</f>
        <v>#N/A</v>
      </c>
      <c r="I3936" s="6" t="e">
        <f>VLOOKUP('Customer Info'!A3928,'Customer Info'!A3928:I4427,5,FALSE)</f>
        <v>#N/A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191</v>
      </c>
      <c r="R3936" s="2" t="s">
        <v>28</v>
      </c>
      <c r="S3936" s="9">
        <f t="shared" si="309"/>
        <v>0.02</v>
      </c>
    </row>
    <row r="3937" spans="1:19" x14ac:dyDescent="0.25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e">
        <f>VLOOKUP('Customer Info'!A3929,'Customer Info'!A3929:I4428,2,FALSE)</f>
        <v>#N/A</v>
      </c>
      <c r="H3937" s="6" t="e">
        <f>VLOOKUP('Customer Info'!A3929,'Customer Info'!A3929:I4429,3,FALSE)</f>
        <v>#N/A</v>
      </c>
      <c r="I3937" s="6" t="e">
        <f>VLOOKUP('Customer Info'!A3929,'Customer Info'!A3929:I4428,5,FALSE)</f>
        <v>#N/A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165</v>
      </c>
      <c r="R3937" s="2" t="s">
        <v>28</v>
      </c>
      <c r="S3937" s="9">
        <f t="shared" si="309"/>
        <v>0.02</v>
      </c>
    </row>
    <row r="3938" spans="1:19" x14ac:dyDescent="0.25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e">
        <f>VLOOKUP('Customer Info'!A3930,'Customer Info'!A3930:I4429,2,FALSE)</f>
        <v>#N/A</v>
      </c>
      <c r="H3938" s="6" t="e">
        <f>VLOOKUP('Customer Info'!A3930,'Customer Info'!A3930:I4430,3,FALSE)</f>
        <v>#N/A</v>
      </c>
      <c r="I3938" s="6" t="e">
        <f>VLOOKUP('Customer Info'!A3930,'Customer Info'!A3930:I4429,5,FALSE)</f>
        <v>#N/A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462</v>
      </c>
      <c r="R3938" s="2" t="s">
        <v>50</v>
      </c>
      <c r="S3938" s="9">
        <f t="shared" si="309"/>
        <v>0.05</v>
      </c>
    </row>
    <row r="3939" spans="1:19" x14ac:dyDescent="0.25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e">
        <f>VLOOKUP('Customer Info'!A3931,'Customer Info'!A3931:I4430,2,FALSE)</f>
        <v>#N/A</v>
      </c>
      <c r="H3939" s="6" t="e">
        <f>VLOOKUP('Customer Info'!A3931,'Customer Info'!A3931:I4431,3,FALSE)</f>
        <v>#N/A</v>
      </c>
      <c r="I3939" s="6" t="e">
        <f>VLOOKUP('Customer Info'!A3931,'Customer Info'!A3931:I4430,5,FALSE)</f>
        <v>#N/A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153</v>
      </c>
      <c r="R3939" s="2" t="s">
        <v>28</v>
      </c>
      <c r="S3939" s="9">
        <f t="shared" si="309"/>
        <v>0.02</v>
      </c>
    </row>
    <row r="3940" spans="1:19" x14ac:dyDescent="0.25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e">
        <f>VLOOKUP('Customer Info'!A3932,'Customer Info'!A3932:I4431,2,FALSE)</f>
        <v>#N/A</v>
      </c>
      <c r="H3940" s="6" t="e">
        <f>VLOOKUP('Customer Info'!A3932,'Customer Info'!A3932:I4432,3,FALSE)</f>
        <v>#N/A</v>
      </c>
      <c r="I3940" s="6" t="e">
        <f>VLOOKUP('Customer Info'!A3932,'Customer Info'!A3932:I4431,5,FALSE)</f>
        <v>#N/A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467</v>
      </c>
      <c r="R3940" s="2" t="s">
        <v>50</v>
      </c>
      <c r="S3940" s="9">
        <f t="shared" si="309"/>
        <v>0.05</v>
      </c>
    </row>
    <row r="3941" spans="1:19" x14ac:dyDescent="0.25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e">
        <f>VLOOKUP('Customer Info'!A3933,'Customer Info'!A3933:I4432,2,FALSE)</f>
        <v>#N/A</v>
      </c>
      <c r="H3941" s="6" t="e">
        <f>VLOOKUP('Customer Info'!A3933,'Customer Info'!A3933:I4433,3,FALSE)</f>
        <v>#N/A</v>
      </c>
      <c r="I3941" s="6" t="e">
        <f>VLOOKUP('Customer Info'!A3933,'Customer Info'!A3933:I4432,5,FALSE)</f>
        <v>#N/A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839</v>
      </c>
      <c r="R3941" s="2" t="s">
        <v>28</v>
      </c>
      <c r="S3941" s="9">
        <f t="shared" si="309"/>
        <v>0.05</v>
      </c>
    </row>
    <row r="3942" spans="1:19" x14ac:dyDescent="0.25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e">
        <f>VLOOKUP('Customer Info'!A3934,'Customer Info'!A3934:I4433,2,FALSE)</f>
        <v>#N/A</v>
      </c>
      <c r="H3942" s="6" t="e">
        <f>VLOOKUP('Customer Info'!A3934,'Customer Info'!A3934:I4434,3,FALSE)</f>
        <v>#N/A</v>
      </c>
      <c r="I3942" s="6" t="e">
        <f>VLOOKUP('Customer Info'!A3934,'Customer Info'!A3934:I4433,5,FALSE)</f>
        <v>#N/A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2996</v>
      </c>
      <c r="R3942" s="2" t="s">
        <v>50</v>
      </c>
      <c r="S3942" s="9">
        <f t="shared" si="309"/>
        <v>7.0000000000000007E-2</v>
      </c>
    </row>
    <row r="3943" spans="1:19" x14ac:dyDescent="0.25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e">
        <f>VLOOKUP('Customer Info'!A3935,'Customer Info'!A3935:I4434,2,FALSE)</f>
        <v>#N/A</v>
      </c>
      <c r="H3943" s="6" t="e">
        <f>VLOOKUP('Customer Info'!A3935,'Customer Info'!A3935:I4435,3,FALSE)</f>
        <v>#N/A</v>
      </c>
      <c r="I3943" s="6" t="e">
        <f>VLOOKUP('Customer Info'!A3935,'Customer Info'!A3935:I4434,5,FALSE)</f>
        <v>#N/A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90</v>
      </c>
      <c r="R3943" s="2" t="s">
        <v>50</v>
      </c>
      <c r="S3943" s="9">
        <f t="shared" si="309"/>
        <v>0.02</v>
      </c>
    </row>
    <row r="3944" spans="1:19" x14ac:dyDescent="0.25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e">
        <f>VLOOKUP('Customer Info'!A3936,'Customer Info'!A3936:I4435,2,FALSE)</f>
        <v>#N/A</v>
      </c>
      <c r="H3944" s="6" t="e">
        <f>VLOOKUP('Customer Info'!A3936,'Customer Info'!A3936:I4436,3,FALSE)</f>
        <v>#N/A</v>
      </c>
      <c r="I3944" s="6" t="e">
        <f>VLOOKUP('Customer Info'!A3936,'Customer Info'!A3936:I4435,5,FALSE)</f>
        <v>#N/A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513</v>
      </c>
      <c r="R3944" s="2" t="s">
        <v>50</v>
      </c>
      <c r="S3944" s="9">
        <f t="shared" si="309"/>
        <v>0.05</v>
      </c>
    </row>
    <row r="3945" spans="1:19" x14ac:dyDescent="0.25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e">
        <f>VLOOKUP('Customer Info'!A3937,'Customer Info'!A3937:I4436,2,FALSE)</f>
        <v>#N/A</v>
      </c>
      <c r="H3945" s="6" t="e">
        <f>VLOOKUP('Customer Info'!A3937,'Customer Info'!A3937:I4437,3,FALSE)</f>
        <v>#N/A</v>
      </c>
      <c r="I3945" s="6" t="e">
        <f>VLOOKUP('Customer Info'!A3937,'Customer Info'!A3937:I4436,5,FALSE)</f>
        <v>#N/A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38</v>
      </c>
      <c r="R3945" s="2" t="s">
        <v>28</v>
      </c>
      <c r="S3945" s="9">
        <f t="shared" si="309"/>
        <v>0.02</v>
      </c>
    </row>
    <row r="3946" spans="1:19" x14ac:dyDescent="0.25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e">
        <f>VLOOKUP('Customer Info'!A3938,'Customer Info'!A3938:I4437,2,FALSE)</f>
        <v>#N/A</v>
      </c>
      <c r="H3946" s="6" t="e">
        <f>VLOOKUP('Customer Info'!A3938,'Customer Info'!A3938:I4438,3,FALSE)</f>
        <v>#N/A</v>
      </c>
      <c r="I3946" s="6" t="e">
        <f>VLOOKUP('Customer Info'!A3938,'Customer Info'!A3938:I4437,5,FALSE)</f>
        <v>#N/A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159</v>
      </c>
      <c r="R3946" s="2" t="s">
        <v>50</v>
      </c>
      <c r="S3946" s="9">
        <f t="shared" si="309"/>
        <v>0.02</v>
      </c>
    </row>
    <row r="3947" spans="1:19" x14ac:dyDescent="0.25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e">
        <f>VLOOKUP('Customer Info'!A3939,'Customer Info'!A3939:I4438,2,FALSE)</f>
        <v>#N/A</v>
      </c>
      <c r="H3947" s="6" t="e">
        <f>VLOOKUP('Customer Info'!A3939,'Customer Info'!A3939:I4439,3,FALSE)</f>
        <v>#N/A</v>
      </c>
      <c r="I3947" s="6" t="e">
        <f>VLOOKUP('Customer Info'!A3939,'Customer Info'!A3939:I4438,5,FALSE)</f>
        <v>#N/A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878</v>
      </c>
      <c r="R3947" s="2" t="s">
        <v>50</v>
      </c>
      <c r="S3947" s="9">
        <f t="shared" si="309"/>
        <v>0.05</v>
      </c>
    </row>
    <row r="3948" spans="1:19" x14ac:dyDescent="0.25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e">
        <f>VLOOKUP('Customer Info'!A3940,'Customer Info'!A3940:I4439,2,FALSE)</f>
        <v>#N/A</v>
      </c>
      <c r="H3948" s="6" t="e">
        <f>VLOOKUP('Customer Info'!A3940,'Customer Info'!A3940:I4440,3,FALSE)</f>
        <v>#N/A</v>
      </c>
      <c r="I3948" s="6" t="e">
        <f>VLOOKUP('Customer Info'!A3940,'Customer Info'!A3940:I4439,5,FALSE)</f>
        <v>#N/A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447</v>
      </c>
      <c r="R3948" s="2" t="s">
        <v>50</v>
      </c>
      <c r="S3948" s="9">
        <f t="shared" si="309"/>
        <v>0.05</v>
      </c>
    </row>
    <row r="3949" spans="1:19" x14ac:dyDescent="0.25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e">
        <f>VLOOKUP('Customer Info'!A3941,'Customer Info'!A3941:I4440,2,FALSE)</f>
        <v>#N/A</v>
      </c>
      <c r="H3949" s="6" t="e">
        <f>VLOOKUP('Customer Info'!A3941,'Customer Info'!A3941:I4441,3,FALSE)</f>
        <v>#N/A</v>
      </c>
      <c r="I3949" s="6" t="e">
        <f>VLOOKUP('Customer Info'!A3941,'Customer Info'!A3941:I4440,5,FALSE)</f>
        <v>#N/A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69</v>
      </c>
      <c r="R3949" s="2" t="s">
        <v>28</v>
      </c>
      <c r="S3949" s="9">
        <f t="shared" si="309"/>
        <v>0.02</v>
      </c>
    </row>
    <row r="3950" spans="1:19" x14ac:dyDescent="0.25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e">
        <f>VLOOKUP('Customer Info'!A3942,'Customer Info'!A3942:I4441,2,FALSE)</f>
        <v>#N/A</v>
      </c>
      <c r="H3950" s="6" t="e">
        <f>VLOOKUP('Customer Info'!A3942,'Customer Info'!A3942:I4442,3,FALSE)</f>
        <v>#N/A</v>
      </c>
      <c r="I3950" s="6" t="e">
        <f>VLOOKUP('Customer Info'!A3942,'Customer Info'!A3942:I4441,5,FALSE)</f>
        <v>#N/A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7107</v>
      </c>
      <c r="R3950" s="2" t="s">
        <v>28</v>
      </c>
      <c r="S3950" s="9">
        <f t="shared" si="309"/>
        <v>0.09</v>
      </c>
    </row>
    <row r="3951" spans="1:19" x14ac:dyDescent="0.25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e">
        <f>VLOOKUP('Customer Info'!A3943,'Customer Info'!A3943:I4442,2,FALSE)</f>
        <v>#N/A</v>
      </c>
      <c r="H3951" s="6" t="e">
        <f>VLOOKUP('Customer Info'!A3943,'Customer Info'!A3943:I4443,3,FALSE)</f>
        <v>#N/A</v>
      </c>
      <c r="I3951" s="6" t="e">
        <f>VLOOKUP('Customer Info'!A3943,'Customer Info'!A3943:I4442,5,FALSE)</f>
        <v>#N/A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2067</v>
      </c>
      <c r="R3951" s="2" t="s">
        <v>28</v>
      </c>
      <c r="S3951" s="9">
        <f t="shared" si="309"/>
        <v>0.05</v>
      </c>
    </row>
    <row r="3952" spans="1:19" x14ac:dyDescent="0.25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e">
        <f>VLOOKUP('Customer Info'!A3944,'Customer Info'!A3944:I4443,2,FALSE)</f>
        <v>#N/A</v>
      </c>
      <c r="H3952" s="6" t="e">
        <f>VLOOKUP('Customer Info'!A3944,'Customer Info'!A3944:I4444,3,FALSE)</f>
        <v>#N/A</v>
      </c>
      <c r="I3952" s="6" t="e">
        <f>VLOOKUP('Customer Info'!A3944,'Customer Info'!A3944:I4443,5,FALSE)</f>
        <v>#N/A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69</v>
      </c>
      <c r="R3952" s="2" t="s">
        <v>50</v>
      </c>
      <c r="S3952" s="9">
        <f t="shared" si="309"/>
        <v>0.02</v>
      </c>
    </row>
    <row r="3953" spans="1:19" x14ac:dyDescent="0.25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e">
        <f>VLOOKUP('Customer Info'!A3945,'Customer Info'!A3945:I4444,2,FALSE)</f>
        <v>#N/A</v>
      </c>
      <c r="H3953" s="6" t="e">
        <f>VLOOKUP('Customer Info'!A3945,'Customer Info'!A3945:I4445,3,FALSE)</f>
        <v>#N/A</v>
      </c>
      <c r="I3953" s="6" t="e">
        <f>VLOOKUP('Customer Info'!A3945,'Customer Info'!A3945:I4444,5,FALSE)</f>
        <v>#N/A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161</v>
      </c>
      <c r="R3953" s="2" t="s">
        <v>50</v>
      </c>
      <c r="S3953" s="9">
        <f t="shared" si="309"/>
        <v>0.02</v>
      </c>
    </row>
    <row r="3954" spans="1:19" x14ac:dyDescent="0.25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e">
        <f>VLOOKUP('Customer Info'!A3946,'Customer Info'!A3946:I4445,2,FALSE)</f>
        <v>#N/A</v>
      </c>
      <c r="H3954" s="6" t="e">
        <f>VLOOKUP('Customer Info'!A3946,'Customer Info'!A3946:I4446,3,FALSE)</f>
        <v>#N/A</v>
      </c>
      <c r="I3954" s="6" t="e">
        <f>VLOOKUP('Customer Info'!A3946,'Customer Info'!A3946:I4445,5,FALSE)</f>
        <v>#N/A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822</v>
      </c>
      <c r="R3954" s="2" t="s">
        <v>28</v>
      </c>
      <c r="S3954" s="9">
        <f t="shared" si="309"/>
        <v>0.05</v>
      </c>
    </row>
    <row r="3955" spans="1:19" x14ac:dyDescent="0.25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e">
        <f>VLOOKUP('Customer Info'!A3947,'Customer Info'!A3947:I4446,2,FALSE)</f>
        <v>#N/A</v>
      </c>
      <c r="H3955" s="6" t="e">
        <f>VLOOKUP('Customer Info'!A3947,'Customer Info'!A3947:I4447,3,FALSE)</f>
        <v>#N/A</v>
      </c>
      <c r="I3955" s="6" t="e">
        <f>VLOOKUP('Customer Info'!A3947,'Customer Info'!A3947:I4446,5,FALSE)</f>
        <v>#N/A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301</v>
      </c>
      <c r="R3955" s="2" t="s">
        <v>28</v>
      </c>
      <c r="S3955" s="9">
        <f t="shared" si="309"/>
        <v>0.02</v>
      </c>
    </row>
    <row r="3956" spans="1:19" x14ac:dyDescent="0.25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e">
        <f>VLOOKUP('Customer Info'!A3948,'Customer Info'!A3948:I4447,2,FALSE)</f>
        <v>#N/A</v>
      </c>
      <c r="H3956" s="6" t="e">
        <f>VLOOKUP('Customer Info'!A3948,'Customer Info'!A3948:I4448,3,FALSE)</f>
        <v>#N/A</v>
      </c>
      <c r="I3956" s="6" t="e">
        <f>VLOOKUP('Customer Info'!A3948,'Customer Info'!A3948:I4447,5,FALSE)</f>
        <v>#N/A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161</v>
      </c>
      <c r="R3956" s="2" t="s">
        <v>26</v>
      </c>
      <c r="S3956" s="9">
        <f t="shared" si="309"/>
        <v>0.02</v>
      </c>
    </row>
    <row r="3957" spans="1:19" x14ac:dyDescent="0.25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e">
        <f>VLOOKUP('Customer Info'!A3949,'Customer Info'!A3949:I4448,2,FALSE)</f>
        <v>#N/A</v>
      </c>
      <c r="H3957" s="6" t="e">
        <f>VLOOKUP('Customer Info'!A3949,'Customer Info'!A3949:I4449,3,FALSE)</f>
        <v>#N/A</v>
      </c>
      <c r="I3957" s="6" t="e">
        <f>VLOOKUP('Customer Info'!A3949,'Customer Info'!A3949:I4448,5,FALSE)</f>
        <v>#N/A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303</v>
      </c>
      <c r="R3957" s="2" t="s">
        <v>28</v>
      </c>
      <c r="S3957" s="9">
        <f t="shared" si="309"/>
        <v>0.05</v>
      </c>
    </row>
    <row r="3958" spans="1:19" x14ac:dyDescent="0.25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e">
        <f>VLOOKUP('Customer Info'!A3950,'Customer Info'!A3950:I4449,2,FALSE)</f>
        <v>#N/A</v>
      </c>
      <c r="H3958" s="6" t="e">
        <f>VLOOKUP('Customer Info'!A3950,'Customer Info'!A3950:I4450,3,FALSE)</f>
        <v>#N/A</v>
      </c>
      <c r="I3958" s="6" t="e">
        <f>VLOOKUP('Customer Info'!A3950,'Customer Info'!A3950:I4449,5,FALSE)</f>
        <v>#N/A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422</v>
      </c>
      <c r="R3958" s="2" t="s">
        <v>50</v>
      </c>
      <c r="S3958" s="9">
        <f t="shared" si="309"/>
        <v>0.02</v>
      </c>
    </row>
    <row r="3959" spans="1:19" x14ac:dyDescent="0.25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e">
        <f>VLOOKUP('Customer Info'!A3951,'Customer Info'!A3951:I4450,2,FALSE)</f>
        <v>#N/A</v>
      </c>
      <c r="H3959" s="6" t="e">
        <f>VLOOKUP('Customer Info'!A3951,'Customer Info'!A3951:I4451,3,FALSE)</f>
        <v>#N/A</v>
      </c>
      <c r="I3959" s="6" t="e">
        <f>VLOOKUP('Customer Info'!A3951,'Customer Info'!A3951:I4450,5,FALSE)</f>
        <v>#N/A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174</v>
      </c>
      <c r="R3959" s="2" t="s">
        <v>50</v>
      </c>
      <c r="S3959" s="9">
        <f t="shared" si="309"/>
        <v>0.02</v>
      </c>
    </row>
    <row r="3960" spans="1:19" x14ac:dyDescent="0.25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e">
        <f>VLOOKUP('Customer Info'!A3952,'Customer Info'!A3952:I4451,2,FALSE)</f>
        <v>#N/A</v>
      </c>
      <c r="H3960" s="6" t="e">
        <f>VLOOKUP('Customer Info'!A3952,'Customer Info'!A3952:I4452,3,FALSE)</f>
        <v>#N/A</v>
      </c>
      <c r="I3960" s="6" t="e">
        <f>VLOOKUP('Customer Info'!A3952,'Customer Info'!A3952:I4451,5,FALSE)</f>
        <v>#N/A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501</v>
      </c>
      <c r="R3960" s="2" t="s">
        <v>28</v>
      </c>
      <c r="S3960" s="9">
        <f t="shared" si="309"/>
        <v>0.05</v>
      </c>
    </row>
    <row r="3961" spans="1:19" x14ac:dyDescent="0.25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e">
        <f>VLOOKUP('Customer Info'!A3953,'Customer Info'!A3953:I4452,2,FALSE)</f>
        <v>#N/A</v>
      </c>
      <c r="H3961" s="6" t="e">
        <f>VLOOKUP('Customer Info'!A3953,'Customer Info'!A3953:I4453,3,FALSE)</f>
        <v>#N/A</v>
      </c>
      <c r="I3961" s="6" t="e">
        <f>VLOOKUP('Customer Info'!A3953,'Customer Info'!A3953:I4452,5,FALSE)</f>
        <v>#N/A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528</v>
      </c>
      <c r="R3961" s="2" t="s">
        <v>50</v>
      </c>
      <c r="S3961" s="9">
        <f t="shared" si="309"/>
        <v>0.05</v>
      </c>
    </row>
    <row r="3962" spans="1:19" x14ac:dyDescent="0.25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e">
        <f>VLOOKUP('Customer Info'!A3954,'Customer Info'!A3954:I4453,2,FALSE)</f>
        <v>#N/A</v>
      </c>
      <c r="H3962" s="6" t="e">
        <f>VLOOKUP('Customer Info'!A3954,'Customer Info'!A3954:I4454,3,FALSE)</f>
        <v>#N/A</v>
      </c>
      <c r="I3962" s="6" t="e">
        <f>VLOOKUP('Customer Info'!A3954,'Customer Info'!A3954:I4453,5,FALSE)</f>
        <v>#N/A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236</v>
      </c>
      <c r="R3962" s="2" t="s">
        <v>50</v>
      </c>
      <c r="S3962" s="9">
        <f t="shared" si="309"/>
        <v>0.02</v>
      </c>
    </row>
    <row r="3963" spans="1:19" x14ac:dyDescent="0.25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e">
        <f>VLOOKUP('Customer Info'!A3955,'Customer Info'!A3955:I4454,2,FALSE)</f>
        <v>#N/A</v>
      </c>
      <c r="H3963" s="6" t="e">
        <f>VLOOKUP('Customer Info'!A3955,'Customer Info'!A3955:I4455,3,FALSE)</f>
        <v>#N/A</v>
      </c>
      <c r="I3963" s="6" t="e">
        <f>VLOOKUP('Customer Info'!A3955,'Customer Info'!A3955:I4454,5,FALSE)</f>
        <v>#N/A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249</v>
      </c>
      <c r="R3963" s="2" t="s">
        <v>56</v>
      </c>
      <c r="S3963" s="9">
        <f t="shared" si="309"/>
        <v>0.05</v>
      </c>
    </row>
    <row r="3964" spans="1:19" x14ac:dyDescent="0.25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e">
        <f>VLOOKUP('Customer Info'!A3956,'Customer Info'!A3956:I4455,2,FALSE)</f>
        <v>#N/A</v>
      </c>
      <c r="H3964" s="6" t="e">
        <f>VLOOKUP('Customer Info'!A3956,'Customer Info'!A3956:I4456,3,FALSE)</f>
        <v>#N/A</v>
      </c>
      <c r="I3964" s="6" t="e">
        <f>VLOOKUP('Customer Info'!A3956,'Customer Info'!A3956:I4455,5,FALSE)</f>
        <v>#N/A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54</v>
      </c>
      <c r="R3964" s="2" t="s">
        <v>28</v>
      </c>
      <c r="S3964" s="9">
        <f t="shared" si="309"/>
        <v>0.02</v>
      </c>
    </row>
    <row r="3965" spans="1:19" x14ac:dyDescent="0.25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e">
        <f>VLOOKUP('Customer Info'!A3957,'Customer Info'!A3957:I4456,2,FALSE)</f>
        <v>#N/A</v>
      </c>
      <c r="H3965" s="6" t="e">
        <f>VLOOKUP('Customer Info'!A3957,'Customer Info'!A3957:I4457,3,FALSE)</f>
        <v>#N/A</v>
      </c>
      <c r="I3965" s="6" t="e">
        <f>VLOOKUP('Customer Info'!A3957,'Customer Info'!A3957:I4456,5,FALSE)</f>
        <v>#N/A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324</v>
      </c>
      <c r="R3965" s="2" t="s">
        <v>28</v>
      </c>
      <c r="S3965" s="9">
        <f t="shared" si="309"/>
        <v>0.05</v>
      </c>
    </row>
    <row r="3966" spans="1:19" x14ac:dyDescent="0.25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e">
        <f>VLOOKUP('Customer Info'!A3958,'Customer Info'!A3958:I4457,2,FALSE)</f>
        <v>#N/A</v>
      </c>
      <c r="H3966" s="6" t="e">
        <f>VLOOKUP('Customer Info'!A3958,'Customer Info'!A3958:I4458,3,FALSE)</f>
        <v>#N/A</v>
      </c>
      <c r="I3966" s="6" t="e">
        <f>VLOOKUP('Customer Info'!A3958,'Customer Info'!A3958:I4457,5,FALSE)</f>
        <v>#N/A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54</v>
      </c>
      <c r="R3966" s="2" t="s">
        <v>28</v>
      </c>
      <c r="S3966" s="9">
        <f t="shared" si="309"/>
        <v>0.02</v>
      </c>
    </row>
    <row r="3967" spans="1:19" x14ac:dyDescent="0.25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e">
        <f>VLOOKUP('Customer Info'!A3959,'Customer Info'!A3959:I4458,2,FALSE)</f>
        <v>#N/A</v>
      </c>
      <c r="H3967" s="6" t="e">
        <f>VLOOKUP('Customer Info'!A3959,'Customer Info'!A3959:I4459,3,FALSE)</f>
        <v>#N/A</v>
      </c>
      <c r="I3967" s="6" t="e">
        <f>VLOOKUP('Customer Info'!A3959,'Customer Info'!A3959:I4458,5,FALSE)</f>
        <v>#N/A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341</v>
      </c>
      <c r="R3967" s="2" t="s">
        <v>28</v>
      </c>
      <c r="S3967" s="9">
        <f t="shared" si="309"/>
        <v>0.05</v>
      </c>
    </row>
    <row r="3968" spans="1:19" x14ac:dyDescent="0.25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e">
        <f>VLOOKUP('Customer Info'!A3960,'Customer Info'!A3960:I4459,2,FALSE)</f>
        <v>#N/A</v>
      </c>
      <c r="H3968" s="6" t="e">
        <f>VLOOKUP('Customer Info'!A3960,'Customer Info'!A3960:I4460,3,FALSE)</f>
        <v>#N/A</v>
      </c>
      <c r="I3968" s="6" t="e">
        <f>VLOOKUP('Customer Info'!A3960,'Customer Info'!A3960:I4459,5,FALSE)</f>
        <v>#N/A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162</v>
      </c>
      <c r="R3968" s="2" t="s">
        <v>28</v>
      </c>
      <c r="S3968" s="9">
        <f t="shared" si="309"/>
        <v>0.02</v>
      </c>
    </row>
    <row r="3969" spans="1:19" x14ac:dyDescent="0.25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e">
        <f>VLOOKUP('Customer Info'!A3961,'Customer Info'!A3961:I4460,2,FALSE)</f>
        <v>#N/A</v>
      </c>
      <c r="H3969" s="6" t="e">
        <f>VLOOKUP('Customer Info'!A3961,'Customer Info'!A3961:I4461,3,FALSE)</f>
        <v>#N/A</v>
      </c>
      <c r="I3969" s="6" t="e">
        <f>VLOOKUP('Customer Info'!A3961,'Customer Info'!A3961:I4460,5,FALSE)</f>
        <v>#N/A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175</v>
      </c>
      <c r="R3969" s="2" t="s">
        <v>50</v>
      </c>
      <c r="S3969" s="9">
        <f t="shared" si="309"/>
        <v>0.02</v>
      </c>
    </row>
    <row r="3970" spans="1:19" x14ac:dyDescent="0.25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e">
        <f>VLOOKUP('Customer Info'!A3962,'Customer Info'!A3962:I4461,2,FALSE)</f>
        <v>#N/A</v>
      </c>
      <c r="H3970" s="6" t="e">
        <f>VLOOKUP('Customer Info'!A3962,'Customer Info'!A3962:I4462,3,FALSE)</f>
        <v>#N/A</v>
      </c>
      <c r="I3970" s="6" t="e">
        <f>VLOOKUP('Customer Info'!A3962,'Customer Info'!A3962:I4461,5,FALSE)</f>
        <v>#N/A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264</v>
      </c>
      <c r="R3970" s="2" t="s">
        <v>28</v>
      </c>
      <c r="S3970" s="9">
        <f t="shared" si="309"/>
        <v>0.02</v>
      </c>
    </row>
    <row r="3971" spans="1:19" x14ac:dyDescent="0.25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e">
        <f>VLOOKUP('Customer Info'!A3963,'Customer Info'!A3963:I4462,2,FALSE)</f>
        <v>#N/A</v>
      </c>
      <c r="H3971" s="6" t="e">
        <f>VLOOKUP('Customer Info'!A3963,'Customer Info'!A3963:I4463,3,FALSE)</f>
        <v>#N/A</v>
      </c>
      <c r="I3971" s="6" t="e">
        <f>VLOOKUP('Customer Info'!A3963,'Customer Info'!A3963:I4462,5,FALSE)</f>
        <v>#N/A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66</v>
      </c>
      <c r="R3971" s="2" t="s">
        <v>28</v>
      </c>
      <c r="S3971" s="9">
        <f t="shared" si="309"/>
        <v>0.02</v>
      </c>
    </row>
    <row r="3972" spans="1:19" x14ac:dyDescent="0.25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e">
        <f>VLOOKUP('Customer Info'!A3964,'Customer Info'!A3964:I4463,2,FALSE)</f>
        <v>#N/A</v>
      </c>
      <c r="H3972" s="6" t="e">
        <f>VLOOKUP('Customer Info'!A3964,'Customer Info'!A3964:I4464,3,FALSE)</f>
        <v>#N/A</v>
      </c>
      <c r="I3972" s="6" t="e">
        <f>VLOOKUP('Customer Info'!A3964,'Customer Info'!A3964:I4463,5,FALSE)</f>
        <v>#N/A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165</v>
      </c>
      <c r="R3972" s="2" t="s">
        <v>28</v>
      </c>
      <c r="S3972" s="9">
        <f t="shared" si="309"/>
        <v>0.02</v>
      </c>
    </row>
    <row r="3973" spans="1:19" x14ac:dyDescent="0.25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e">
        <f>VLOOKUP('Customer Info'!A3965,'Customer Info'!A3965:I4464,2,FALSE)</f>
        <v>#N/A</v>
      </c>
      <c r="H3973" s="6" t="e">
        <f>VLOOKUP('Customer Info'!A3965,'Customer Info'!A3965:I4465,3,FALSE)</f>
        <v>#N/A</v>
      </c>
      <c r="I3973" s="6" t="e">
        <f>VLOOKUP('Customer Info'!A3965,'Customer Info'!A3965:I4464,5,FALSE)</f>
        <v>#N/A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69</v>
      </c>
      <c r="R3973" s="2" t="s">
        <v>26</v>
      </c>
      <c r="S3973" s="9">
        <f t="shared" si="309"/>
        <v>0.02</v>
      </c>
    </row>
    <row r="3974" spans="1:19" x14ac:dyDescent="0.25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e">
        <f>VLOOKUP('Customer Info'!A3966,'Customer Info'!A3966:I4465,2,FALSE)</f>
        <v>#N/A</v>
      </c>
      <c r="H3974" s="6" t="e">
        <f>VLOOKUP('Customer Info'!A3966,'Customer Info'!A3966:I4466,3,FALSE)</f>
        <v>#N/A</v>
      </c>
      <c r="I3974" s="6" t="e">
        <f>VLOOKUP('Customer Info'!A3966,'Customer Info'!A3966:I4465,5,FALSE)</f>
        <v>#N/A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298</v>
      </c>
      <c r="R3974" s="2" t="s">
        <v>50</v>
      </c>
      <c r="S3974" s="9">
        <f t="shared" si="309"/>
        <v>0.02</v>
      </c>
    </row>
    <row r="3975" spans="1:19" x14ac:dyDescent="0.25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e">
        <f>VLOOKUP('Customer Info'!A3967,'Customer Info'!A3967:I4466,2,FALSE)</f>
        <v>#N/A</v>
      </c>
      <c r="H3975" s="6" t="e">
        <f>VLOOKUP('Customer Info'!A3967,'Customer Info'!A3967:I4467,3,FALSE)</f>
        <v>#N/A</v>
      </c>
      <c r="I3975" s="6" t="e">
        <f>VLOOKUP('Customer Info'!A3967,'Customer Info'!A3967:I4466,5,FALSE)</f>
        <v>#N/A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484</v>
      </c>
      <c r="R3975" s="2" t="s">
        <v>28</v>
      </c>
      <c r="S3975" s="9">
        <f t="shared" si="309"/>
        <v>0.05</v>
      </c>
    </row>
    <row r="3976" spans="1:19" x14ac:dyDescent="0.25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e">
        <f>VLOOKUP('Customer Info'!A3968,'Customer Info'!A3968:I4467,2,FALSE)</f>
        <v>#N/A</v>
      </c>
      <c r="H3976" s="6" t="e">
        <f>VLOOKUP('Customer Info'!A3968,'Customer Info'!A3968:I4468,3,FALSE)</f>
        <v>#N/A</v>
      </c>
      <c r="I3976" s="6" t="e">
        <f>VLOOKUP('Customer Info'!A3968,'Customer Info'!A3968:I4467,5,FALSE)</f>
        <v>#N/A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143</v>
      </c>
      <c r="R3976" s="2" t="s">
        <v>26</v>
      </c>
      <c r="S3976" s="9">
        <f t="shared" si="309"/>
        <v>0.02</v>
      </c>
    </row>
    <row r="3977" spans="1:19" x14ac:dyDescent="0.25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e">
        <f>VLOOKUP('Customer Info'!A3969,'Customer Info'!A3969:I4468,2,FALSE)</f>
        <v>#N/A</v>
      </c>
      <c r="H3977" s="6" t="e">
        <f>VLOOKUP('Customer Info'!A3969,'Customer Info'!A3969:I4469,3,FALSE)</f>
        <v>#N/A</v>
      </c>
      <c r="I3977" s="6" t="e">
        <f>VLOOKUP('Customer Info'!A3969,'Customer Info'!A3969:I4468,5,FALSE)</f>
        <v>#N/A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2109</v>
      </c>
      <c r="R3977" s="2" t="s">
        <v>28</v>
      </c>
      <c r="S3977" s="9">
        <f t="shared" si="309"/>
        <v>7.0000000000000007E-2</v>
      </c>
    </row>
    <row r="3978" spans="1:19" x14ac:dyDescent="0.25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e">
        <f>VLOOKUP('Customer Info'!A3970,'Customer Info'!A3970:I4469,2,FALSE)</f>
        <v>#N/A</v>
      </c>
      <c r="H3978" s="6" t="e">
        <f>VLOOKUP('Customer Info'!A3970,'Customer Info'!A3970:I4470,3,FALSE)</f>
        <v>#N/A</v>
      </c>
      <c r="I3978" s="6" t="e">
        <f>VLOOKUP('Customer Info'!A3970,'Customer Info'!A3970:I4469,5,FALSE)</f>
        <v>#N/A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1213</v>
      </c>
      <c r="R3978" s="2" t="s">
        <v>56</v>
      </c>
      <c r="S3978" s="9">
        <f t="shared" si="309"/>
        <v>0.05</v>
      </c>
    </row>
    <row r="3979" spans="1:19" x14ac:dyDescent="0.25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e">
        <f>VLOOKUP('Customer Info'!A3971,'Customer Info'!A3971:I4470,2,FALSE)</f>
        <v>#N/A</v>
      </c>
      <c r="H3979" s="6" t="e">
        <f>VLOOKUP('Customer Info'!A3971,'Customer Info'!A3971:I4471,3,FALSE)</f>
        <v>#N/A</v>
      </c>
      <c r="I3979" s="6" t="e">
        <f>VLOOKUP('Customer Info'!A3971,'Customer Info'!A3971:I4470,5,FALSE)</f>
        <v>#N/A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8">
        <f t="shared" ref="P3979:P4042" si="312">N3979+O3979</f>
        <v>8862</v>
      </c>
      <c r="Q3979" s="8">
        <f t="shared" ref="Q3979:Q4042" si="313">P3979-M3979</f>
        <v>435</v>
      </c>
      <c r="R3979" s="2" t="s">
        <v>28</v>
      </c>
      <c r="S3979" s="9">
        <f t="shared" ref="S3979:S4042" si="314">VLOOKUP(P3979,$T$2:$U$7,2,TRUE)</f>
        <v>0.05</v>
      </c>
    </row>
    <row r="3980" spans="1:19" x14ac:dyDescent="0.25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e">
        <f>VLOOKUP('Customer Info'!A3972,'Customer Info'!A3972:I4471,2,FALSE)</f>
        <v>#N/A</v>
      </c>
      <c r="H3980" s="6" t="e">
        <f>VLOOKUP('Customer Info'!A3972,'Customer Info'!A3972:I4472,3,FALSE)</f>
        <v>#N/A</v>
      </c>
      <c r="I3980" s="6" t="e">
        <f>VLOOKUP('Customer Info'!A3972,'Customer Info'!A3972:I4471,5,FALSE)</f>
        <v>#N/A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224</v>
      </c>
      <c r="R3980" s="2" t="s">
        <v>50</v>
      </c>
      <c r="S3980" s="9">
        <f t="shared" si="314"/>
        <v>0.02</v>
      </c>
    </row>
    <row r="3981" spans="1:19" x14ac:dyDescent="0.25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e">
        <f>VLOOKUP('Customer Info'!A3973,'Customer Info'!A3973:I4472,2,FALSE)</f>
        <v>#N/A</v>
      </c>
      <c r="H3981" s="6" t="e">
        <f>VLOOKUP('Customer Info'!A3973,'Customer Info'!A3973:I4473,3,FALSE)</f>
        <v>#N/A</v>
      </c>
      <c r="I3981" s="6" t="e">
        <f>VLOOKUP('Customer Info'!A3973,'Customer Info'!A3973:I4472,5,FALSE)</f>
        <v>#N/A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88</v>
      </c>
      <c r="R3981" s="2" t="s">
        <v>26</v>
      </c>
      <c r="S3981" s="9">
        <f t="shared" si="314"/>
        <v>0.02</v>
      </c>
    </row>
    <row r="3982" spans="1:19" x14ac:dyDescent="0.25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e">
        <f>VLOOKUP('Customer Info'!A3974,'Customer Info'!A3974:I4473,2,FALSE)</f>
        <v>#N/A</v>
      </c>
      <c r="H3982" s="6" t="e">
        <f>VLOOKUP('Customer Info'!A3974,'Customer Info'!A3974:I4474,3,FALSE)</f>
        <v>#N/A</v>
      </c>
      <c r="I3982" s="6" t="e">
        <f>VLOOKUP('Customer Info'!A3974,'Customer Info'!A3974:I4473,5,FALSE)</f>
        <v>#N/A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66</v>
      </c>
      <c r="R3982" s="2" t="s">
        <v>28</v>
      </c>
      <c r="S3982" s="9">
        <f t="shared" si="314"/>
        <v>0.02</v>
      </c>
    </row>
    <row r="3983" spans="1:19" x14ac:dyDescent="0.25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e">
        <f>VLOOKUP('Customer Info'!A3975,'Customer Info'!A3975:I4474,2,FALSE)</f>
        <v>#N/A</v>
      </c>
      <c r="H3983" s="6" t="e">
        <f>VLOOKUP('Customer Info'!A3975,'Customer Info'!A3975:I4475,3,FALSE)</f>
        <v>#N/A</v>
      </c>
      <c r="I3983" s="6" t="e">
        <f>VLOOKUP('Customer Info'!A3975,'Customer Info'!A3975:I4474,5,FALSE)</f>
        <v>#N/A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54</v>
      </c>
      <c r="R3983" s="2" t="s">
        <v>26</v>
      </c>
      <c r="S3983" s="9">
        <f t="shared" si="314"/>
        <v>0.02</v>
      </c>
    </row>
    <row r="3984" spans="1:19" x14ac:dyDescent="0.25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e">
        <f>VLOOKUP('Customer Info'!A3976,'Customer Info'!A3976:I4475,2,FALSE)</f>
        <v>#N/A</v>
      </c>
      <c r="H3984" s="6" t="e">
        <f>VLOOKUP('Customer Info'!A3976,'Customer Info'!A3976:I4476,3,FALSE)</f>
        <v>#N/A</v>
      </c>
      <c r="I3984" s="6" t="e">
        <f>VLOOKUP('Customer Info'!A3976,'Customer Info'!A3976:I4475,5,FALSE)</f>
        <v>#N/A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151</v>
      </c>
      <c r="R3984" s="2" t="s">
        <v>50</v>
      </c>
      <c r="S3984" s="9">
        <f t="shared" si="314"/>
        <v>0.02</v>
      </c>
    </row>
    <row r="3985" spans="1:19" x14ac:dyDescent="0.25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e">
        <f>VLOOKUP('Customer Info'!A3977,'Customer Info'!A3977:I4476,2,FALSE)</f>
        <v>#N/A</v>
      </c>
      <c r="H3985" s="6" t="e">
        <f>VLOOKUP('Customer Info'!A3977,'Customer Info'!A3977:I4477,3,FALSE)</f>
        <v>#N/A</v>
      </c>
      <c r="I3985" s="6" t="e">
        <f>VLOOKUP('Customer Info'!A3977,'Customer Info'!A3977:I4476,5,FALSE)</f>
        <v>#N/A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72</v>
      </c>
      <c r="R3985" s="2" t="s">
        <v>50</v>
      </c>
      <c r="S3985" s="9">
        <f t="shared" si="314"/>
        <v>0.02</v>
      </c>
    </row>
    <row r="3986" spans="1:19" x14ac:dyDescent="0.25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e">
        <f>VLOOKUP('Customer Info'!A3978,'Customer Info'!A3978:I4477,2,FALSE)</f>
        <v>#N/A</v>
      </c>
      <c r="H3986" s="6" t="e">
        <f>VLOOKUP('Customer Info'!A3978,'Customer Info'!A3978:I4478,3,FALSE)</f>
        <v>#N/A</v>
      </c>
      <c r="I3986" s="6" t="e">
        <f>VLOOKUP('Customer Info'!A3978,'Customer Info'!A3978:I4477,5,FALSE)</f>
        <v>#N/A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315</v>
      </c>
      <c r="R3986" s="2" t="s">
        <v>28</v>
      </c>
      <c r="S3986" s="9">
        <f t="shared" si="314"/>
        <v>0.02</v>
      </c>
    </row>
    <row r="3987" spans="1:19" x14ac:dyDescent="0.25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e">
        <f>VLOOKUP('Customer Info'!A3979,'Customer Info'!A3979:I4478,2,FALSE)</f>
        <v>#N/A</v>
      </c>
      <c r="H3987" s="6" t="e">
        <f>VLOOKUP('Customer Info'!A3979,'Customer Info'!A3979:I4479,3,FALSE)</f>
        <v>#N/A</v>
      </c>
      <c r="I3987" s="6" t="e">
        <f>VLOOKUP('Customer Info'!A3979,'Customer Info'!A3979:I4478,5,FALSE)</f>
        <v>#N/A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66</v>
      </c>
      <c r="R3987" s="2" t="s">
        <v>28</v>
      </c>
      <c r="S3987" s="9">
        <f t="shared" si="314"/>
        <v>0.02</v>
      </c>
    </row>
    <row r="3988" spans="1:19" x14ac:dyDescent="0.25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e">
        <f>VLOOKUP('Customer Info'!A3980,'Customer Info'!A3980:I4479,2,FALSE)</f>
        <v>#N/A</v>
      </c>
      <c r="H3988" s="6" t="e">
        <f>VLOOKUP('Customer Info'!A3980,'Customer Info'!A3980:I4480,3,FALSE)</f>
        <v>#N/A</v>
      </c>
      <c r="I3988" s="6" t="e">
        <f>VLOOKUP('Customer Info'!A3980,'Customer Info'!A3980:I4479,5,FALSE)</f>
        <v>#N/A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870</v>
      </c>
      <c r="R3988" s="2" t="s">
        <v>56</v>
      </c>
      <c r="S3988" s="9">
        <f t="shared" si="314"/>
        <v>0.05</v>
      </c>
    </row>
    <row r="3989" spans="1:19" x14ac:dyDescent="0.25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e">
        <f>VLOOKUP('Customer Info'!A3981,'Customer Info'!A3981:I4480,2,FALSE)</f>
        <v>#N/A</v>
      </c>
      <c r="H3989" s="6" t="e">
        <f>VLOOKUP('Customer Info'!A3981,'Customer Info'!A3981:I4481,3,FALSE)</f>
        <v>#N/A</v>
      </c>
      <c r="I3989" s="6" t="e">
        <f>VLOOKUP('Customer Info'!A3981,'Customer Info'!A3981:I4480,5,FALSE)</f>
        <v>#N/A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831</v>
      </c>
      <c r="R3989" s="2" t="s">
        <v>28</v>
      </c>
      <c r="S3989" s="9">
        <f t="shared" si="314"/>
        <v>7.0000000000000007E-2</v>
      </c>
    </row>
    <row r="3990" spans="1:19" x14ac:dyDescent="0.25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e">
        <f>VLOOKUP('Customer Info'!A3982,'Customer Info'!A3982:I4481,2,FALSE)</f>
        <v>#N/A</v>
      </c>
      <c r="H3990" s="6" t="e">
        <f>VLOOKUP('Customer Info'!A3982,'Customer Info'!A3982:I4482,3,FALSE)</f>
        <v>#N/A</v>
      </c>
      <c r="I3990" s="6" t="e">
        <f>VLOOKUP('Customer Info'!A3982,'Customer Info'!A3982:I4481,5,FALSE)</f>
        <v>#N/A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36</v>
      </c>
      <c r="R3990" s="2" t="s">
        <v>28</v>
      </c>
      <c r="S3990" s="9">
        <f t="shared" si="314"/>
        <v>0.02</v>
      </c>
    </row>
    <row r="3991" spans="1:19" x14ac:dyDescent="0.25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e">
        <f>VLOOKUP('Customer Info'!A3983,'Customer Info'!A3983:I4482,2,FALSE)</f>
        <v>#N/A</v>
      </c>
      <c r="H3991" s="6" t="e">
        <f>VLOOKUP('Customer Info'!A3983,'Customer Info'!A3983:I4483,3,FALSE)</f>
        <v>#N/A</v>
      </c>
      <c r="I3991" s="6" t="e">
        <f>VLOOKUP('Customer Info'!A3983,'Customer Info'!A3983:I4482,5,FALSE)</f>
        <v>#N/A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188</v>
      </c>
      <c r="R3991" s="2" t="s">
        <v>50</v>
      </c>
      <c r="S3991" s="9">
        <f t="shared" si="314"/>
        <v>0.02</v>
      </c>
    </row>
    <row r="3992" spans="1:19" x14ac:dyDescent="0.25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e">
        <f>VLOOKUP('Customer Info'!A3984,'Customer Info'!A3984:I4483,2,FALSE)</f>
        <v>#N/A</v>
      </c>
      <c r="H3992" s="6" t="e">
        <f>VLOOKUP('Customer Info'!A3984,'Customer Info'!A3984:I4484,3,FALSE)</f>
        <v>#N/A</v>
      </c>
      <c r="I3992" s="6" t="e">
        <f>VLOOKUP('Customer Info'!A3984,'Customer Info'!A3984:I4483,5,FALSE)</f>
        <v>#N/A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491</v>
      </c>
      <c r="R3992" s="2" t="s">
        <v>50</v>
      </c>
      <c r="S3992" s="9">
        <f t="shared" si="314"/>
        <v>0.05</v>
      </c>
    </row>
    <row r="3993" spans="1:19" x14ac:dyDescent="0.25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e">
        <f>VLOOKUP('Customer Info'!A3985,'Customer Info'!A3985:I4484,2,FALSE)</f>
        <v>#N/A</v>
      </c>
      <c r="H3993" s="6" t="e">
        <f>VLOOKUP('Customer Info'!A3985,'Customer Info'!A3985:I4485,3,FALSE)</f>
        <v>#N/A</v>
      </c>
      <c r="I3993" s="6" t="e">
        <f>VLOOKUP('Customer Info'!A3985,'Customer Info'!A3985:I4484,5,FALSE)</f>
        <v>#N/A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30</v>
      </c>
      <c r="R3993" s="2" t="s">
        <v>26</v>
      </c>
      <c r="S3993" s="9">
        <f t="shared" si="314"/>
        <v>0.02</v>
      </c>
    </row>
    <row r="3994" spans="1:19" x14ac:dyDescent="0.25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e">
        <f>VLOOKUP('Customer Info'!A3986,'Customer Info'!A3986:I4485,2,FALSE)</f>
        <v>#N/A</v>
      </c>
      <c r="H3994" s="6" t="e">
        <f>VLOOKUP('Customer Info'!A3986,'Customer Info'!A3986:I4486,3,FALSE)</f>
        <v>#N/A</v>
      </c>
      <c r="I3994" s="6" t="e">
        <f>VLOOKUP('Customer Info'!A3986,'Customer Info'!A3986:I4485,5,FALSE)</f>
        <v>#N/A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309</v>
      </c>
      <c r="R3994" s="2" t="s">
        <v>50</v>
      </c>
      <c r="S3994" s="9">
        <f t="shared" si="314"/>
        <v>0.02</v>
      </c>
    </row>
    <row r="3995" spans="1:19" x14ac:dyDescent="0.25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e">
        <f>VLOOKUP('Customer Info'!A3987,'Customer Info'!A3987:I4486,2,FALSE)</f>
        <v>#N/A</v>
      </c>
      <c r="H3995" s="6" t="e">
        <f>VLOOKUP('Customer Info'!A3987,'Customer Info'!A3987:I4487,3,FALSE)</f>
        <v>#N/A</v>
      </c>
      <c r="I3995" s="6" t="e">
        <f>VLOOKUP('Customer Info'!A3987,'Customer Info'!A3987:I4486,5,FALSE)</f>
        <v>#N/A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94</v>
      </c>
      <c r="R3995" s="2" t="s">
        <v>28</v>
      </c>
      <c r="S3995" s="9">
        <f t="shared" si="314"/>
        <v>0.02</v>
      </c>
    </row>
    <row r="3996" spans="1:19" x14ac:dyDescent="0.25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e">
        <f>VLOOKUP('Customer Info'!A3988,'Customer Info'!A3988:I4487,2,FALSE)</f>
        <v>#N/A</v>
      </c>
      <c r="H3996" s="6" t="e">
        <f>VLOOKUP('Customer Info'!A3988,'Customer Info'!A3988:I4488,3,FALSE)</f>
        <v>#N/A</v>
      </c>
      <c r="I3996" s="6" t="e">
        <f>VLOOKUP('Customer Info'!A3988,'Customer Info'!A3988:I4487,5,FALSE)</f>
        <v>#N/A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2468</v>
      </c>
      <c r="R3996" s="2" t="s">
        <v>28</v>
      </c>
      <c r="S3996" s="9">
        <f t="shared" si="314"/>
        <v>7.0000000000000007E-2</v>
      </c>
    </row>
    <row r="3997" spans="1:19" x14ac:dyDescent="0.25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e">
        <f>VLOOKUP('Customer Info'!A3989,'Customer Info'!A3989:I4488,2,FALSE)</f>
        <v>#N/A</v>
      </c>
      <c r="H3997" s="6" t="e">
        <f>VLOOKUP('Customer Info'!A3989,'Customer Info'!A3989:I4489,3,FALSE)</f>
        <v>#N/A</v>
      </c>
      <c r="I3997" s="6" t="e">
        <f>VLOOKUP('Customer Info'!A3989,'Customer Info'!A3989:I4488,5,FALSE)</f>
        <v>#N/A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385</v>
      </c>
      <c r="R3997" s="2" t="s">
        <v>28</v>
      </c>
      <c r="S3997" s="9">
        <f t="shared" si="314"/>
        <v>0.02</v>
      </c>
    </row>
    <row r="3998" spans="1:19" x14ac:dyDescent="0.25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e">
        <f>VLOOKUP('Customer Info'!A3990,'Customer Info'!A3990:I4489,2,FALSE)</f>
        <v>#N/A</v>
      </c>
      <c r="H3998" s="6" t="e">
        <f>VLOOKUP('Customer Info'!A3990,'Customer Info'!A3990:I4490,3,FALSE)</f>
        <v>#N/A</v>
      </c>
      <c r="I3998" s="6" t="e">
        <f>VLOOKUP('Customer Info'!A3990,'Customer Info'!A3990:I4489,5,FALSE)</f>
        <v>#N/A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280</v>
      </c>
      <c r="R3998" s="2" t="s">
        <v>50</v>
      </c>
      <c r="S3998" s="9">
        <f t="shared" si="314"/>
        <v>0.02</v>
      </c>
    </row>
    <row r="3999" spans="1:19" x14ac:dyDescent="0.25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e">
        <f>VLOOKUP('Customer Info'!A3991,'Customer Info'!A3991:I4490,2,FALSE)</f>
        <v>#N/A</v>
      </c>
      <c r="H3999" s="6" t="e">
        <f>VLOOKUP('Customer Info'!A3991,'Customer Info'!A3991:I4491,3,FALSE)</f>
        <v>#N/A</v>
      </c>
      <c r="I3999" s="6" t="e">
        <f>VLOOKUP('Customer Info'!A3991,'Customer Info'!A3991:I4490,5,FALSE)</f>
        <v>#N/A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1981</v>
      </c>
      <c r="R3999" s="2" t="s">
        <v>28</v>
      </c>
      <c r="S3999" s="9">
        <f t="shared" si="314"/>
        <v>0.05</v>
      </c>
    </row>
    <row r="4000" spans="1:19" x14ac:dyDescent="0.25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e">
        <f>VLOOKUP('Customer Info'!A3992,'Customer Info'!A3992:I4491,2,FALSE)</f>
        <v>#N/A</v>
      </c>
      <c r="H4000" s="6" t="e">
        <f>VLOOKUP('Customer Info'!A3992,'Customer Info'!A3992:I4492,3,FALSE)</f>
        <v>#N/A</v>
      </c>
      <c r="I4000" s="6" t="e">
        <f>VLOOKUP('Customer Info'!A3992,'Customer Info'!A3992:I4491,5,FALSE)</f>
        <v>#N/A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114</v>
      </c>
      <c r="R4000" s="2" t="s">
        <v>50</v>
      </c>
      <c r="S4000" s="9">
        <f t="shared" si="314"/>
        <v>0.02</v>
      </c>
    </row>
    <row r="4001" spans="1:19" x14ac:dyDescent="0.25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e">
        <f>VLOOKUP('Customer Info'!A3993,'Customer Info'!A3993:I4492,2,FALSE)</f>
        <v>#N/A</v>
      </c>
      <c r="H4001" s="6" t="e">
        <f>VLOOKUP('Customer Info'!A3993,'Customer Info'!A3993:I4493,3,FALSE)</f>
        <v>#N/A</v>
      </c>
      <c r="I4001" s="6" t="e">
        <f>VLOOKUP('Customer Info'!A3993,'Customer Info'!A3993:I4492,5,FALSE)</f>
        <v>#N/A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1780</v>
      </c>
      <c r="R4001" s="2" t="s">
        <v>26</v>
      </c>
      <c r="S4001" s="9">
        <f t="shared" si="314"/>
        <v>0.05</v>
      </c>
    </row>
    <row r="4002" spans="1:19" x14ac:dyDescent="0.25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e">
        <f>VLOOKUP('Customer Info'!A3994,'Customer Info'!A3994:I4493,2,FALSE)</f>
        <v>#N/A</v>
      </c>
      <c r="H4002" s="6" t="e">
        <f>VLOOKUP('Customer Info'!A3994,'Customer Info'!A3994:I4494,3,FALSE)</f>
        <v>#N/A</v>
      </c>
      <c r="I4002" s="6" t="e">
        <f>VLOOKUP('Customer Info'!A3994,'Customer Info'!A3994:I4493,5,FALSE)</f>
        <v>#N/A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213</v>
      </c>
      <c r="R4002" s="2" t="s">
        <v>28</v>
      </c>
      <c r="S4002" s="9">
        <f t="shared" si="314"/>
        <v>0.02</v>
      </c>
    </row>
    <row r="4003" spans="1:19" x14ac:dyDescent="0.25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e">
        <f>VLOOKUP('Customer Info'!A3995,'Customer Info'!A3995:I4494,2,FALSE)</f>
        <v>#N/A</v>
      </c>
      <c r="H4003" s="6" t="e">
        <f>VLOOKUP('Customer Info'!A3995,'Customer Info'!A3995:I4495,3,FALSE)</f>
        <v>#N/A</v>
      </c>
      <c r="I4003" s="6" t="e">
        <f>VLOOKUP('Customer Info'!A3995,'Customer Info'!A3995:I4494,5,FALSE)</f>
        <v>#N/A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476</v>
      </c>
      <c r="R4003" s="2" t="s">
        <v>50</v>
      </c>
      <c r="S4003" s="9">
        <f t="shared" si="314"/>
        <v>0.05</v>
      </c>
    </row>
    <row r="4004" spans="1:19" x14ac:dyDescent="0.25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e">
        <f>VLOOKUP('Customer Info'!A3996,'Customer Info'!A3996:I4495,2,FALSE)</f>
        <v>#N/A</v>
      </c>
      <c r="H4004" s="6" t="e">
        <f>VLOOKUP('Customer Info'!A3996,'Customer Info'!A3996:I4496,3,FALSE)</f>
        <v>#N/A</v>
      </c>
      <c r="I4004" s="6" t="e">
        <f>VLOOKUP('Customer Info'!A3996,'Customer Info'!A3996:I4495,5,FALSE)</f>
        <v>#N/A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350</v>
      </c>
      <c r="R4004" s="2" t="s">
        <v>28</v>
      </c>
      <c r="S4004" s="9">
        <f t="shared" si="314"/>
        <v>0.02</v>
      </c>
    </row>
    <row r="4005" spans="1:19" x14ac:dyDescent="0.25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e">
        <f>VLOOKUP('Customer Info'!A3997,'Customer Info'!A3997:I4496,2,FALSE)</f>
        <v>#N/A</v>
      </c>
      <c r="H4005" s="6" t="e">
        <f>VLOOKUP('Customer Info'!A3997,'Customer Info'!A3997:I4497,3,FALSE)</f>
        <v>#N/A</v>
      </c>
      <c r="I4005" s="6" t="e">
        <f>VLOOKUP('Customer Info'!A3997,'Customer Info'!A3997:I4496,5,FALSE)</f>
        <v>#N/A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389</v>
      </c>
      <c r="R4005" s="2" t="s">
        <v>28</v>
      </c>
      <c r="S4005" s="9">
        <f t="shared" si="314"/>
        <v>0.02</v>
      </c>
    </row>
    <row r="4006" spans="1:19" x14ac:dyDescent="0.25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e">
        <f>VLOOKUP('Customer Info'!A3998,'Customer Info'!A3998:I4497,2,FALSE)</f>
        <v>#N/A</v>
      </c>
      <c r="H4006" s="6" t="e">
        <f>VLOOKUP('Customer Info'!A3998,'Customer Info'!A3998:I4498,3,FALSE)</f>
        <v>#N/A</v>
      </c>
      <c r="I4006" s="6" t="e">
        <f>VLOOKUP('Customer Info'!A3998,'Customer Info'!A3998:I4497,5,FALSE)</f>
        <v>#N/A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553</v>
      </c>
      <c r="R4006" s="2" t="s">
        <v>26</v>
      </c>
      <c r="S4006" s="9">
        <f t="shared" si="314"/>
        <v>0.05</v>
      </c>
    </row>
    <row r="4007" spans="1:19" x14ac:dyDescent="0.25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e">
        <f>VLOOKUP('Customer Info'!A3999,'Customer Info'!A3999:I4498,2,FALSE)</f>
        <v>#N/A</v>
      </c>
      <c r="H4007" s="6" t="e">
        <f>VLOOKUP('Customer Info'!A3999,'Customer Info'!A3999:I4499,3,FALSE)</f>
        <v>#N/A</v>
      </c>
      <c r="I4007" s="6" t="e">
        <f>VLOOKUP('Customer Info'!A3999,'Customer Info'!A3999:I4498,5,FALSE)</f>
        <v>#N/A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30</v>
      </c>
      <c r="R4007" s="2" t="s">
        <v>28</v>
      </c>
      <c r="S4007" s="9">
        <f t="shared" si="314"/>
        <v>0.02</v>
      </c>
    </row>
    <row r="4008" spans="1:19" x14ac:dyDescent="0.25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e">
        <f>VLOOKUP('Customer Info'!A4000,'Customer Info'!A4000:I4499,2,FALSE)</f>
        <v>#N/A</v>
      </c>
      <c r="H4008" s="6" t="e">
        <f>VLOOKUP('Customer Info'!A4000,'Customer Info'!A4000:I4500,3,FALSE)</f>
        <v>#N/A</v>
      </c>
      <c r="I4008" s="6" t="e">
        <f>VLOOKUP('Customer Info'!A4000,'Customer Info'!A4000:I4499,5,FALSE)</f>
        <v>#N/A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98</v>
      </c>
      <c r="R4008" s="2" t="s">
        <v>28</v>
      </c>
      <c r="S4008" s="9">
        <f t="shared" si="314"/>
        <v>0.02</v>
      </c>
    </row>
    <row r="4009" spans="1:19" x14ac:dyDescent="0.25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e">
        <f>VLOOKUP('Customer Info'!A4001,'Customer Info'!A4001:I4500,2,FALSE)</f>
        <v>#N/A</v>
      </c>
      <c r="H4009" s="6" t="e">
        <f>VLOOKUP('Customer Info'!A4001,'Customer Info'!A4001:I4501,3,FALSE)</f>
        <v>#N/A</v>
      </c>
      <c r="I4009" s="6" t="e">
        <f>VLOOKUP('Customer Info'!A4001,'Customer Info'!A4001:I4500,5,FALSE)</f>
        <v>#N/A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2564</v>
      </c>
      <c r="R4009" s="2" t="s">
        <v>56</v>
      </c>
      <c r="S4009" s="9">
        <f t="shared" si="314"/>
        <v>7.0000000000000007E-2</v>
      </c>
    </row>
    <row r="4010" spans="1:19" x14ac:dyDescent="0.25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e">
        <f>VLOOKUP('Customer Info'!A4002,'Customer Info'!A4002:I4501,2,FALSE)</f>
        <v>#N/A</v>
      </c>
      <c r="H4010" s="6" t="e">
        <f>VLOOKUP('Customer Info'!A4002,'Customer Info'!A4002:I4502,3,FALSE)</f>
        <v>#N/A</v>
      </c>
      <c r="I4010" s="6" t="e">
        <f>VLOOKUP('Customer Info'!A4002,'Customer Info'!A4002:I4501,5,FALSE)</f>
        <v>#N/A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334</v>
      </c>
      <c r="R4010" s="2" t="s">
        <v>50</v>
      </c>
      <c r="S4010" s="9">
        <f t="shared" si="314"/>
        <v>0.02</v>
      </c>
    </row>
    <row r="4011" spans="1:19" x14ac:dyDescent="0.25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e">
        <f>VLOOKUP('Customer Info'!A4003,'Customer Info'!A4003:I4502,2,FALSE)</f>
        <v>#N/A</v>
      </c>
      <c r="H4011" s="6" t="e">
        <f>VLOOKUP('Customer Info'!A4003,'Customer Info'!A4003:I4503,3,FALSE)</f>
        <v>#N/A</v>
      </c>
      <c r="I4011" s="6" t="e">
        <f>VLOOKUP('Customer Info'!A4003,'Customer Info'!A4003:I4502,5,FALSE)</f>
        <v>#N/A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20</v>
      </c>
      <c r="R4011" s="2" t="s">
        <v>28</v>
      </c>
      <c r="S4011" s="9">
        <f t="shared" si="314"/>
        <v>0.02</v>
      </c>
    </row>
    <row r="4012" spans="1:19" x14ac:dyDescent="0.25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e">
        <f>VLOOKUP('Customer Info'!A4004,'Customer Info'!A4004:I4503,2,FALSE)</f>
        <v>#N/A</v>
      </c>
      <c r="H4012" s="6" t="e">
        <f>VLOOKUP('Customer Info'!A4004,'Customer Info'!A4004:I4504,3,FALSE)</f>
        <v>#N/A</v>
      </c>
      <c r="I4012" s="6" t="e">
        <f>VLOOKUP('Customer Info'!A4004,'Customer Info'!A4004:I4503,5,FALSE)</f>
        <v>#N/A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1471</v>
      </c>
      <c r="R4012" s="2" t="s">
        <v>50</v>
      </c>
      <c r="S4012" s="9">
        <f t="shared" si="314"/>
        <v>0.05</v>
      </c>
    </row>
    <row r="4013" spans="1:19" x14ac:dyDescent="0.25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e">
        <f>VLOOKUP('Customer Info'!A4005,'Customer Info'!A4005:I4504,2,FALSE)</f>
        <v>#N/A</v>
      </c>
      <c r="H4013" s="6" t="e">
        <f>VLOOKUP('Customer Info'!A4005,'Customer Info'!A4005:I4505,3,FALSE)</f>
        <v>#N/A</v>
      </c>
      <c r="I4013" s="6" t="e">
        <f>VLOOKUP('Customer Info'!A4005,'Customer Info'!A4005:I4504,5,FALSE)</f>
        <v>#N/A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214</v>
      </c>
      <c r="R4013" s="2" t="s">
        <v>28</v>
      </c>
      <c r="S4013" s="9">
        <f t="shared" si="314"/>
        <v>0.02</v>
      </c>
    </row>
    <row r="4014" spans="1:19" x14ac:dyDescent="0.25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e">
        <f>VLOOKUP('Customer Info'!A4006,'Customer Info'!A4006:I4505,2,FALSE)</f>
        <v>#N/A</v>
      </c>
      <c r="H4014" s="6" t="e">
        <f>VLOOKUP('Customer Info'!A4006,'Customer Info'!A4006:I4506,3,FALSE)</f>
        <v>#N/A</v>
      </c>
      <c r="I4014" s="6" t="e">
        <f>VLOOKUP('Customer Info'!A4006,'Customer Info'!A4006:I4505,5,FALSE)</f>
        <v>#N/A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340</v>
      </c>
      <c r="R4014" s="2" t="s">
        <v>28</v>
      </c>
      <c r="S4014" s="9">
        <f t="shared" si="314"/>
        <v>0.02</v>
      </c>
    </row>
    <row r="4015" spans="1:19" x14ac:dyDescent="0.25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e">
        <f>VLOOKUP('Customer Info'!A4007,'Customer Info'!A4007:I4506,2,FALSE)</f>
        <v>#N/A</v>
      </c>
      <c r="H4015" s="6" t="e">
        <f>VLOOKUP('Customer Info'!A4007,'Customer Info'!A4007:I4507,3,FALSE)</f>
        <v>#N/A</v>
      </c>
      <c r="I4015" s="6" t="e">
        <f>VLOOKUP('Customer Info'!A4007,'Customer Info'!A4007:I4506,5,FALSE)</f>
        <v>#N/A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2807</v>
      </c>
      <c r="R4015" s="2" t="s">
        <v>28</v>
      </c>
      <c r="S4015" s="9">
        <f t="shared" si="314"/>
        <v>7.0000000000000007E-2</v>
      </c>
    </row>
    <row r="4016" spans="1:19" x14ac:dyDescent="0.25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e">
        <f>VLOOKUP('Customer Info'!A4008,'Customer Info'!A4008:I4507,2,FALSE)</f>
        <v>#N/A</v>
      </c>
      <c r="H4016" s="6" t="e">
        <f>VLOOKUP('Customer Info'!A4008,'Customer Info'!A4008:I4508,3,FALSE)</f>
        <v>#N/A</v>
      </c>
      <c r="I4016" s="6" t="e">
        <f>VLOOKUP('Customer Info'!A4008,'Customer Info'!A4008:I4507,5,FALSE)</f>
        <v>#N/A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72</v>
      </c>
      <c r="R4016" s="2" t="s">
        <v>56</v>
      </c>
      <c r="S4016" s="9">
        <f t="shared" si="314"/>
        <v>0.02</v>
      </c>
    </row>
    <row r="4017" spans="1:19" x14ac:dyDescent="0.25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e">
        <f>VLOOKUP('Customer Info'!A4009,'Customer Info'!A4009:I4508,2,FALSE)</f>
        <v>#N/A</v>
      </c>
      <c r="H4017" s="6" t="e">
        <f>VLOOKUP('Customer Info'!A4009,'Customer Info'!A4009:I4509,3,FALSE)</f>
        <v>#N/A</v>
      </c>
      <c r="I4017" s="6" t="e">
        <f>VLOOKUP('Customer Info'!A4009,'Customer Info'!A4009:I4508,5,FALSE)</f>
        <v>#N/A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5880</v>
      </c>
      <c r="R4017" s="2" t="s">
        <v>50</v>
      </c>
      <c r="S4017" s="9">
        <f t="shared" si="314"/>
        <v>0.09</v>
      </c>
    </row>
    <row r="4018" spans="1:19" x14ac:dyDescent="0.25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e">
        <f>VLOOKUP('Customer Info'!A4010,'Customer Info'!A4010:I4509,2,FALSE)</f>
        <v>#N/A</v>
      </c>
      <c r="H4018" s="6" t="e">
        <f>VLOOKUP('Customer Info'!A4010,'Customer Info'!A4010:I4510,3,FALSE)</f>
        <v>#N/A</v>
      </c>
      <c r="I4018" s="6" t="e">
        <f>VLOOKUP('Customer Info'!A4010,'Customer Info'!A4010:I4509,5,FALSE)</f>
        <v>#N/A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48</v>
      </c>
      <c r="R4018" s="2" t="s">
        <v>28</v>
      </c>
      <c r="S4018" s="9">
        <f t="shared" si="314"/>
        <v>0.02</v>
      </c>
    </row>
    <row r="4019" spans="1:19" x14ac:dyDescent="0.25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e">
        <f>VLOOKUP('Customer Info'!A4011,'Customer Info'!A4011:I4510,2,FALSE)</f>
        <v>#N/A</v>
      </c>
      <c r="H4019" s="6" t="e">
        <f>VLOOKUP('Customer Info'!A4011,'Customer Info'!A4011:I4511,3,FALSE)</f>
        <v>#N/A</v>
      </c>
      <c r="I4019" s="6" t="e">
        <f>VLOOKUP('Customer Info'!A4011,'Customer Info'!A4011:I4510,5,FALSE)</f>
        <v>#N/A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26</v>
      </c>
      <c r="R4019" s="2" t="s">
        <v>56</v>
      </c>
      <c r="S4019" s="9">
        <f t="shared" si="314"/>
        <v>0.02</v>
      </c>
    </row>
    <row r="4020" spans="1:19" x14ac:dyDescent="0.25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e">
        <f>VLOOKUP('Customer Info'!A4012,'Customer Info'!A4012:I4511,2,FALSE)</f>
        <v>#N/A</v>
      </c>
      <c r="H4020" s="6" t="e">
        <f>VLOOKUP('Customer Info'!A4012,'Customer Info'!A4012:I4512,3,FALSE)</f>
        <v>#N/A</v>
      </c>
      <c r="I4020" s="6" t="e">
        <f>VLOOKUP('Customer Info'!A4012,'Customer Info'!A4012:I4511,5,FALSE)</f>
        <v>#N/A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14</v>
      </c>
      <c r="R4020" s="2" t="s">
        <v>28</v>
      </c>
      <c r="S4020" s="9">
        <f t="shared" si="314"/>
        <v>0.02</v>
      </c>
    </row>
    <row r="4021" spans="1:19" x14ac:dyDescent="0.25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e">
        <f>VLOOKUP('Customer Info'!A4013,'Customer Info'!A4013:I4512,2,FALSE)</f>
        <v>#N/A</v>
      </c>
      <c r="H4021" s="6" t="e">
        <f>VLOOKUP('Customer Info'!A4013,'Customer Info'!A4013:I4513,3,FALSE)</f>
        <v>#N/A</v>
      </c>
      <c r="I4021" s="6" t="e">
        <f>VLOOKUP('Customer Info'!A4013,'Customer Info'!A4013:I4512,5,FALSE)</f>
        <v>#N/A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1021</v>
      </c>
      <c r="R4021" s="2" t="s">
        <v>50</v>
      </c>
      <c r="S4021" s="9">
        <f t="shared" si="314"/>
        <v>7.0000000000000007E-2</v>
      </c>
    </row>
    <row r="4022" spans="1:19" x14ac:dyDescent="0.25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e">
        <f>VLOOKUP('Customer Info'!A4014,'Customer Info'!A4014:I4513,2,FALSE)</f>
        <v>#N/A</v>
      </c>
      <c r="H4022" s="6" t="e">
        <f>VLOOKUP('Customer Info'!A4014,'Customer Info'!A4014:I4514,3,FALSE)</f>
        <v>#N/A</v>
      </c>
      <c r="I4022" s="6" t="e">
        <f>VLOOKUP('Customer Info'!A4014,'Customer Info'!A4014:I4513,5,FALSE)</f>
        <v>#N/A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569</v>
      </c>
      <c r="R4022" s="2" t="s">
        <v>56</v>
      </c>
      <c r="S4022" s="9">
        <f t="shared" si="314"/>
        <v>0.05</v>
      </c>
    </row>
    <row r="4023" spans="1:19" x14ac:dyDescent="0.25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e">
        <f>VLOOKUP('Customer Info'!A4015,'Customer Info'!A4015:I4514,2,FALSE)</f>
        <v>#N/A</v>
      </c>
      <c r="H4023" s="6" t="e">
        <f>VLOOKUP('Customer Info'!A4015,'Customer Info'!A4015:I4515,3,FALSE)</f>
        <v>#N/A</v>
      </c>
      <c r="I4023" s="6" t="e">
        <f>VLOOKUP('Customer Info'!A4015,'Customer Info'!A4015:I4514,5,FALSE)</f>
        <v>#N/A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247</v>
      </c>
      <c r="R4023" s="2" t="s">
        <v>50</v>
      </c>
      <c r="S4023" s="9">
        <f t="shared" si="314"/>
        <v>0.02</v>
      </c>
    </row>
    <row r="4024" spans="1:19" x14ac:dyDescent="0.25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e">
        <f>VLOOKUP('Customer Info'!A4016,'Customer Info'!A4016:I4515,2,FALSE)</f>
        <v>#N/A</v>
      </c>
      <c r="H4024" s="6" t="e">
        <f>VLOOKUP('Customer Info'!A4016,'Customer Info'!A4016:I4516,3,FALSE)</f>
        <v>#N/A</v>
      </c>
      <c r="I4024" s="6" t="e">
        <f>VLOOKUP('Customer Info'!A4016,'Customer Info'!A4016:I4515,5,FALSE)</f>
        <v>#N/A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112</v>
      </c>
      <c r="R4024" s="2" t="s">
        <v>28</v>
      </c>
      <c r="S4024" s="9">
        <f t="shared" si="314"/>
        <v>0.02</v>
      </c>
    </row>
    <row r="4025" spans="1:19" x14ac:dyDescent="0.25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e">
        <f>VLOOKUP('Customer Info'!A4017,'Customer Info'!A4017:I4516,2,FALSE)</f>
        <v>#N/A</v>
      </c>
      <c r="H4025" s="6" t="e">
        <f>VLOOKUP('Customer Info'!A4017,'Customer Info'!A4017:I4517,3,FALSE)</f>
        <v>#N/A</v>
      </c>
      <c r="I4025" s="6" t="e">
        <f>VLOOKUP('Customer Info'!A4017,'Customer Info'!A4017:I4516,5,FALSE)</f>
        <v>#N/A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933</v>
      </c>
      <c r="R4025" s="2" t="s">
        <v>50</v>
      </c>
      <c r="S4025" s="9">
        <f t="shared" si="314"/>
        <v>0.05</v>
      </c>
    </row>
    <row r="4026" spans="1:19" x14ac:dyDescent="0.25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e">
        <f>VLOOKUP('Customer Info'!A4018,'Customer Info'!A4018:I4517,2,FALSE)</f>
        <v>#N/A</v>
      </c>
      <c r="H4026" s="6" t="e">
        <f>VLOOKUP('Customer Info'!A4018,'Customer Info'!A4018:I4518,3,FALSE)</f>
        <v>#N/A</v>
      </c>
      <c r="I4026" s="6" t="e">
        <f>VLOOKUP('Customer Info'!A4018,'Customer Info'!A4018:I4517,5,FALSE)</f>
        <v>#N/A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408</v>
      </c>
      <c r="R4026" s="2" t="s">
        <v>28</v>
      </c>
      <c r="S4026" s="9">
        <f t="shared" si="314"/>
        <v>0.05</v>
      </c>
    </row>
    <row r="4027" spans="1:19" x14ac:dyDescent="0.25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e">
        <f>VLOOKUP('Customer Info'!A4019,'Customer Info'!A4019:I4518,2,FALSE)</f>
        <v>#N/A</v>
      </c>
      <c r="H4027" s="6" t="e">
        <f>VLOOKUP('Customer Info'!A4019,'Customer Info'!A4019:I4519,3,FALSE)</f>
        <v>#N/A</v>
      </c>
      <c r="I4027" s="6" t="e">
        <f>VLOOKUP('Customer Info'!A4019,'Customer Info'!A4019:I4518,5,FALSE)</f>
        <v>#N/A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597</v>
      </c>
      <c r="R4027" s="2" t="s">
        <v>28</v>
      </c>
      <c r="S4027" s="9">
        <f t="shared" si="314"/>
        <v>0.05</v>
      </c>
    </row>
    <row r="4028" spans="1:19" x14ac:dyDescent="0.25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e">
        <f>VLOOKUP('Customer Info'!A4020,'Customer Info'!A4020:I4519,2,FALSE)</f>
        <v>#N/A</v>
      </c>
      <c r="H4028" s="6" t="e">
        <f>VLOOKUP('Customer Info'!A4020,'Customer Info'!A4020:I4520,3,FALSE)</f>
        <v>#N/A</v>
      </c>
      <c r="I4028" s="6" t="e">
        <f>VLOOKUP('Customer Info'!A4020,'Customer Info'!A4020:I4519,5,FALSE)</f>
        <v>#N/A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4865</v>
      </c>
      <c r="R4028" s="2" t="s">
        <v>28</v>
      </c>
      <c r="S4028" s="9">
        <f t="shared" si="314"/>
        <v>0.09</v>
      </c>
    </row>
    <row r="4029" spans="1:19" x14ac:dyDescent="0.25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e">
        <f>VLOOKUP('Customer Info'!A4021,'Customer Info'!A4021:I4520,2,FALSE)</f>
        <v>#N/A</v>
      </c>
      <c r="H4029" s="6" t="e">
        <f>VLOOKUP('Customer Info'!A4021,'Customer Info'!A4021:I4521,3,FALSE)</f>
        <v>#N/A</v>
      </c>
      <c r="I4029" s="6" t="e">
        <f>VLOOKUP('Customer Info'!A4021,'Customer Info'!A4021:I4520,5,FALSE)</f>
        <v>#N/A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58</v>
      </c>
      <c r="R4029" s="2" t="s">
        <v>50</v>
      </c>
      <c r="S4029" s="9">
        <f t="shared" si="314"/>
        <v>0.02</v>
      </c>
    </row>
    <row r="4030" spans="1:19" x14ac:dyDescent="0.25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e">
        <f>VLOOKUP('Customer Info'!A4022,'Customer Info'!A4022:I4521,2,FALSE)</f>
        <v>#N/A</v>
      </c>
      <c r="H4030" s="6" t="e">
        <f>VLOOKUP('Customer Info'!A4022,'Customer Info'!A4022:I4522,3,FALSE)</f>
        <v>#N/A</v>
      </c>
      <c r="I4030" s="6" t="e">
        <f>VLOOKUP('Customer Info'!A4022,'Customer Info'!A4022:I4521,5,FALSE)</f>
        <v>#N/A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1238</v>
      </c>
      <c r="R4030" s="2" t="s">
        <v>50</v>
      </c>
      <c r="S4030" s="9">
        <f t="shared" si="314"/>
        <v>7.0000000000000007E-2</v>
      </c>
    </row>
    <row r="4031" spans="1:19" x14ac:dyDescent="0.25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e">
        <f>VLOOKUP('Customer Info'!A4023,'Customer Info'!A4023:I4522,2,FALSE)</f>
        <v>#N/A</v>
      </c>
      <c r="H4031" s="6" t="e">
        <f>VLOOKUP('Customer Info'!A4023,'Customer Info'!A4023:I4523,3,FALSE)</f>
        <v>#N/A</v>
      </c>
      <c r="I4031" s="6" t="e">
        <f>VLOOKUP('Customer Info'!A4023,'Customer Info'!A4023:I4522,5,FALSE)</f>
        <v>#N/A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2451</v>
      </c>
      <c r="R4031" s="2" t="s">
        <v>28</v>
      </c>
      <c r="S4031" s="9">
        <f t="shared" si="314"/>
        <v>7.0000000000000007E-2</v>
      </c>
    </row>
    <row r="4032" spans="1:19" x14ac:dyDescent="0.25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e">
        <f>VLOOKUP('Customer Info'!A4024,'Customer Info'!A4024:I4523,2,FALSE)</f>
        <v>#N/A</v>
      </c>
      <c r="H4032" s="6" t="e">
        <f>VLOOKUP('Customer Info'!A4024,'Customer Info'!A4024:I4524,3,FALSE)</f>
        <v>#N/A</v>
      </c>
      <c r="I4032" s="6" t="e">
        <f>VLOOKUP('Customer Info'!A4024,'Customer Info'!A4024:I4523,5,FALSE)</f>
        <v>#N/A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799</v>
      </c>
      <c r="R4032" s="2" t="s">
        <v>50</v>
      </c>
      <c r="S4032" s="9">
        <f t="shared" si="314"/>
        <v>0.05</v>
      </c>
    </row>
    <row r="4033" spans="1:19" x14ac:dyDescent="0.25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e">
        <f>VLOOKUP('Customer Info'!A4025,'Customer Info'!A4025:I4524,2,FALSE)</f>
        <v>#N/A</v>
      </c>
      <c r="H4033" s="6" t="e">
        <f>VLOOKUP('Customer Info'!A4025,'Customer Info'!A4025:I4525,3,FALSE)</f>
        <v>#N/A</v>
      </c>
      <c r="I4033" s="6" t="e">
        <f>VLOOKUP('Customer Info'!A4025,'Customer Info'!A4025:I4524,5,FALSE)</f>
        <v>#N/A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284</v>
      </c>
      <c r="R4033" s="2" t="s">
        <v>28</v>
      </c>
      <c r="S4033" s="9">
        <f t="shared" si="314"/>
        <v>0.02</v>
      </c>
    </row>
    <row r="4034" spans="1:19" x14ac:dyDescent="0.25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e">
        <f>VLOOKUP('Customer Info'!A4026,'Customer Info'!A4026:I4525,2,FALSE)</f>
        <v>#N/A</v>
      </c>
      <c r="H4034" s="6" t="e">
        <f>VLOOKUP('Customer Info'!A4026,'Customer Info'!A4026:I4526,3,FALSE)</f>
        <v>#N/A</v>
      </c>
      <c r="I4034" s="6" t="e">
        <f>VLOOKUP('Customer Info'!A4026,'Customer Info'!A4026:I4525,5,FALSE)</f>
        <v>#N/A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177</v>
      </c>
      <c r="R4034" s="2" t="s">
        <v>28</v>
      </c>
      <c r="S4034" s="9">
        <f t="shared" si="314"/>
        <v>0.02</v>
      </c>
    </row>
    <row r="4035" spans="1:19" x14ac:dyDescent="0.25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e">
        <f>VLOOKUP('Customer Info'!A4027,'Customer Info'!A4027:I4526,2,FALSE)</f>
        <v>#N/A</v>
      </c>
      <c r="H4035" s="6" t="e">
        <f>VLOOKUP('Customer Info'!A4027,'Customer Info'!A4027:I4527,3,FALSE)</f>
        <v>#N/A</v>
      </c>
      <c r="I4035" s="6" t="e">
        <f>VLOOKUP('Customer Info'!A4027,'Customer Info'!A4027:I4526,5,FALSE)</f>
        <v>#N/A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172</v>
      </c>
      <c r="R4035" s="2" t="s">
        <v>28</v>
      </c>
      <c r="S4035" s="9">
        <f t="shared" si="314"/>
        <v>0.02</v>
      </c>
    </row>
    <row r="4036" spans="1:19" x14ac:dyDescent="0.25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e">
        <f>VLOOKUP('Customer Info'!A4028,'Customer Info'!A4028:I4527,2,FALSE)</f>
        <v>#N/A</v>
      </c>
      <c r="H4036" s="6" t="e">
        <f>VLOOKUP('Customer Info'!A4028,'Customer Info'!A4028:I4528,3,FALSE)</f>
        <v>#N/A</v>
      </c>
      <c r="I4036" s="6" t="e">
        <f>VLOOKUP('Customer Info'!A4028,'Customer Info'!A4028:I4527,5,FALSE)</f>
        <v>#N/A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328</v>
      </c>
      <c r="R4036" s="2" t="s">
        <v>50</v>
      </c>
      <c r="S4036" s="9">
        <f t="shared" si="314"/>
        <v>0.02</v>
      </c>
    </row>
    <row r="4037" spans="1:19" x14ac:dyDescent="0.25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e">
        <f>VLOOKUP('Customer Info'!A4029,'Customer Info'!A4029:I4528,2,FALSE)</f>
        <v>#N/A</v>
      </c>
      <c r="H4037" s="6" t="e">
        <f>VLOOKUP('Customer Info'!A4029,'Customer Info'!A4029:I4529,3,FALSE)</f>
        <v>#N/A</v>
      </c>
      <c r="I4037" s="6" t="e">
        <f>VLOOKUP('Customer Info'!A4029,'Customer Info'!A4029:I4528,5,FALSE)</f>
        <v>#N/A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138</v>
      </c>
      <c r="R4037" s="2" t="s">
        <v>28</v>
      </c>
      <c r="S4037" s="9">
        <f t="shared" si="314"/>
        <v>0.02</v>
      </c>
    </row>
    <row r="4038" spans="1:19" x14ac:dyDescent="0.25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e">
        <f>VLOOKUP('Customer Info'!A4030,'Customer Info'!A4030:I4529,2,FALSE)</f>
        <v>#N/A</v>
      </c>
      <c r="H4038" s="6" t="e">
        <f>VLOOKUP('Customer Info'!A4030,'Customer Info'!A4030:I4530,3,FALSE)</f>
        <v>#N/A</v>
      </c>
      <c r="I4038" s="6" t="e">
        <f>VLOOKUP('Customer Info'!A4030,'Customer Info'!A4030:I4529,5,FALSE)</f>
        <v>#N/A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161</v>
      </c>
      <c r="R4038" s="2" t="s">
        <v>26</v>
      </c>
      <c r="S4038" s="9">
        <f t="shared" si="314"/>
        <v>0.05</v>
      </c>
    </row>
    <row r="4039" spans="1:19" x14ac:dyDescent="0.25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e">
        <f>VLOOKUP('Customer Info'!A4031,'Customer Info'!A4031:I4530,2,FALSE)</f>
        <v>#N/A</v>
      </c>
      <c r="H4039" s="6" t="e">
        <f>VLOOKUP('Customer Info'!A4031,'Customer Info'!A4031:I4531,3,FALSE)</f>
        <v>#N/A</v>
      </c>
      <c r="I4039" s="6" t="e">
        <f>VLOOKUP('Customer Info'!A4031,'Customer Info'!A4031:I4530,5,FALSE)</f>
        <v>#N/A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161</v>
      </c>
      <c r="R4039" s="2" t="s">
        <v>28</v>
      </c>
      <c r="S4039" s="9">
        <f t="shared" si="314"/>
        <v>0.02</v>
      </c>
    </row>
    <row r="4040" spans="1:19" x14ac:dyDescent="0.25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e">
        <f>VLOOKUP('Customer Info'!A4032,'Customer Info'!A4032:I4531,2,FALSE)</f>
        <v>#N/A</v>
      </c>
      <c r="H4040" s="6" t="e">
        <f>VLOOKUP('Customer Info'!A4032,'Customer Info'!A4032:I4532,3,FALSE)</f>
        <v>#N/A</v>
      </c>
      <c r="I4040" s="6" t="e">
        <f>VLOOKUP('Customer Info'!A4032,'Customer Info'!A4032:I4531,5,FALSE)</f>
        <v>#N/A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290</v>
      </c>
      <c r="R4040" s="2" t="s">
        <v>28</v>
      </c>
      <c r="S4040" s="9">
        <f t="shared" si="314"/>
        <v>0.02</v>
      </c>
    </row>
    <row r="4041" spans="1:19" x14ac:dyDescent="0.25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e">
        <f>VLOOKUP('Customer Info'!A4033,'Customer Info'!A4033:I4532,2,FALSE)</f>
        <v>#N/A</v>
      </c>
      <c r="H4041" s="6" t="e">
        <f>VLOOKUP('Customer Info'!A4033,'Customer Info'!A4033:I4533,3,FALSE)</f>
        <v>#N/A</v>
      </c>
      <c r="I4041" s="6" t="e">
        <f>VLOOKUP('Customer Info'!A4033,'Customer Info'!A4033:I4532,5,FALSE)</f>
        <v>#N/A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718</v>
      </c>
      <c r="R4041" s="2" t="s">
        <v>50</v>
      </c>
      <c r="S4041" s="9">
        <f t="shared" si="314"/>
        <v>0.05</v>
      </c>
    </row>
    <row r="4042" spans="1:19" x14ac:dyDescent="0.25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e">
        <f>VLOOKUP('Customer Info'!A4034,'Customer Info'!A4034:I4533,2,FALSE)</f>
        <v>#N/A</v>
      </c>
      <c r="H4042" s="6" t="e">
        <f>VLOOKUP('Customer Info'!A4034,'Customer Info'!A4034:I4534,3,FALSE)</f>
        <v>#N/A</v>
      </c>
      <c r="I4042" s="6" t="e">
        <f>VLOOKUP('Customer Info'!A4034,'Customer Info'!A4034:I4533,5,FALSE)</f>
        <v>#N/A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758</v>
      </c>
      <c r="R4042" s="2" t="s">
        <v>50</v>
      </c>
      <c r="S4042" s="9">
        <f t="shared" si="314"/>
        <v>0.05</v>
      </c>
    </row>
    <row r="4043" spans="1:19" x14ac:dyDescent="0.25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e">
        <f>VLOOKUP('Customer Info'!A4035,'Customer Info'!A4035:I4534,2,FALSE)</f>
        <v>#N/A</v>
      </c>
      <c r="H4043" s="6" t="e">
        <f>VLOOKUP('Customer Info'!A4035,'Customer Info'!A4035:I4535,3,FALSE)</f>
        <v>#N/A</v>
      </c>
      <c r="I4043" s="6" t="e">
        <f>VLOOKUP('Customer Info'!A4035,'Customer Info'!A4035:I4534,5,FALSE)</f>
        <v>#N/A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8">
        <f t="shared" ref="P4043:P4106" si="317">N4043+O4043</f>
        <v>2308</v>
      </c>
      <c r="Q4043" s="8">
        <f t="shared" ref="Q4043:Q4106" si="318">P4043-M4043</f>
        <v>220</v>
      </c>
      <c r="R4043" s="2" t="s">
        <v>50</v>
      </c>
      <c r="S4043" s="9">
        <f t="shared" ref="S4043:S4106" si="319">VLOOKUP(P4043,$T$2:$U$7,2,TRUE)</f>
        <v>0.02</v>
      </c>
    </row>
    <row r="4044" spans="1:19" x14ac:dyDescent="0.25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e">
        <f>VLOOKUP('Customer Info'!A4036,'Customer Info'!A4036:I4535,2,FALSE)</f>
        <v>#N/A</v>
      </c>
      <c r="H4044" s="6" t="e">
        <f>VLOOKUP('Customer Info'!A4036,'Customer Info'!A4036:I4536,3,FALSE)</f>
        <v>#N/A</v>
      </c>
      <c r="I4044" s="6" t="e">
        <f>VLOOKUP('Customer Info'!A4036,'Customer Info'!A4036:I4535,5,FALSE)</f>
        <v>#N/A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4947</v>
      </c>
      <c r="R4044" s="2" t="s">
        <v>50</v>
      </c>
      <c r="S4044" s="9">
        <f t="shared" si="319"/>
        <v>0.09</v>
      </c>
    </row>
    <row r="4045" spans="1:19" x14ac:dyDescent="0.25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e">
        <f>VLOOKUP('Customer Info'!A4037,'Customer Info'!A4037:I4536,2,FALSE)</f>
        <v>#N/A</v>
      </c>
      <c r="H4045" s="6" t="e">
        <f>VLOOKUP('Customer Info'!A4037,'Customer Info'!A4037:I4537,3,FALSE)</f>
        <v>#N/A</v>
      </c>
      <c r="I4045" s="6" t="e">
        <f>VLOOKUP('Customer Info'!A4037,'Customer Info'!A4037:I4536,5,FALSE)</f>
        <v>#N/A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2313</v>
      </c>
      <c r="R4045" s="2" t="s">
        <v>50</v>
      </c>
      <c r="S4045" s="9">
        <f t="shared" si="319"/>
        <v>0.05</v>
      </c>
    </row>
    <row r="4046" spans="1:19" x14ac:dyDescent="0.25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e">
        <f>VLOOKUP('Customer Info'!A4038,'Customer Info'!A4038:I4537,2,FALSE)</f>
        <v>#N/A</v>
      </c>
      <c r="H4046" s="6" t="e">
        <f>VLOOKUP('Customer Info'!A4038,'Customer Info'!A4038:I4538,3,FALSE)</f>
        <v>#N/A</v>
      </c>
      <c r="I4046" s="6" t="e">
        <f>VLOOKUP('Customer Info'!A4038,'Customer Info'!A4038:I4537,5,FALSE)</f>
        <v>#N/A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168</v>
      </c>
      <c r="R4046" s="2" t="s">
        <v>28</v>
      </c>
      <c r="S4046" s="9">
        <f t="shared" si="319"/>
        <v>0.02</v>
      </c>
    </row>
    <row r="4047" spans="1:19" x14ac:dyDescent="0.25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e">
        <f>VLOOKUP('Customer Info'!A4039,'Customer Info'!A4039:I4538,2,FALSE)</f>
        <v>#N/A</v>
      </c>
      <c r="H4047" s="6" t="e">
        <f>VLOOKUP('Customer Info'!A4039,'Customer Info'!A4039:I4539,3,FALSE)</f>
        <v>#N/A</v>
      </c>
      <c r="I4047" s="6" t="e">
        <f>VLOOKUP('Customer Info'!A4039,'Customer Info'!A4039:I4538,5,FALSE)</f>
        <v>#N/A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38</v>
      </c>
      <c r="R4047" s="2" t="s">
        <v>28</v>
      </c>
      <c r="S4047" s="9">
        <f t="shared" si="319"/>
        <v>7.0000000000000007E-2</v>
      </c>
    </row>
    <row r="4048" spans="1:19" x14ac:dyDescent="0.25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e">
        <f>VLOOKUP('Customer Info'!A4040,'Customer Info'!A4040:I4539,2,FALSE)</f>
        <v>#N/A</v>
      </c>
      <c r="H4048" s="6" t="e">
        <f>VLOOKUP('Customer Info'!A4040,'Customer Info'!A4040:I4540,3,FALSE)</f>
        <v>#N/A</v>
      </c>
      <c r="I4048" s="6" t="e">
        <f>VLOOKUP('Customer Info'!A4040,'Customer Info'!A4040:I4539,5,FALSE)</f>
        <v>#N/A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396</v>
      </c>
      <c r="R4048" s="2" t="s">
        <v>26</v>
      </c>
      <c r="S4048" s="9">
        <f t="shared" si="319"/>
        <v>0.02</v>
      </c>
    </row>
    <row r="4049" spans="1:19" x14ac:dyDescent="0.25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e">
        <f>VLOOKUP('Customer Info'!A4041,'Customer Info'!A4041:I4540,2,FALSE)</f>
        <v>#N/A</v>
      </c>
      <c r="H4049" s="6" t="e">
        <f>VLOOKUP('Customer Info'!A4041,'Customer Info'!A4041:I4541,3,FALSE)</f>
        <v>#N/A</v>
      </c>
      <c r="I4049" s="6" t="e">
        <f>VLOOKUP('Customer Info'!A4041,'Customer Info'!A4041:I4540,5,FALSE)</f>
        <v>#N/A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210</v>
      </c>
      <c r="R4049" s="2" t="s">
        <v>56</v>
      </c>
      <c r="S4049" s="9">
        <f t="shared" si="319"/>
        <v>0.02</v>
      </c>
    </row>
    <row r="4050" spans="1:19" x14ac:dyDescent="0.25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e">
        <f>VLOOKUP('Customer Info'!A4042,'Customer Info'!A4042:I4541,2,FALSE)</f>
        <v>#N/A</v>
      </c>
      <c r="H4050" s="6" t="e">
        <f>VLOOKUP('Customer Info'!A4042,'Customer Info'!A4042:I4542,3,FALSE)</f>
        <v>#N/A</v>
      </c>
      <c r="I4050" s="6" t="e">
        <f>VLOOKUP('Customer Info'!A4042,'Customer Info'!A4042:I4541,5,FALSE)</f>
        <v>#N/A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274</v>
      </c>
      <c r="R4050" s="2" t="s">
        <v>50</v>
      </c>
      <c r="S4050" s="9">
        <f t="shared" si="319"/>
        <v>0.05</v>
      </c>
    </row>
    <row r="4051" spans="1:19" x14ac:dyDescent="0.25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e">
        <f>VLOOKUP('Customer Info'!A4043,'Customer Info'!A4043:I4542,2,FALSE)</f>
        <v>#N/A</v>
      </c>
      <c r="H4051" s="6" t="e">
        <f>VLOOKUP('Customer Info'!A4043,'Customer Info'!A4043:I4543,3,FALSE)</f>
        <v>#N/A</v>
      </c>
      <c r="I4051" s="6" t="e">
        <f>VLOOKUP('Customer Info'!A4043,'Customer Info'!A4043:I4542,5,FALSE)</f>
        <v>#N/A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779</v>
      </c>
      <c r="R4051" s="2" t="s">
        <v>28</v>
      </c>
      <c r="S4051" s="9">
        <f t="shared" si="319"/>
        <v>0.05</v>
      </c>
    </row>
    <row r="4052" spans="1:19" x14ac:dyDescent="0.25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e">
        <f>VLOOKUP('Customer Info'!A4044,'Customer Info'!A4044:I4543,2,FALSE)</f>
        <v>#N/A</v>
      </c>
      <c r="H4052" s="6" t="e">
        <f>VLOOKUP('Customer Info'!A4044,'Customer Info'!A4044:I4544,3,FALSE)</f>
        <v>#N/A</v>
      </c>
      <c r="I4052" s="6" t="e">
        <f>VLOOKUP('Customer Info'!A4044,'Customer Info'!A4044:I4543,5,FALSE)</f>
        <v>#N/A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31</v>
      </c>
      <c r="R4052" s="2" t="s">
        <v>50</v>
      </c>
      <c r="S4052" s="9">
        <f t="shared" si="319"/>
        <v>0.02</v>
      </c>
    </row>
    <row r="4053" spans="1:19" x14ac:dyDescent="0.25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e">
        <f>VLOOKUP('Customer Info'!A4045,'Customer Info'!A4045:I4544,2,FALSE)</f>
        <v>#N/A</v>
      </c>
      <c r="H4053" s="6" t="e">
        <f>VLOOKUP('Customer Info'!A4045,'Customer Info'!A4045:I4545,3,FALSE)</f>
        <v>#N/A</v>
      </c>
      <c r="I4053" s="6" t="e">
        <f>VLOOKUP('Customer Info'!A4045,'Customer Info'!A4045:I4544,5,FALSE)</f>
        <v>#N/A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1460</v>
      </c>
      <c r="R4053" s="2" t="s">
        <v>50</v>
      </c>
      <c r="S4053" s="9">
        <f t="shared" si="319"/>
        <v>7.0000000000000007E-2</v>
      </c>
    </row>
    <row r="4054" spans="1:19" x14ac:dyDescent="0.25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e">
        <f>VLOOKUP('Customer Info'!A4046,'Customer Info'!A4046:I4545,2,FALSE)</f>
        <v>#N/A</v>
      </c>
      <c r="H4054" s="6" t="e">
        <f>VLOOKUP('Customer Info'!A4046,'Customer Info'!A4046:I4546,3,FALSE)</f>
        <v>#N/A</v>
      </c>
      <c r="I4054" s="6" t="e">
        <f>VLOOKUP('Customer Info'!A4046,'Customer Info'!A4046:I4545,5,FALSE)</f>
        <v>#N/A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1356</v>
      </c>
      <c r="R4054" s="2" t="s">
        <v>28</v>
      </c>
      <c r="S4054" s="9">
        <f t="shared" si="319"/>
        <v>0.05</v>
      </c>
    </row>
    <row r="4055" spans="1:19" x14ac:dyDescent="0.25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e">
        <f>VLOOKUP('Customer Info'!A4047,'Customer Info'!A4047:I4546,2,FALSE)</f>
        <v>#N/A</v>
      </c>
      <c r="H4055" s="6" t="e">
        <f>VLOOKUP('Customer Info'!A4047,'Customer Info'!A4047:I4547,3,FALSE)</f>
        <v>#N/A</v>
      </c>
      <c r="I4055" s="6" t="e">
        <f>VLOOKUP('Customer Info'!A4047,'Customer Info'!A4047:I4546,5,FALSE)</f>
        <v>#N/A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44</v>
      </c>
      <c r="R4055" s="2" t="s">
        <v>28</v>
      </c>
      <c r="S4055" s="9">
        <f t="shared" si="319"/>
        <v>0.02</v>
      </c>
    </row>
    <row r="4056" spans="1:19" x14ac:dyDescent="0.25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e">
        <f>VLOOKUP('Customer Info'!A4048,'Customer Info'!A4048:I4547,2,FALSE)</f>
        <v>#N/A</v>
      </c>
      <c r="H4056" s="6" t="e">
        <f>VLOOKUP('Customer Info'!A4048,'Customer Info'!A4048:I4548,3,FALSE)</f>
        <v>#N/A</v>
      </c>
      <c r="I4056" s="6" t="e">
        <f>VLOOKUP('Customer Info'!A4048,'Customer Info'!A4048:I4547,5,FALSE)</f>
        <v>#N/A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1059</v>
      </c>
      <c r="R4056" s="2" t="s">
        <v>50</v>
      </c>
      <c r="S4056" s="9">
        <f t="shared" si="319"/>
        <v>7.0000000000000007E-2</v>
      </c>
    </row>
    <row r="4057" spans="1:19" x14ac:dyDescent="0.25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e">
        <f>VLOOKUP('Customer Info'!A4049,'Customer Info'!A4049:I4548,2,FALSE)</f>
        <v>#N/A</v>
      </c>
      <c r="H4057" s="6" t="e">
        <f>VLOOKUP('Customer Info'!A4049,'Customer Info'!A4049:I4549,3,FALSE)</f>
        <v>#N/A</v>
      </c>
      <c r="I4057" s="6" t="e">
        <f>VLOOKUP('Customer Info'!A4049,'Customer Info'!A4049:I4548,5,FALSE)</f>
        <v>#N/A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173</v>
      </c>
      <c r="R4057" s="2" t="s">
        <v>28</v>
      </c>
      <c r="S4057" s="9">
        <f t="shared" si="319"/>
        <v>0.02</v>
      </c>
    </row>
    <row r="4058" spans="1:19" x14ac:dyDescent="0.25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e">
        <f>VLOOKUP('Customer Info'!A4050,'Customer Info'!A4050:I4549,2,FALSE)</f>
        <v>#N/A</v>
      </c>
      <c r="H4058" s="6" t="e">
        <f>VLOOKUP('Customer Info'!A4050,'Customer Info'!A4050:I4550,3,FALSE)</f>
        <v>#N/A</v>
      </c>
      <c r="I4058" s="6" t="e">
        <f>VLOOKUP('Customer Info'!A4050,'Customer Info'!A4050:I4549,5,FALSE)</f>
        <v>#N/A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95</v>
      </c>
      <c r="R4058" s="2" t="s">
        <v>50</v>
      </c>
      <c r="S4058" s="9">
        <f t="shared" si="319"/>
        <v>0.02</v>
      </c>
    </row>
    <row r="4059" spans="1:19" x14ac:dyDescent="0.25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e">
        <f>VLOOKUP('Customer Info'!A4051,'Customer Info'!A4051:I4550,2,FALSE)</f>
        <v>#N/A</v>
      </c>
      <c r="H4059" s="6" t="e">
        <f>VLOOKUP('Customer Info'!A4051,'Customer Info'!A4051:I4551,3,FALSE)</f>
        <v>#N/A</v>
      </c>
      <c r="I4059" s="6" t="e">
        <f>VLOOKUP('Customer Info'!A4051,'Customer Info'!A4051:I4550,5,FALSE)</f>
        <v>#N/A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802</v>
      </c>
      <c r="R4059" s="2" t="s">
        <v>28</v>
      </c>
      <c r="S4059" s="9">
        <f t="shared" si="319"/>
        <v>0.05</v>
      </c>
    </row>
    <row r="4060" spans="1:19" x14ac:dyDescent="0.25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e">
        <f>VLOOKUP('Customer Info'!A4052,'Customer Info'!A4052:I4551,2,FALSE)</f>
        <v>#N/A</v>
      </c>
      <c r="H4060" s="6" t="e">
        <f>VLOOKUP('Customer Info'!A4052,'Customer Info'!A4052:I4552,3,FALSE)</f>
        <v>#N/A</v>
      </c>
      <c r="I4060" s="6" t="e">
        <f>VLOOKUP('Customer Info'!A4052,'Customer Info'!A4052:I4551,5,FALSE)</f>
        <v>#N/A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979</v>
      </c>
      <c r="R4060" s="2" t="s">
        <v>28</v>
      </c>
      <c r="S4060" s="9">
        <f t="shared" si="319"/>
        <v>0.05</v>
      </c>
    </row>
    <row r="4061" spans="1:19" x14ac:dyDescent="0.25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e">
        <f>VLOOKUP('Customer Info'!A4053,'Customer Info'!A4053:I4552,2,FALSE)</f>
        <v>#N/A</v>
      </c>
      <c r="H4061" s="6" t="e">
        <f>VLOOKUP('Customer Info'!A4053,'Customer Info'!A4053:I4553,3,FALSE)</f>
        <v>#N/A</v>
      </c>
      <c r="I4061" s="6" t="e">
        <f>VLOOKUP('Customer Info'!A4053,'Customer Info'!A4053:I4552,5,FALSE)</f>
        <v>#N/A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85</v>
      </c>
      <c r="R4061" s="2" t="s">
        <v>28</v>
      </c>
      <c r="S4061" s="9">
        <f t="shared" si="319"/>
        <v>0.02</v>
      </c>
    </row>
    <row r="4062" spans="1:19" x14ac:dyDescent="0.25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e">
        <f>VLOOKUP('Customer Info'!A4054,'Customer Info'!A4054:I4553,2,FALSE)</f>
        <v>#N/A</v>
      </c>
      <c r="H4062" s="6" t="e">
        <f>VLOOKUP('Customer Info'!A4054,'Customer Info'!A4054:I4554,3,FALSE)</f>
        <v>#N/A</v>
      </c>
      <c r="I4062" s="6" t="e">
        <f>VLOOKUP('Customer Info'!A4054,'Customer Info'!A4054:I4553,5,FALSE)</f>
        <v>#N/A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193</v>
      </c>
      <c r="R4062" s="2" t="s">
        <v>28</v>
      </c>
      <c r="S4062" s="9">
        <f t="shared" si="319"/>
        <v>0.02</v>
      </c>
    </row>
    <row r="4063" spans="1:19" x14ac:dyDescent="0.25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e">
        <f>VLOOKUP('Customer Info'!A4055,'Customer Info'!A4055:I4554,2,FALSE)</f>
        <v>#N/A</v>
      </c>
      <c r="H4063" s="6" t="e">
        <f>VLOOKUP('Customer Info'!A4055,'Customer Info'!A4055:I4555,3,FALSE)</f>
        <v>#N/A</v>
      </c>
      <c r="I4063" s="6" t="e">
        <f>VLOOKUP('Customer Info'!A4055,'Customer Info'!A4055:I4554,5,FALSE)</f>
        <v>#N/A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145</v>
      </c>
      <c r="R4063" s="2" t="s">
        <v>50</v>
      </c>
      <c r="S4063" s="9">
        <f t="shared" si="319"/>
        <v>0.02</v>
      </c>
    </row>
    <row r="4064" spans="1:19" x14ac:dyDescent="0.25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e">
        <f>VLOOKUP('Customer Info'!A4056,'Customer Info'!A4056:I4555,2,FALSE)</f>
        <v>#N/A</v>
      </c>
      <c r="H4064" s="6" t="e">
        <f>VLOOKUP('Customer Info'!A4056,'Customer Info'!A4056:I4556,3,FALSE)</f>
        <v>#N/A</v>
      </c>
      <c r="I4064" s="6" t="e">
        <f>VLOOKUP('Customer Info'!A4056,'Customer Info'!A4056:I4555,5,FALSE)</f>
        <v>#N/A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568</v>
      </c>
      <c r="R4064" s="2" t="s">
        <v>50</v>
      </c>
      <c r="S4064" s="9">
        <f t="shared" si="319"/>
        <v>0.05</v>
      </c>
    </row>
    <row r="4065" spans="1:19" x14ac:dyDescent="0.25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e">
        <f>VLOOKUP('Customer Info'!A4057,'Customer Info'!A4057:I4556,2,FALSE)</f>
        <v>#N/A</v>
      </c>
      <c r="H4065" s="6" t="e">
        <f>VLOOKUP('Customer Info'!A4057,'Customer Info'!A4057:I4557,3,FALSE)</f>
        <v>#N/A</v>
      </c>
      <c r="I4065" s="6" t="e">
        <f>VLOOKUP('Customer Info'!A4057,'Customer Info'!A4057:I4556,5,FALSE)</f>
        <v>#N/A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107</v>
      </c>
      <c r="R4065" s="2" t="s">
        <v>28</v>
      </c>
      <c r="S4065" s="9">
        <f t="shared" si="319"/>
        <v>0.02</v>
      </c>
    </row>
    <row r="4066" spans="1:19" x14ac:dyDescent="0.25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e">
        <f>VLOOKUP('Customer Info'!A4058,'Customer Info'!A4058:I4557,2,FALSE)</f>
        <v>#N/A</v>
      </c>
      <c r="H4066" s="6" t="e">
        <f>VLOOKUP('Customer Info'!A4058,'Customer Info'!A4058:I4558,3,FALSE)</f>
        <v>#N/A</v>
      </c>
      <c r="I4066" s="6" t="e">
        <f>VLOOKUP('Customer Info'!A4058,'Customer Info'!A4058:I4557,5,FALSE)</f>
        <v>#N/A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26</v>
      </c>
      <c r="R4066" s="2" t="s">
        <v>50</v>
      </c>
      <c r="S4066" s="9">
        <f t="shared" si="319"/>
        <v>0.02</v>
      </c>
    </row>
    <row r="4067" spans="1:19" x14ac:dyDescent="0.25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e">
        <f>VLOOKUP('Customer Info'!A4059,'Customer Info'!A4059:I4558,2,FALSE)</f>
        <v>#N/A</v>
      </c>
      <c r="H4067" s="6" t="e">
        <f>VLOOKUP('Customer Info'!A4059,'Customer Info'!A4059:I4559,3,FALSE)</f>
        <v>#N/A</v>
      </c>
      <c r="I4067" s="6" t="e">
        <f>VLOOKUP('Customer Info'!A4059,'Customer Info'!A4059:I4558,5,FALSE)</f>
        <v>#N/A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66</v>
      </c>
      <c r="R4067" s="2" t="s">
        <v>28</v>
      </c>
      <c r="S4067" s="9">
        <f t="shared" si="319"/>
        <v>0.02</v>
      </c>
    </row>
    <row r="4068" spans="1:19" x14ac:dyDescent="0.25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e">
        <f>VLOOKUP('Customer Info'!A4060,'Customer Info'!A4060:I4559,2,FALSE)</f>
        <v>#N/A</v>
      </c>
      <c r="H4068" s="6" t="e">
        <f>VLOOKUP('Customer Info'!A4060,'Customer Info'!A4060:I4560,3,FALSE)</f>
        <v>#N/A</v>
      </c>
      <c r="I4068" s="6" t="e">
        <f>VLOOKUP('Customer Info'!A4060,'Customer Info'!A4060:I4559,5,FALSE)</f>
        <v>#N/A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22</v>
      </c>
      <c r="R4068" s="2" t="s">
        <v>50</v>
      </c>
      <c r="S4068" s="9">
        <f t="shared" si="319"/>
        <v>0.02</v>
      </c>
    </row>
    <row r="4069" spans="1:19" x14ac:dyDescent="0.25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e">
        <f>VLOOKUP('Customer Info'!A4061,'Customer Info'!A4061:I4560,2,FALSE)</f>
        <v>#N/A</v>
      </c>
      <c r="H4069" s="6" t="e">
        <f>VLOOKUP('Customer Info'!A4061,'Customer Info'!A4061:I4561,3,FALSE)</f>
        <v>#N/A</v>
      </c>
      <c r="I4069" s="6" t="e">
        <f>VLOOKUP('Customer Info'!A4061,'Customer Info'!A4061:I4560,5,FALSE)</f>
        <v>#N/A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408</v>
      </c>
      <c r="R4069" s="2" t="s">
        <v>56</v>
      </c>
      <c r="S4069" s="9">
        <f t="shared" si="319"/>
        <v>0.05</v>
      </c>
    </row>
    <row r="4070" spans="1:19" x14ac:dyDescent="0.25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e">
        <f>VLOOKUP('Customer Info'!A4062,'Customer Info'!A4062:I4561,2,FALSE)</f>
        <v>#N/A</v>
      </c>
      <c r="H4070" s="6" t="e">
        <f>VLOOKUP('Customer Info'!A4062,'Customer Info'!A4062:I4562,3,FALSE)</f>
        <v>#N/A</v>
      </c>
      <c r="I4070" s="6" t="e">
        <f>VLOOKUP('Customer Info'!A4062,'Customer Info'!A4062:I4561,5,FALSE)</f>
        <v>#N/A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228</v>
      </c>
      <c r="R4070" s="2" t="s">
        <v>28</v>
      </c>
      <c r="S4070" s="9">
        <f t="shared" si="319"/>
        <v>0.02</v>
      </c>
    </row>
    <row r="4071" spans="1:19" x14ac:dyDescent="0.25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e">
        <f>VLOOKUP('Customer Info'!A4063,'Customer Info'!A4063:I4562,2,FALSE)</f>
        <v>#N/A</v>
      </c>
      <c r="H4071" s="6" t="e">
        <f>VLOOKUP('Customer Info'!A4063,'Customer Info'!A4063:I4563,3,FALSE)</f>
        <v>#N/A</v>
      </c>
      <c r="I4071" s="6" t="e">
        <f>VLOOKUP('Customer Info'!A4063,'Customer Info'!A4063:I4562,5,FALSE)</f>
        <v>#N/A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20</v>
      </c>
      <c r="R4071" s="2" t="s">
        <v>26</v>
      </c>
      <c r="S4071" s="9">
        <f t="shared" si="319"/>
        <v>0.02</v>
      </c>
    </row>
    <row r="4072" spans="1:19" x14ac:dyDescent="0.25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e">
        <f>VLOOKUP('Customer Info'!A4064,'Customer Info'!A4064:I4563,2,FALSE)</f>
        <v>#N/A</v>
      </c>
      <c r="H4072" s="6" t="e">
        <f>VLOOKUP('Customer Info'!A4064,'Customer Info'!A4064:I4564,3,FALSE)</f>
        <v>#N/A</v>
      </c>
      <c r="I4072" s="6" t="e">
        <f>VLOOKUP('Customer Info'!A4064,'Customer Info'!A4064:I4563,5,FALSE)</f>
        <v>#N/A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4611</v>
      </c>
      <c r="R4072" s="2" t="s">
        <v>28</v>
      </c>
      <c r="S4072" s="9">
        <f t="shared" si="319"/>
        <v>7.0000000000000007E-2</v>
      </c>
    </row>
    <row r="4073" spans="1:19" x14ac:dyDescent="0.25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e">
        <f>VLOOKUP('Customer Info'!A4065,'Customer Info'!A4065:I4564,2,FALSE)</f>
        <v>#N/A</v>
      </c>
      <c r="H4073" s="6" t="e">
        <f>VLOOKUP('Customer Info'!A4065,'Customer Info'!A4065:I4565,3,FALSE)</f>
        <v>#N/A</v>
      </c>
      <c r="I4073" s="6" t="e">
        <f>VLOOKUP('Customer Info'!A4065,'Customer Info'!A4065:I4564,5,FALSE)</f>
        <v>#N/A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90</v>
      </c>
      <c r="R4073" s="2" t="s">
        <v>28</v>
      </c>
      <c r="S4073" s="9">
        <f t="shared" si="319"/>
        <v>0.02</v>
      </c>
    </row>
    <row r="4074" spans="1:19" x14ac:dyDescent="0.25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e">
        <f>VLOOKUP('Customer Info'!A4066,'Customer Info'!A4066:I4565,2,FALSE)</f>
        <v>#N/A</v>
      </c>
      <c r="H4074" s="6" t="e">
        <f>VLOOKUP('Customer Info'!A4066,'Customer Info'!A4066:I4566,3,FALSE)</f>
        <v>#N/A</v>
      </c>
      <c r="I4074" s="6" t="e">
        <f>VLOOKUP('Customer Info'!A4066,'Customer Info'!A4066:I4565,5,FALSE)</f>
        <v>#N/A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279</v>
      </c>
      <c r="R4074" s="2" t="s">
        <v>28</v>
      </c>
      <c r="S4074" s="9">
        <f t="shared" si="319"/>
        <v>0.05</v>
      </c>
    </row>
    <row r="4075" spans="1:19" x14ac:dyDescent="0.25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e">
        <f>VLOOKUP('Customer Info'!A4067,'Customer Info'!A4067:I4566,2,FALSE)</f>
        <v>#N/A</v>
      </c>
      <c r="H4075" s="6" t="e">
        <f>VLOOKUP('Customer Info'!A4067,'Customer Info'!A4067:I4567,3,FALSE)</f>
        <v>#N/A</v>
      </c>
      <c r="I4075" s="6" t="e">
        <f>VLOOKUP('Customer Info'!A4067,'Customer Info'!A4067:I4566,5,FALSE)</f>
        <v>#N/A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48</v>
      </c>
      <c r="R4075" s="2" t="s">
        <v>28</v>
      </c>
      <c r="S4075" s="9">
        <f t="shared" si="319"/>
        <v>0.02</v>
      </c>
    </row>
    <row r="4076" spans="1:19" x14ac:dyDescent="0.25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e">
        <f>VLOOKUP('Customer Info'!A4068,'Customer Info'!A4068:I4567,2,FALSE)</f>
        <v>#N/A</v>
      </c>
      <c r="H4076" s="6" t="e">
        <f>VLOOKUP('Customer Info'!A4068,'Customer Info'!A4068:I4568,3,FALSE)</f>
        <v>#N/A</v>
      </c>
      <c r="I4076" s="6" t="e">
        <f>VLOOKUP('Customer Info'!A4068,'Customer Info'!A4068:I4567,5,FALSE)</f>
        <v>#N/A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196</v>
      </c>
      <c r="R4076" s="2" t="s">
        <v>50</v>
      </c>
      <c r="S4076" s="9">
        <f t="shared" si="319"/>
        <v>0.02</v>
      </c>
    </row>
    <row r="4077" spans="1:19" x14ac:dyDescent="0.25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e">
        <f>VLOOKUP('Customer Info'!A4069,'Customer Info'!A4069:I4568,2,FALSE)</f>
        <v>#N/A</v>
      </c>
      <c r="H4077" s="6" t="e">
        <f>VLOOKUP('Customer Info'!A4069,'Customer Info'!A4069:I4569,3,FALSE)</f>
        <v>#N/A</v>
      </c>
      <c r="I4077" s="6" t="e">
        <f>VLOOKUP('Customer Info'!A4069,'Customer Info'!A4069:I4568,5,FALSE)</f>
        <v>#N/A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394</v>
      </c>
      <c r="R4077" s="2" t="s">
        <v>50</v>
      </c>
      <c r="S4077" s="9">
        <f t="shared" si="319"/>
        <v>0.02</v>
      </c>
    </row>
    <row r="4078" spans="1:19" x14ac:dyDescent="0.25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e">
        <f>VLOOKUP('Customer Info'!A4070,'Customer Info'!A4070:I4569,2,FALSE)</f>
        <v>#N/A</v>
      </c>
      <c r="H4078" s="6" t="e">
        <f>VLOOKUP('Customer Info'!A4070,'Customer Info'!A4070:I4570,3,FALSE)</f>
        <v>#N/A</v>
      </c>
      <c r="I4078" s="6" t="e">
        <f>VLOOKUP('Customer Info'!A4070,'Customer Info'!A4070:I4569,5,FALSE)</f>
        <v>#N/A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486</v>
      </c>
      <c r="R4078" s="2" t="s">
        <v>28</v>
      </c>
      <c r="S4078" s="9">
        <f t="shared" si="319"/>
        <v>0.05</v>
      </c>
    </row>
    <row r="4079" spans="1:19" x14ac:dyDescent="0.25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e">
        <f>VLOOKUP('Customer Info'!A4071,'Customer Info'!A4071:I4570,2,FALSE)</f>
        <v>#N/A</v>
      </c>
      <c r="H4079" s="6" t="e">
        <f>VLOOKUP('Customer Info'!A4071,'Customer Info'!A4071:I4571,3,FALSE)</f>
        <v>#N/A</v>
      </c>
      <c r="I4079" s="6" t="e">
        <f>VLOOKUP('Customer Info'!A4071,'Customer Info'!A4071:I4570,5,FALSE)</f>
        <v>#N/A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831</v>
      </c>
      <c r="R4079" s="2" t="s">
        <v>28</v>
      </c>
      <c r="S4079" s="9">
        <f t="shared" si="319"/>
        <v>7.0000000000000007E-2</v>
      </c>
    </row>
    <row r="4080" spans="1:19" x14ac:dyDescent="0.25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e">
        <f>VLOOKUP('Customer Info'!A4072,'Customer Info'!A4072:I4571,2,FALSE)</f>
        <v>#N/A</v>
      </c>
      <c r="H4080" s="6" t="e">
        <f>VLOOKUP('Customer Info'!A4072,'Customer Info'!A4072:I4572,3,FALSE)</f>
        <v>#N/A</v>
      </c>
      <c r="I4080" s="6" t="e">
        <f>VLOOKUP('Customer Info'!A4072,'Customer Info'!A4072:I4571,5,FALSE)</f>
        <v>#N/A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255</v>
      </c>
      <c r="R4080" s="2" t="s">
        <v>56</v>
      </c>
      <c r="S4080" s="9">
        <f t="shared" si="319"/>
        <v>0.02</v>
      </c>
    </row>
    <row r="4081" spans="1:19" x14ac:dyDescent="0.25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e">
        <f>VLOOKUP('Customer Info'!A4073,'Customer Info'!A4073:I4572,2,FALSE)</f>
        <v>#N/A</v>
      </c>
      <c r="H4081" s="6" t="e">
        <f>VLOOKUP('Customer Info'!A4073,'Customer Info'!A4073:I4573,3,FALSE)</f>
        <v>#N/A</v>
      </c>
      <c r="I4081" s="6" t="e">
        <f>VLOOKUP('Customer Info'!A4073,'Customer Info'!A4073:I4572,5,FALSE)</f>
        <v>#N/A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30</v>
      </c>
      <c r="R4081" s="2" t="s">
        <v>50</v>
      </c>
      <c r="S4081" s="9">
        <f t="shared" si="319"/>
        <v>0.02</v>
      </c>
    </row>
    <row r="4082" spans="1:19" x14ac:dyDescent="0.25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e">
        <f>VLOOKUP('Customer Info'!A4074,'Customer Info'!A4074:I4573,2,FALSE)</f>
        <v>#N/A</v>
      </c>
      <c r="H4082" s="6" t="e">
        <f>VLOOKUP('Customer Info'!A4074,'Customer Info'!A4074:I4574,3,FALSE)</f>
        <v>#N/A</v>
      </c>
      <c r="I4082" s="6" t="e">
        <f>VLOOKUP('Customer Info'!A4074,'Customer Info'!A4074:I4573,5,FALSE)</f>
        <v>#N/A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309</v>
      </c>
      <c r="R4082" s="2" t="s">
        <v>50</v>
      </c>
      <c r="S4082" s="9">
        <f t="shared" si="319"/>
        <v>0.05</v>
      </c>
    </row>
    <row r="4083" spans="1:19" x14ac:dyDescent="0.25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e">
        <f>VLOOKUP('Customer Info'!A4075,'Customer Info'!A4075:I4574,2,FALSE)</f>
        <v>#N/A</v>
      </c>
      <c r="H4083" s="6" t="e">
        <f>VLOOKUP('Customer Info'!A4075,'Customer Info'!A4075:I4575,3,FALSE)</f>
        <v>#N/A</v>
      </c>
      <c r="I4083" s="6" t="e">
        <f>VLOOKUP('Customer Info'!A4075,'Customer Info'!A4075:I4574,5,FALSE)</f>
        <v>#N/A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419</v>
      </c>
      <c r="R4083" s="2" t="s">
        <v>28</v>
      </c>
      <c r="S4083" s="9">
        <f t="shared" si="319"/>
        <v>0.05</v>
      </c>
    </row>
    <row r="4084" spans="1:19" x14ac:dyDescent="0.25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e">
        <f>VLOOKUP('Customer Info'!A4076,'Customer Info'!A4076:I4575,2,FALSE)</f>
        <v>#N/A</v>
      </c>
      <c r="H4084" s="6" t="e">
        <f>VLOOKUP('Customer Info'!A4076,'Customer Info'!A4076:I4576,3,FALSE)</f>
        <v>#N/A</v>
      </c>
      <c r="I4084" s="6" t="e">
        <f>VLOOKUP('Customer Info'!A4076,'Customer Info'!A4076:I4575,5,FALSE)</f>
        <v>#N/A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3735</v>
      </c>
      <c r="R4084" s="2" t="s">
        <v>28</v>
      </c>
      <c r="S4084" s="9">
        <f t="shared" si="319"/>
        <v>7.0000000000000007E-2</v>
      </c>
    </row>
    <row r="4085" spans="1:19" x14ac:dyDescent="0.25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e">
        <f>VLOOKUP('Customer Info'!A4077,'Customer Info'!A4077:I4576,2,FALSE)</f>
        <v>#N/A</v>
      </c>
      <c r="H4085" s="6" t="e">
        <f>VLOOKUP('Customer Info'!A4077,'Customer Info'!A4077:I4577,3,FALSE)</f>
        <v>#N/A</v>
      </c>
      <c r="I4085" s="6" t="e">
        <f>VLOOKUP('Customer Info'!A4077,'Customer Info'!A4077:I4576,5,FALSE)</f>
        <v>#N/A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42</v>
      </c>
      <c r="R4085" s="2" t="s">
        <v>28</v>
      </c>
      <c r="S4085" s="9">
        <f t="shared" si="319"/>
        <v>0.02</v>
      </c>
    </row>
    <row r="4086" spans="1:19" x14ac:dyDescent="0.25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e">
        <f>VLOOKUP('Customer Info'!A4078,'Customer Info'!A4078:I4577,2,FALSE)</f>
        <v>#N/A</v>
      </c>
      <c r="H4086" s="6" t="e">
        <f>VLOOKUP('Customer Info'!A4078,'Customer Info'!A4078:I4578,3,FALSE)</f>
        <v>#N/A</v>
      </c>
      <c r="I4086" s="6" t="e">
        <f>VLOOKUP('Customer Info'!A4078,'Customer Info'!A4078:I4577,5,FALSE)</f>
        <v>#N/A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393</v>
      </c>
      <c r="R4086" s="2" t="s">
        <v>50</v>
      </c>
      <c r="S4086" s="9">
        <f t="shared" si="319"/>
        <v>0.05</v>
      </c>
    </row>
    <row r="4087" spans="1:19" x14ac:dyDescent="0.25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e">
        <f>VLOOKUP('Customer Info'!A4079,'Customer Info'!A4079:I4578,2,FALSE)</f>
        <v>#N/A</v>
      </c>
      <c r="H4087" s="6" t="e">
        <f>VLOOKUP('Customer Info'!A4079,'Customer Info'!A4079:I4579,3,FALSE)</f>
        <v>#N/A</v>
      </c>
      <c r="I4087" s="6" t="e">
        <f>VLOOKUP('Customer Info'!A4079,'Customer Info'!A4079:I4578,5,FALSE)</f>
        <v>#N/A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6983</v>
      </c>
      <c r="R4087" s="2" t="s">
        <v>50</v>
      </c>
      <c r="S4087" s="9">
        <f t="shared" si="319"/>
        <v>0.12</v>
      </c>
    </row>
    <row r="4088" spans="1:19" x14ac:dyDescent="0.25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e">
        <f>VLOOKUP('Customer Info'!A4080,'Customer Info'!A4080:I4579,2,FALSE)</f>
        <v>#N/A</v>
      </c>
      <c r="H4088" s="6" t="e">
        <f>VLOOKUP('Customer Info'!A4080,'Customer Info'!A4080:I4580,3,FALSE)</f>
        <v>#N/A</v>
      </c>
      <c r="I4088" s="6" t="e">
        <f>VLOOKUP('Customer Info'!A4080,'Customer Info'!A4080:I4579,5,FALSE)</f>
        <v>#N/A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421</v>
      </c>
      <c r="R4088" s="2" t="s">
        <v>50</v>
      </c>
      <c r="S4088" s="9">
        <f t="shared" si="319"/>
        <v>0.02</v>
      </c>
    </row>
    <row r="4089" spans="1:19" x14ac:dyDescent="0.25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e">
        <f>VLOOKUP('Customer Info'!A4081,'Customer Info'!A4081:I4580,2,FALSE)</f>
        <v>#N/A</v>
      </c>
      <c r="H4089" s="6" t="e">
        <f>VLOOKUP('Customer Info'!A4081,'Customer Info'!A4081:I4581,3,FALSE)</f>
        <v>#N/A</v>
      </c>
      <c r="I4089" s="6" t="e">
        <f>VLOOKUP('Customer Info'!A4081,'Customer Info'!A4081:I4580,5,FALSE)</f>
        <v>#N/A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548</v>
      </c>
      <c r="R4089" s="2" t="s">
        <v>50</v>
      </c>
      <c r="S4089" s="9">
        <f t="shared" si="319"/>
        <v>0.05</v>
      </c>
    </row>
    <row r="4090" spans="1:19" x14ac:dyDescent="0.25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e">
        <f>VLOOKUP('Customer Info'!A4082,'Customer Info'!A4082:I4581,2,FALSE)</f>
        <v>#N/A</v>
      </c>
      <c r="H4090" s="6" t="e">
        <f>VLOOKUP('Customer Info'!A4082,'Customer Info'!A4082:I4582,3,FALSE)</f>
        <v>#N/A</v>
      </c>
      <c r="I4090" s="6" t="e">
        <f>VLOOKUP('Customer Info'!A4082,'Customer Info'!A4082:I4581,5,FALSE)</f>
        <v>#N/A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749</v>
      </c>
      <c r="R4090" s="2" t="s">
        <v>28</v>
      </c>
      <c r="S4090" s="9">
        <f t="shared" si="319"/>
        <v>0.05</v>
      </c>
    </row>
    <row r="4091" spans="1:19" x14ac:dyDescent="0.25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e">
        <f>VLOOKUP('Customer Info'!A4083,'Customer Info'!A4083:I4582,2,FALSE)</f>
        <v>#N/A</v>
      </c>
      <c r="H4091" s="6" t="e">
        <f>VLOOKUP('Customer Info'!A4083,'Customer Info'!A4083:I4583,3,FALSE)</f>
        <v>#N/A</v>
      </c>
      <c r="I4091" s="6" t="e">
        <f>VLOOKUP('Customer Info'!A4083,'Customer Info'!A4083:I4582,5,FALSE)</f>
        <v>#N/A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512</v>
      </c>
      <c r="R4091" s="2" t="s">
        <v>50</v>
      </c>
      <c r="S4091" s="9">
        <f t="shared" si="319"/>
        <v>0.05</v>
      </c>
    </row>
    <row r="4092" spans="1:19" x14ac:dyDescent="0.25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e">
        <f>VLOOKUP('Customer Info'!A4084,'Customer Info'!A4084:I4583,2,FALSE)</f>
        <v>#N/A</v>
      </c>
      <c r="H4092" s="6" t="e">
        <f>VLOOKUP('Customer Info'!A4084,'Customer Info'!A4084:I4584,3,FALSE)</f>
        <v>#N/A</v>
      </c>
      <c r="I4092" s="6" t="e">
        <f>VLOOKUP('Customer Info'!A4084,'Customer Info'!A4084:I4583,5,FALSE)</f>
        <v>#N/A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213</v>
      </c>
      <c r="R4092" s="2" t="s">
        <v>28</v>
      </c>
      <c r="S4092" s="9">
        <f t="shared" si="319"/>
        <v>0.05</v>
      </c>
    </row>
    <row r="4093" spans="1:19" x14ac:dyDescent="0.25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e">
        <f>VLOOKUP('Customer Info'!A4085,'Customer Info'!A4085:I4584,2,FALSE)</f>
        <v>#N/A</v>
      </c>
      <c r="H4093" s="6" t="e">
        <f>VLOOKUP('Customer Info'!A4085,'Customer Info'!A4085:I4585,3,FALSE)</f>
        <v>#N/A</v>
      </c>
      <c r="I4093" s="6" t="e">
        <f>VLOOKUP('Customer Info'!A4085,'Customer Info'!A4085:I4584,5,FALSE)</f>
        <v>#N/A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55</v>
      </c>
      <c r="R4093" s="2" t="s">
        <v>28</v>
      </c>
      <c r="S4093" s="9">
        <f t="shared" si="319"/>
        <v>0.02</v>
      </c>
    </row>
    <row r="4094" spans="1:19" x14ac:dyDescent="0.25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e">
        <f>VLOOKUP('Customer Info'!A4086,'Customer Info'!A4086:I4585,2,FALSE)</f>
        <v>#N/A</v>
      </c>
      <c r="H4094" s="6" t="e">
        <f>VLOOKUP('Customer Info'!A4086,'Customer Info'!A4086:I4586,3,FALSE)</f>
        <v>#N/A</v>
      </c>
      <c r="I4094" s="6" t="e">
        <f>VLOOKUP('Customer Info'!A4086,'Customer Info'!A4086:I4585,5,FALSE)</f>
        <v>#N/A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3019</v>
      </c>
      <c r="R4094" s="2" t="s">
        <v>50</v>
      </c>
      <c r="S4094" s="9">
        <f t="shared" si="319"/>
        <v>7.0000000000000007E-2</v>
      </c>
    </row>
    <row r="4095" spans="1:19" x14ac:dyDescent="0.25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e">
        <f>VLOOKUP('Customer Info'!A4087,'Customer Info'!A4087:I4586,2,FALSE)</f>
        <v>#N/A</v>
      </c>
      <c r="H4095" s="6" t="e">
        <f>VLOOKUP('Customer Info'!A4087,'Customer Info'!A4087:I4587,3,FALSE)</f>
        <v>#N/A</v>
      </c>
      <c r="I4095" s="6" t="e">
        <f>VLOOKUP('Customer Info'!A4087,'Customer Info'!A4087:I4586,5,FALSE)</f>
        <v>#N/A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415</v>
      </c>
      <c r="R4095" s="2" t="s">
        <v>50</v>
      </c>
      <c r="S4095" s="9">
        <f t="shared" si="319"/>
        <v>0.02</v>
      </c>
    </row>
    <row r="4096" spans="1:19" x14ac:dyDescent="0.25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e">
        <f>VLOOKUP('Customer Info'!A4088,'Customer Info'!A4088:I4587,2,FALSE)</f>
        <v>#N/A</v>
      </c>
      <c r="H4096" s="6" t="e">
        <f>VLOOKUP('Customer Info'!A4088,'Customer Info'!A4088:I4588,3,FALSE)</f>
        <v>#N/A</v>
      </c>
      <c r="I4096" s="6" t="e">
        <f>VLOOKUP('Customer Info'!A4088,'Customer Info'!A4088:I4587,5,FALSE)</f>
        <v>#N/A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62</v>
      </c>
      <c r="R4096" s="2" t="s">
        <v>28</v>
      </c>
      <c r="S4096" s="9">
        <f t="shared" si="319"/>
        <v>0.02</v>
      </c>
    </row>
    <row r="4097" spans="1:19" x14ac:dyDescent="0.25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e">
        <f>VLOOKUP('Customer Info'!A4089,'Customer Info'!A4089:I4588,2,FALSE)</f>
        <v>#N/A</v>
      </c>
      <c r="H4097" s="6" t="e">
        <f>VLOOKUP('Customer Info'!A4089,'Customer Info'!A4089:I4589,3,FALSE)</f>
        <v>#N/A</v>
      </c>
      <c r="I4097" s="6" t="e">
        <f>VLOOKUP('Customer Info'!A4089,'Customer Info'!A4089:I4588,5,FALSE)</f>
        <v>#N/A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192</v>
      </c>
      <c r="R4097" s="2" t="s">
        <v>50</v>
      </c>
      <c r="S4097" s="9">
        <f t="shared" si="319"/>
        <v>0.02</v>
      </c>
    </row>
    <row r="4098" spans="1:19" x14ac:dyDescent="0.25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e">
        <f>VLOOKUP('Customer Info'!A4090,'Customer Info'!A4090:I4589,2,FALSE)</f>
        <v>#N/A</v>
      </c>
      <c r="H4098" s="6" t="e">
        <f>VLOOKUP('Customer Info'!A4090,'Customer Info'!A4090:I4590,3,FALSE)</f>
        <v>#N/A</v>
      </c>
      <c r="I4098" s="6" t="e">
        <f>VLOOKUP('Customer Info'!A4090,'Customer Info'!A4090:I4589,5,FALSE)</f>
        <v>#N/A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2331</v>
      </c>
      <c r="R4098" s="2" t="s">
        <v>28</v>
      </c>
      <c r="S4098" s="9">
        <f t="shared" si="319"/>
        <v>0.09</v>
      </c>
    </row>
    <row r="4099" spans="1:19" x14ac:dyDescent="0.25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e">
        <f>VLOOKUP('Customer Info'!A4091,'Customer Info'!A4091:I4590,2,FALSE)</f>
        <v>#N/A</v>
      </c>
      <c r="H4099" s="6" t="e">
        <f>VLOOKUP('Customer Info'!A4091,'Customer Info'!A4091:I4591,3,FALSE)</f>
        <v>#N/A</v>
      </c>
      <c r="I4099" s="6" t="e">
        <f>VLOOKUP('Customer Info'!A4091,'Customer Info'!A4091:I4590,5,FALSE)</f>
        <v>#N/A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78</v>
      </c>
      <c r="R4099" s="2" t="s">
        <v>50</v>
      </c>
      <c r="S4099" s="9">
        <f t="shared" si="319"/>
        <v>0.02</v>
      </c>
    </row>
    <row r="4100" spans="1:19" x14ac:dyDescent="0.25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e">
        <f>VLOOKUP('Customer Info'!A4092,'Customer Info'!A4092:I4591,2,FALSE)</f>
        <v>#N/A</v>
      </c>
      <c r="H4100" s="6" t="e">
        <f>VLOOKUP('Customer Info'!A4092,'Customer Info'!A4092:I4592,3,FALSE)</f>
        <v>#N/A</v>
      </c>
      <c r="I4100" s="6" t="e">
        <f>VLOOKUP('Customer Info'!A4092,'Customer Info'!A4092:I4591,5,FALSE)</f>
        <v>#N/A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623</v>
      </c>
      <c r="R4100" s="2" t="s">
        <v>28</v>
      </c>
      <c r="S4100" s="9">
        <f t="shared" si="319"/>
        <v>0.05</v>
      </c>
    </row>
    <row r="4101" spans="1:19" x14ac:dyDescent="0.25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e">
        <f>VLOOKUP('Customer Info'!A4093,'Customer Info'!A4093:I4592,2,FALSE)</f>
        <v>#N/A</v>
      </c>
      <c r="H4101" s="6" t="e">
        <f>VLOOKUP('Customer Info'!A4093,'Customer Info'!A4093:I4593,3,FALSE)</f>
        <v>#N/A</v>
      </c>
      <c r="I4101" s="6" t="e">
        <f>VLOOKUP('Customer Info'!A4093,'Customer Info'!A4093:I4592,5,FALSE)</f>
        <v>#N/A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454</v>
      </c>
      <c r="R4101" s="2" t="s">
        <v>56</v>
      </c>
      <c r="S4101" s="9">
        <f t="shared" si="319"/>
        <v>0.02</v>
      </c>
    </row>
    <row r="4102" spans="1:19" x14ac:dyDescent="0.25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e">
        <f>VLOOKUP('Customer Info'!A4094,'Customer Info'!A4094:I4593,2,FALSE)</f>
        <v>#N/A</v>
      </c>
      <c r="H4102" s="6" t="e">
        <f>VLOOKUP('Customer Info'!A4094,'Customer Info'!A4094:I4594,3,FALSE)</f>
        <v>#N/A</v>
      </c>
      <c r="I4102" s="6" t="e">
        <f>VLOOKUP('Customer Info'!A4094,'Customer Info'!A4094:I4593,5,FALSE)</f>
        <v>#N/A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129</v>
      </c>
      <c r="R4102" s="2" t="s">
        <v>26</v>
      </c>
      <c r="S4102" s="9">
        <f t="shared" si="319"/>
        <v>0.02</v>
      </c>
    </row>
    <row r="4103" spans="1:19" x14ac:dyDescent="0.25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e">
        <f>VLOOKUP('Customer Info'!A4095,'Customer Info'!A4095:I4594,2,FALSE)</f>
        <v>#N/A</v>
      </c>
      <c r="H4103" s="6" t="e">
        <f>VLOOKUP('Customer Info'!A4095,'Customer Info'!A4095:I4595,3,FALSE)</f>
        <v>#N/A</v>
      </c>
      <c r="I4103" s="6" t="e">
        <f>VLOOKUP('Customer Info'!A4095,'Customer Info'!A4095:I4594,5,FALSE)</f>
        <v>#N/A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1278</v>
      </c>
      <c r="R4103" s="2" t="s">
        <v>50</v>
      </c>
      <c r="S4103" s="9">
        <f t="shared" si="319"/>
        <v>7.0000000000000007E-2</v>
      </c>
    </row>
    <row r="4104" spans="1:19" x14ac:dyDescent="0.25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e">
        <f>VLOOKUP('Customer Info'!A4096,'Customer Info'!A4096:I4595,2,FALSE)</f>
        <v>#N/A</v>
      </c>
      <c r="H4104" s="6" t="e">
        <f>VLOOKUP('Customer Info'!A4096,'Customer Info'!A4096:I4596,3,FALSE)</f>
        <v>#N/A</v>
      </c>
      <c r="I4104" s="6" t="e">
        <f>VLOOKUP('Customer Info'!A4096,'Customer Info'!A4096:I4595,5,FALSE)</f>
        <v>#N/A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2721</v>
      </c>
      <c r="R4104" s="2" t="s">
        <v>28</v>
      </c>
      <c r="S4104" s="9">
        <f t="shared" si="319"/>
        <v>7.0000000000000007E-2</v>
      </c>
    </row>
    <row r="4105" spans="1:19" x14ac:dyDescent="0.25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e">
        <f>VLOOKUP('Customer Info'!A4097,'Customer Info'!A4097:I4596,2,FALSE)</f>
        <v>#N/A</v>
      </c>
      <c r="H4105" s="6" t="e">
        <f>VLOOKUP('Customer Info'!A4097,'Customer Info'!A4097:I4597,3,FALSE)</f>
        <v>#N/A</v>
      </c>
      <c r="I4105" s="6" t="e">
        <f>VLOOKUP('Customer Info'!A4097,'Customer Info'!A4097:I4596,5,FALSE)</f>
        <v>#N/A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769</v>
      </c>
      <c r="R4105" s="2" t="s">
        <v>28</v>
      </c>
      <c r="S4105" s="9">
        <f t="shared" si="319"/>
        <v>0.05</v>
      </c>
    </row>
    <row r="4106" spans="1:19" x14ac:dyDescent="0.25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e">
        <f>VLOOKUP('Customer Info'!A4098,'Customer Info'!A4098:I4597,2,FALSE)</f>
        <v>#N/A</v>
      </c>
      <c r="H4106" s="6" t="e">
        <f>VLOOKUP('Customer Info'!A4098,'Customer Info'!A4098:I4598,3,FALSE)</f>
        <v>#N/A</v>
      </c>
      <c r="I4106" s="6" t="e">
        <f>VLOOKUP('Customer Info'!A4098,'Customer Info'!A4098:I4597,5,FALSE)</f>
        <v>#N/A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454</v>
      </c>
      <c r="R4106" s="2" t="s">
        <v>50</v>
      </c>
      <c r="S4106" s="9">
        <f t="shared" si="319"/>
        <v>0.05</v>
      </c>
    </row>
    <row r="4107" spans="1:19" x14ac:dyDescent="0.25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e">
        <f>VLOOKUP('Customer Info'!A4099,'Customer Info'!A4099:I4598,2,FALSE)</f>
        <v>#N/A</v>
      </c>
      <c r="H4107" s="6" t="e">
        <f>VLOOKUP('Customer Info'!A4099,'Customer Info'!A4099:I4599,3,FALSE)</f>
        <v>#N/A</v>
      </c>
      <c r="I4107" s="6" t="e">
        <f>VLOOKUP('Customer Info'!A4099,'Customer Info'!A4099:I4598,5,FALSE)</f>
        <v>#N/A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8">
        <f t="shared" ref="P4107:P4170" si="322">N4107+O4107</f>
        <v>7998</v>
      </c>
      <c r="Q4107" s="8">
        <f t="shared" ref="Q4107:Q4170" si="323">P4107-M4107</f>
        <v>523</v>
      </c>
      <c r="R4107" s="2" t="s">
        <v>28</v>
      </c>
      <c r="S4107" s="9">
        <f t="shared" ref="S4107:S4170" si="324">VLOOKUP(P4107,$T$2:$U$7,2,TRUE)</f>
        <v>0.05</v>
      </c>
    </row>
    <row r="4108" spans="1:19" x14ac:dyDescent="0.25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e">
        <f>VLOOKUP('Customer Info'!A4100,'Customer Info'!A4100:I4599,2,FALSE)</f>
        <v>#N/A</v>
      </c>
      <c r="H4108" s="6" t="e">
        <f>VLOOKUP('Customer Info'!A4100,'Customer Info'!A4100:I4600,3,FALSE)</f>
        <v>#N/A</v>
      </c>
      <c r="I4108" s="6" t="e">
        <f>VLOOKUP('Customer Info'!A4100,'Customer Info'!A4100:I4599,5,FALSE)</f>
        <v>#N/A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22</v>
      </c>
      <c r="R4108" s="2" t="s">
        <v>28</v>
      </c>
      <c r="S4108" s="9">
        <f t="shared" si="324"/>
        <v>0.02</v>
      </c>
    </row>
    <row r="4109" spans="1:19" x14ac:dyDescent="0.25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e">
        <f>VLOOKUP('Customer Info'!A4101,'Customer Info'!A4101:I4600,2,FALSE)</f>
        <v>#N/A</v>
      </c>
      <c r="H4109" s="6" t="e">
        <f>VLOOKUP('Customer Info'!A4101,'Customer Info'!A4101:I4601,3,FALSE)</f>
        <v>#N/A</v>
      </c>
      <c r="I4109" s="6" t="e">
        <f>VLOOKUP('Customer Info'!A4101,'Customer Info'!A4101:I4600,5,FALSE)</f>
        <v>#N/A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768</v>
      </c>
      <c r="R4109" s="2" t="s">
        <v>26</v>
      </c>
      <c r="S4109" s="9">
        <f t="shared" si="324"/>
        <v>0.05</v>
      </c>
    </row>
    <row r="4110" spans="1:19" x14ac:dyDescent="0.25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e">
        <f>VLOOKUP('Customer Info'!A4102,'Customer Info'!A4102:I4601,2,FALSE)</f>
        <v>#N/A</v>
      </c>
      <c r="H4110" s="6" t="e">
        <f>VLOOKUP('Customer Info'!A4102,'Customer Info'!A4102:I4602,3,FALSE)</f>
        <v>#N/A</v>
      </c>
      <c r="I4110" s="6" t="e">
        <f>VLOOKUP('Customer Info'!A4102,'Customer Info'!A4102:I4601,5,FALSE)</f>
        <v>#N/A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323</v>
      </c>
      <c r="R4110" s="2" t="s">
        <v>28</v>
      </c>
      <c r="S4110" s="9">
        <f t="shared" si="324"/>
        <v>0.02</v>
      </c>
    </row>
    <row r="4111" spans="1:19" x14ac:dyDescent="0.25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e">
        <f>VLOOKUP('Customer Info'!A4103,'Customer Info'!A4103:I4602,2,FALSE)</f>
        <v>#N/A</v>
      </c>
      <c r="H4111" s="6" t="e">
        <f>VLOOKUP('Customer Info'!A4103,'Customer Info'!A4103:I4603,3,FALSE)</f>
        <v>#N/A</v>
      </c>
      <c r="I4111" s="6" t="e">
        <f>VLOOKUP('Customer Info'!A4103,'Customer Info'!A4103:I4602,5,FALSE)</f>
        <v>#N/A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42</v>
      </c>
      <c r="R4111" s="2" t="s">
        <v>28</v>
      </c>
      <c r="S4111" s="9">
        <f t="shared" si="324"/>
        <v>0.02</v>
      </c>
    </row>
    <row r="4112" spans="1:19" x14ac:dyDescent="0.25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e">
        <f>VLOOKUP('Customer Info'!A4104,'Customer Info'!A4104:I4603,2,FALSE)</f>
        <v>#N/A</v>
      </c>
      <c r="H4112" s="6" t="e">
        <f>VLOOKUP('Customer Info'!A4104,'Customer Info'!A4104:I4604,3,FALSE)</f>
        <v>#N/A</v>
      </c>
      <c r="I4112" s="6" t="e">
        <f>VLOOKUP('Customer Info'!A4104,'Customer Info'!A4104:I4603,5,FALSE)</f>
        <v>#N/A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163</v>
      </c>
      <c r="R4112" s="2" t="s">
        <v>28</v>
      </c>
      <c r="S4112" s="9">
        <f t="shared" si="324"/>
        <v>0.02</v>
      </c>
    </row>
    <row r="4113" spans="1:19" x14ac:dyDescent="0.25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e">
        <f>VLOOKUP('Customer Info'!A4105,'Customer Info'!A4105:I4604,2,FALSE)</f>
        <v>#N/A</v>
      </c>
      <c r="H4113" s="6" t="e">
        <f>VLOOKUP('Customer Info'!A4105,'Customer Info'!A4105:I4605,3,FALSE)</f>
        <v>#N/A</v>
      </c>
      <c r="I4113" s="6" t="e">
        <f>VLOOKUP('Customer Info'!A4105,'Customer Info'!A4105:I4604,5,FALSE)</f>
        <v>#N/A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37</v>
      </c>
      <c r="R4113" s="2" t="s">
        <v>26</v>
      </c>
      <c r="S4113" s="9">
        <f t="shared" si="324"/>
        <v>0.02</v>
      </c>
    </row>
    <row r="4114" spans="1:19" x14ac:dyDescent="0.25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e">
        <f>VLOOKUP('Customer Info'!A4106,'Customer Info'!A4106:I4605,2,FALSE)</f>
        <v>#N/A</v>
      </c>
      <c r="H4114" s="6" t="e">
        <f>VLOOKUP('Customer Info'!A4106,'Customer Info'!A4106:I4606,3,FALSE)</f>
        <v>#N/A</v>
      </c>
      <c r="I4114" s="6" t="e">
        <f>VLOOKUP('Customer Info'!A4106,'Customer Info'!A4106:I4605,5,FALSE)</f>
        <v>#N/A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488</v>
      </c>
      <c r="R4114" s="2" t="s">
        <v>28</v>
      </c>
      <c r="S4114" s="9">
        <f t="shared" si="324"/>
        <v>0.05</v>
      </c>
    </row>
    <row r="4115" spans="1:19" x14ac:dyDescent="0.25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e">
        <f>VLOOKUP('Customer Info'!A4107,'Customer Info'!A4107:I4606,2,FALSE)</f>
        <v>#N/A</v>
      </c>
      <c r="H4115" s="6" t="e">
        <f>VLOOKUP('Customer Info'!A4107,'Customer Info'!A4107:I4607,3,FALSE)</f>
        <v>#N/A</v>
      </c>
      <c r="I4115" s="6" t="e">
        <f>VLOOKUP('Customer Info'!A4107,'Customer Info'!A4107:I4606,5,FALSE)</f>
        <v>#N/A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1490</v>
      </c>
      <c r="R4115" s="2" t="s">
        <v>28</v>
      </c>
      <c r="S4115" s="9">
        <f t="shared" si="324"/>
        <v>0.05</v>
      </c>
    </row>
    <row r="4116" spans="1:19" x14ac:dyDescent="0.25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e">
        <f>VLOOKUP('Customer Info'!A4108,'Customer Info'!A4108:I4607,2,FALSE)</f>
        <v>#N/A</v>
      </c>
      <c r="H4116" s="6" t="e">
        <f>VLOOKUP('Customer Info'!A4108,'Customer Info'!A4108:I4608,3,FALSE)</f>
        <v>#N/A</v>
      </c>
      <c r="I4116" s="6" t="e">
        <f>VLOOKUP('Customer Info'!A4108,'Customer Info'!A4108:I4607,5,FALSE)</f>
        <v>#N/A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75</v>
      </c>
      <c r="R4116" s="2" t="s">
        <v>50</v>
      </c>
      <c r="S4116" s="9">
        <f t="shared" si="324"/>
        <v>0.02</v>
      </c>
    </row>
    <row r="4117" spans="1:19" x14ac:dyDescent="0.25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e">
        <f>VLOOKUP('Customer Info'!A4109,'Customer Info'!A4109:I4608,2,FALSE)</f>
        <v>#N/A</v>
      </c>
      <c r="H4117" s="6" t="e">
        <f>VLOOKUP('Customer Info'!A4109,'Customer Info'!A4109:I4609,3,FALSE)</f>
        <v>#N/A</v>
      </c>
      <c r="I4117" s="6" t="e">
        <f>VLOOKUP('Customer Info'!A4109,'Customer Info'!A4109:I4608,5,FALSE)</f>
        <v>#N/A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851</v>
      </c>
      <c r="R4117" s="2" t="s">
        <v>50</v>
      </c>
      <c r="S4117" s="9">
        <f t="shared" si="324"/>
        <v>0.05</v>
      </c>
    </row>
    <row r="4118" spans="1:19" x14ac:dyDescent="0.25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e">
        <f>VLOOKUP('Customer Info'!A4110,'Customer Info'!A4110:I4609,2,FALSE)</f>
        <v>#N/A</v>
      </c>
      <c r="H4118" s="6" t="e">
        <f>VLOOKUP('Customer Info'!A4110,'Customer Info'!A4110:I4610,3,FALSE)</f>
        <v>#N/A</v>
      </c>
      <c r="I4118" s="6" t="e">
        <f>VLOOKUP('Customer Info'!A4110,'Customer Info'!A4110:I4609,5,FALSE)</f>
        <v>#N/A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493</v>
      </c>
      <c r="R4118" s="2" t="s">
        <v>28</v>
      </c>
      <c r="S4118" s="9">
        <f t="shared" si="324"/>
        <v>0.05</v>
      </c>
    </row>
    <row r="4119" spans="1:19" x14ac:dyDescent="0.25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e">
        <f>VLOOKUP('Customer Info'!A4111,'Customer Info'!A4111:I4610,2,FALSE)</f>
        <v>#N/A</v>
      </c>
      <c r="H4119" s="6" t="e">
        <f>VLOOKUP('Customer Info'!A4111,'Customer Info'!A4111:I4611,3,FALSE)</f>
        <v>#N/A</v>
      </c>
      <c r="I4119" s="6" t="e">
        <f>VLOOKUP('Customer Info'!A4111,'Customer Info'!A4111:I4610,5,FALSE)</f>
        <v>#N/A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2070</v>
      </c>
      <c r="R4119" s="2" t="s">
        <v>28</v>
      </c>
      <c r="S4119" s="9">
        <f t="shared" si="324"/>
        <v>0.05</v>
      </c>
    </row>
    <row r="4120" spans="1:19" x14ac:dyDescent="0.25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e">
        <f>VLOOKUP('Customer Info'!A4112,'Customer Info'!A4112:I4611,2,FALSE)</f>
        <v>#N/A</v>
      </c>
      <c r="H4120" s="6" t="e">
        <f>VLOOKUP('Customer Info'!A4112,'Customer Info'!A4112:I4612,3,FALSE)</f>
        <v>#N/A</v>
      </c>
      <c r="I4120" s="6" t="e">
        <f>VLOOKUP('Customer Info'!A4112,'Customer Info'!A4112:I4611,5,FALSE)</f>
        <v>#N/A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182</v>
      </c>
      <c r="R4120" s="2" t="s">
        <v>50</v>
      </c>
      <c r="S4120" s="9">
        <f t="shared" si="324"/>
        <v>0.02</v>
      </c>
    </row>
    <row r="4121" spans="1:19" x14ac:dyDescent="0.25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e">
        <f>VLOOKUP('Customer Info'!A4113,'Customer Info'!A4113:I4612,2,FALSE)</f>
        <v>#N/A</v>
      </c>
      <c r="H4121" s="6" t="e">
        <f>VLOOKUP('Customer Info'!A4113,'Customer Info'!A4113:I4613,3,FALSE)</f>
        <v>#N/A</v>
      </c>
      <c r="I4121" s="6" t="e">
        <f>VLOOKUP('Customer Info'!A4113,'Customer Info'!A4113:I4612,5,FALSE)</f>
        <v>#N/A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771</v>
      </c>
      <c r="R4121" s="2" t="s">
        <v>50</v>
      </c>
      <c r="S4121" s="9">
        <f t="shared" si="324"/>
        <v>0.05</v>
      </c>
    </row>
    <row r="4122" spans="1:19" x14ac:dyDescent="0.25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e">
        <f>VLOOKUP('Customer Info'!A4114,'Customer Info'!A4114:I4613,2,FALSE)</f>
        <v>#N/A</v>
      </c>
      <c r="H4122" s="6" t="e">
        <f>VLOOKUP('Customer Info'!A4114,'Customer Info'!A4114:I4614,3,FALSE)</f>
        <v>#N/A</v>
      </c>
      <c r="I4122" s="6" t="e">
        <f>VLOOKUP('Customer Info'!A4114,'Customer Info'!A4114:I4613,5,FALSE)</f>
        <v>#N/A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521</v>
      </c>
      <c r="R4122" s="2" t="s">
        <v>28</v>
      </c>
      <c r="S4122" s="9">
        <f t="shared" si="324"/>
        <v>0.02</v>
      </c>
    </row>
    <row r="4123" spans="1:19" x14ac:dyDescent="0.25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e">
        <f>VLOOKUP('Customer Info'!A4115,'Customer Info'!A4115:I4614,2,FALSE)</f>
        <v>#N/A</v>
      </c>
      <c r="H4123" s="6" t="e">
        <f>VLOOKUP('Customer Info'!A4115,'Customer Info'!A4115:I4615,3,FALSE)</f>
        <v>#N/A</v>
      </c>
      <c r="I4123" s="6" t="e">
        <f>VLOOKUP('Customer Info'!A4115,'Customer Info'!A4115:I4614,5,FALSE)</f>
        <v>#N/A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237</v>
      </c>
      <c r="R4123" s="2" t="s">
        <v>28</v>
      </c>
      <c r="S4123" s="9">
        <f t="shared" si="324"/>
        <v>0.02</v>
      </c>
    </row>
    <row r="4124" spans="1:19" x14ac:dyDescent="0.25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e">
        <f>VLOOKUP('Customer Info'!A4116,'Customer Info'!A4116:I4615,2,FALSE)</f>
        <v>#N/A</v>
      </c>
      <c r="H4124" s="6" t="e">
        <f>VLOOKUP('Customer Info'!A4116,'Customer Info'!A4116:I4616,3,FALSE)</f>
        <v>#N/A</v>
      </c>
      <c r="I4124" s="6" t="e">
        <f>VLOOKUP('Customer Info'!A4116,'Customer Info'!A4116:I4615,5,FALSE)</f>
        <v>#N/A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1352</v>
      </c>
      <c r="R4124" s="2" t="s">
        <v>28</v>
      </c>
      <c r="S4124" s="9">
        <f t="shared" si="324"/>
        <v>0.05</v>
      </c>
    </row>
    <row r="4125" spans="1:19" x14ac:dyDescent="0.25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e">
        <f>VLOOKUP('Customer Info'!A4117,'Customer Info'!A4117:I4616,2,FALSE)</f>
        <v>#N/A</v>
      </c>
      <c r="H4125" s="6" t="e">
        <f>VLOOKUP('Customer Info'!A4117,'Customer Info'!A4117:I4617,3,FALSE)</f>
        <v>#N/A</v>
      </c>
      <c r="I4125" s="6" t="e">
        <f>VLOOKUP('Customer Info'!A4117,'Customer Info'!A4117:I4616,5,FALSE)</f>
        <v>#N/A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108</v>
      </c>
      <c r="R4125" s="2" t="s">
        <v>28</v>
      </c>
      <c r="S4125" s="9">
        <f t="shared" si="324"/>
        <v>0.02</v>
      </c>
    </row>
    <row r="4126" spans="1:19" x14ac:dyDescent="0.25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e">
        <f>VLOOKUP('Customer Info'!A4118,'Customer Info'!A4118:I4617,2,FALSE)</f>
        <v>#N/A</v>
      </c>
      <c r="H4126" s="6" t="e">
        <f>VLOOKUP('Customer Info'!A4118,'Customer Info'!A4118:I4618,3,FALSE)</f>
        <v>#N/A</v>
      </c>
      <c r="I4126" s="6" t="e">
        <f>VLOOKUP('Customer Info'!A4118,'Customer Info'!A4118:I4617,5,FALSE)</f>
        <v>#N/A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627</v>
      </c>
      <c r="R4126" s="2" t="s">
        <v>56</v>
      </c>
      <c r="S4126" s="9">
        <f t="shared" si="324"/>
        <v>0.05</v>
      </c>
    </row>
    <row r="4127" spans="1:19" x14ac:dyDescent="0.25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e">
        <f>VLOOKUP('Customer Info'!A4119,'Customer Info'!A4119:I4618,2,FALSE)</f>
        <v>#N/A</v>
      </c>
      <c r="H4127" s="6" t="e">
        <f>VLOOKUP('Customer Info'!A4119,'Customer Info'!A4119:I4619,3,FALSE)</f>
        <v>#N/A</v>
      </c>
      <c r="I4127" s="6" t="e">
        <f>VLOOKUP('Customer Info'!A4119,'Customer Info'!A4119:I4618,5,FALSE)</f>
        <v>#N/A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61</v>
      </c>
      <c r="R4127" s="2" t="s">
        <v>28</v>
      </c>
      <c r="S4127" s="9">
        <f t="shared" si="324"/>
        <v>0.02</v>
      </c>
    </row>
    <row r="4128" spans="1:19" x14ac:dyDescent="0.25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e">
        <f>VLOOKUP('Customer Info'!A4120,'Customer Info'!A4120:I4619,2,FALSE)</f>
        <v>#N/A</v>
      </c>
      <c r="H4128" s="6" t="e">
        <f>VLOOKUP('Customer Info'!A4120,'Customer Info'!A4120:I4620,3,FALSE)</f>
        <v>#N/A</v>
      </c>
      <c r="I4128" s="6" t="e">
        <f>VLOOKUP('Customer Info'!A4120,'Customer Info'!A4120:I4619,5,FALSE)</f>
        <v>#N/A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752</v>
      </c>
      <c r="R4128" s="2" t="s">
        <v>26</v>
      </c>
      <c r="S4128" s="9">
        <f t="shared" si="324"/>
        <v>0.05</v>
      </c>
    </row>
    <row r="4129" spans="1:19" x14ac:dyDescent="0.25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e">
        <f>VLOOKUP('Customer Info'!A4121,'Customer Info'!A4121:I4620,2,FALSE)</f>
        <v>#N/A</v>
      </c>
      <c r="H4129" s="6" t="e">
        <f>VLOOKUP('Customer Info'!A4121,'Customer Info'!A4121:I4621,3,FALSE)</f>
        <v>#N/A</v>
      </c>
      <c r="I4129" s="6" t="e">
        <f>VLOOKUP('Customer Info'!A4121,'Customer Info'!A4121:I4620,5,FALSE)</f>
        <v>#N/A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38</v>
      </c>
      <c r="R4129" s="2" t="s">
        <v>50</v>
      </c>
      <c r="S4129" s="9">
        <f t="shared" si="324"/>
        <v>0.02</v>
      </c>
    </row>
    <row r="4130" spans="1:19" x14ac:dyDescent="0.25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e">
        <f>VLOOKUP('Customer Info'!A4122,'Customer Info'!A4122:I4621,2,FALSE)</f>
        <v>#N/A</v>
      </c>
      <c r="H4130" s="6" t="e">
        <f>VLOOKUP('Customer Info'!A4122,'Customer Info'!A4122:I4622,3,FALSE)</f>
        <v>#N/A</v>
      </c>
      <c r="I4130" s="6" t="e">
        <f>VLOOKUP('Customer Info'!A4122,'Customer Info'!A4122:I4621,5,FALSE)</f>
        <v>#N/A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154</v>
      </c>
      <c r="R4130" s="2" t="s">
        <v>28</v>
      </c>
      <c r="S4130" s="9">
        <f t="shared" si="324"/>
        <v>0.02</v>
      </c>
    </row>
    <row r="4131" spans="1:19" x14ac:dyDescent="0.25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e">
        <f>VLOOKUP('Customer Info'!A4123,'Customer Info'!A4123:I4622,2,FALSE)</f>
        <v>#N/A</v>
      </c>
      <c r="H4131" s="6" t="e">
        <f>VLOOKUP('Customer Info'!A4123,'Customer Info'!A4123:I4623,3,FALSE)</f>
        <v>#N/A</v>
      </c>
      <c r="I4131" s="6" t="e">
        <f>VLOOKUP('Customer Info'!A4123,'Customer Info'!A4123:I4622,5,FALSE)</f>
        <v>#N/A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660</v>
      </c>
      <c r="R4131" s="2" t="s">
        <v>50</v>
      </c>
      <c r="S4131" s="9">
        <f t="shared" si="324"/>
        <v>0.05</v>
      </c>
    </row>
    <row r="4132" spans="1:19" x14ac:dyDescent="0.25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e">
        <f>VLOOKUP('Customer Info'!A4124,'Customer Info'!A4124:I4623,2,FALSE)</f>
        <v>#N/A</v>
      </c>
      <c r="H4132" s="6" t="e">
        <f>VLOOKUP('Customer Info'!A4124,'Customer Info'!A4124:I4624,3,FALSE)</f>
        <v>#N/A</v>
      </c>
      <c r="I4132" s="6" t="e">
        <f>VLOOKUP('Customer Info'!A4124,'Customer Info'!A4124:I4623,5,FALSE)</f>
        <v>#N/A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286</v>
      </c>
      <c r="R4132" s="2" t="s">
        <v>26</v>
      </c>
      <c r="S4132" s="9">
        <f t="shared" si="324"/>
        <v>0.02</v>
      </c>
    </row>
    <row r="4133" spans="1:19" x14ac:dyDescent="0.25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e">
        <f>VLOOKUP('Customer Info'!A4125,'Customer Info'!A4125:I4624,2,FALSE)</f>
        <v>#N/A</v>
      </c>
      <c r="H4133" s="6" t="e">
        <f>VLOOKUP('Customer Info'!A4125,'Customer Info'!A4125:I4625,3,FALSE)</f>
        <v>#N/A</v>
      </c>
      <c r="I4133" s="6" t="e">
        <f>VLOOKUP('Customer Info'!A4125,'Customer Info'!A4125:I4624,5,FALSE)</f>
        <v>#N/A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3808</v>
      </c>
      <c r="R4133" s="2" t="s">
        <v>28</v>
      </c>
      <c r="S4133" s="9">
        <f t="shared" si="324"/>
        <v>0.09</v>
      </c>
    </row>
    <row r="4134" spans="1:19" x14ac:dyDescent="0.25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e">
        <f>VLOOKUP('Customer Info'!A4126,'Customer Info'!A4126:I4625,2,FALSE)</f>
        <v>#N/A</v>
      </c>
      <c r="H4134" s="6" t="e">
        <f>VLOOKUP('Customer Info'!A4126,'Customer Info'!A4126:I4626,3,FALSE)</f>
        <v>#N/A</v>
      </c>
      <c r="I4134" s="6" t="e">
        <f>VLOOKUP('Customer Info'!A4126,'Customer Info'!A4126:I4625,5,FALSE)</f>
        <v>#N/A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155</v>
      </c>
      <c r="R4134" s="2" t="s">
        <v>28</v>
      </c>
      <c r="S4134" s="9">
        <f t="shared" si="324"/>
        <v>0.02</v>
      </c>
    </row>
    <row r="4135" spans="1:19" x14ac:dyDescent="0.25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e">
        <f>VLOOKUP('Customer Info'!A4127,'Customer Info'!A4127:I4626,2,FALSE)</f>
        <v>#N/A</v>
      </c>
      <c r="H4135" s="6" t="e">
        <f>VLOOKUP('Customer Info'!A4127,'Customer Info'!A4127:I4627,3,FALSE)</f>
        <v>#N/A</v>
      </c>
      <c r="I4135" s="6" t="e">
        <f>VLOOKUP('Customer Info'!A4127,'Customer Info'!A4127:I4626,5,FALSE)</f>
        <v>#N/A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156</v>
      </c>
      <c r="R4135" s="2" t="s">
        <v>28</v>
      </c>
      <c r="S4135" s="9">
        <f t="shared" si="324"/>
        <v>0.02</v>
      </c>
    </row>
    <row r="4136" spans="1:19" x14ac:dyDescent="0.25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e">
        <f>VLOOKUP('Customer Info'!A4128,'Customer Info'!A4128:I4627,2,FALSE)</f>
        <v>#N/A</v>
      </c>
      <c r="H4136" s="6" t="e">
        <f>VLOOKUP('Customer Info'!A4128,'Customer Info'!A4128:I4628,3,FALSE)</f>
        <v>#N/A</v>
      </c>
      <c r="I4136" s="6" t="e">
        <f>VLOOKUP('Customer Info'!A4128,'Customer Info'!A4128:I4627,5,FALSE)</f>
        <v>#N/A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724</v>
      </c>
      <c r="R4136" s="2" t="s">
        <v>28</v>
      </c>
      <c r="S4136" s="9">
        <f t="shared" si="324"/>
        <v>0.05</v>
      </c>
    </row>
    <row r="4137" spans="1:19" x14ac:dyDescent="0.25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e">
        <f>VLOOKUP('Customer Info'!A4129,'Customer Info'!A4129:I4628,2,FALSE)</f>
        <v>#N/A</v>
      </c>
      <c r="H4137" s="6" t="e">
        <f>VLOOKUP('Customer Info'!A4129,'Customer Info'!A4129:I4629,3,FALSE)</f>
        <v>#N/A</v>
      </c>
      <c r="I4137" s="6" t="e">
        <f>VLOOKUP('Customer Info'!A4129,'Customer Info'!A4129:I4628,5,FALSE)</f>
        <v>#N/A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8353</v>
      </c>
      <c r="R4137" s="2" t="s">
        <v>50</v>
      </c>
      <c r="S4137" s="9">
        <f t="shared" si="324"/>
        <v>0.12</v>
      </c>
    </row>
    <row r="4138" spans="1:19" x14ac:dyDescent="0.25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e">
        <f>VLOOKUP('Customer Info'!A4130,'Customer Info'!A4130:I4629,2,FALSE)</f>
        <v>#N/A</v>
      </c>
      <c r="H4138" s="6" t="e">
        <f>VLOOKUP('Customer Info'!A4130,'Customer Info'!A4130:I4630,3,FALSE)</f>
        <v>#N/A</v>
      </c>
      <c r="I4138" s="6" t="e">
        <f>VLOOKUP('Customer Info'!A4130,'Customer Info'!A4130:I4629,5,FALSE)</f>
        <v>#N/A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1369</v>
      </c>
      <c r="R4138" s="2" t="s">
        <v>26</v>
      </c>
      <c r="S4138" s="9">
        <f t="shared" si="324"/>
        <v>7.0000000000000007E-2</v>
      </c>
    </row>
    <row r="4139" spans="1:19" x14ac:dyDescent="0.25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e">
        <f>VLOOKUP('Customer Info'!A4131,'Customer Info'!A4131:I4630,2,FALSE)</f>
        <v>#N/A</v>
      </c>
      <c r="H4139" s="6" t="e">
        <f>VLOOKUP('Customer Info'!A4131,'Customer Info'!A4131:I4631,3,FALSE)</f>
        <v>#N/A</v>
      </c>
      <c r="I4139" s="6" t="e">
        <f>VLOOKUP('Customer Info'!A4131,'Customer Info'!A4131:I4630,5,FALSE)</f>
        <v>#N/A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354</v>
      </c>
      <c r="R4139" s="2" t="s">
        <v>28</v>
      </c>
      <c r="S4139" s="9">
        <f t="shared" si="324"/>
        <v>0.02</v>
      </c>
    </row>
    <row r="4140" spans="1:19" x14ac:dyDescent="0.25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e">
        <f>VLOOKUP('Customer Info'!A4132,'Customer Info'!A4132:I4631,2,FALSE)</f>
        <v>#N/A</v>
      </c>
      <c r="H4140" s="6" t="e">
        <f>VLOOKUP('Customer Info'!A4132,'Customer Info'!A4132:I4632,3,FALSE)</f>
        <v>#N/A</v>
      </c>
      <c r="I4140" s="6" t="e">
        <f>VLOOKUP('Customer Info'!A4132,'Customer Info'!A4132:I4631,5,FALSE)</f>
        <v>#N/A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49</v>
      </c>
      <c r="R4140" s="2" t="s">
        <v>28</v>
      </c>
      <c r="S4140" s="9">
        <f t="shared" si="324"/>
        <v>0.02</v>
      </c>
    </row>
    <row r="4141" spans="1:19" x14ac:dyDescent="0.25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e">
        <f>VLOOKUP('Customer Info'!A4133,'Customer Info'!A4133:I4632,2,FALSE)</f>
        <v>#N/A</v>
      </c>
      <c r="H4141" s="6" t="e">
        <f>VLOOKUP('Customer Info'!A4133,'Customer Info'!A4133:I4633,3,FALSE)</f>
        <v>#N/A</v>
      </c>
      <c r="I4141" s="6" t="e">
        <f>VLOOKUP('Customer Info'!A4133,'Customer Info'!A4133:I4632,5,FALSE)</f>
        <v>#N/A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166</v>
      </c>
      <c r="R4141" s="2" t="s">
        <v>50</v>
      </c>
      <c r="S4141" s="9">
        <f t="shared" si="324"/>
        <v>0.02</v>
      </c>
    </row>
    <row r="4142" spans="1:19" x14ac:dyDescent="0.25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e">
        <f>VLOOKUP('Customer Info'!A4134,'Customer Info'!A4134:I4633,2,FALSE)</f>
        <v>#N/A</v>
      </c>
      <c r="H4142" s="6" t="e">
        <f>VLOOKUP('Customer Info'!A4134,'Customer Info'!A4134:I4634,3,FALSE)</f>
        <v>#N/A</v>
      </c>
      <c r="I4142" s="6" t="e">
        <f>VLOOKUP('Customer Info'!A4134,'Customer Info'!A4134:I4633,5,FALSE)</f>
        <v>#N/A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2561</v>
      </c>
      <c r="R4142" s="2" t="s">
        <v>28</v>
      </c>
      <c r="S4142" s="9">
        <f t="shared" si="324"/>
        <v>7.0000000000000007E-2</v>
      </c>
    </row>
    <row r="4143" spans="1:19" x14ac:dyDescent="0.25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e">
        <f>VLOOKUP('Customer Info'!A4135,'Customer Info'!A4135:I4634,2,FALSE)</f>
        <v>#N/A</v>
      </c>
      <c r="H4143" s="6" t="e">
        <f>VLOOKUP('Customer Info'!A4135,'Customer Info'!A4135:I4635,3,FALSE)</f>
        <v>#N/A</v>
      </c>
      <c r="I4143" s="6" t="e">
        <f>VLOOKUP('Customer Info'!A4135,'Customer Info'!A4135:I4634,5,FALSE)</f>
        <v>#N/A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232</v>
      </c>
      <c r="R4143" s="2" t="s">
        <v>28</v>
      </c>
      <c r="S4143" s="9">
        <f t="shared" si="324"/>
        <v>0.02</v>
      </c>
    </row>
    <row r="4144" spans="1:19" x14ac:dyDescent="0.25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e">
        <f>VLOOKUP('Customer Info'!A4136,'Customer Info'!A4136:I4635,2,FALSE)</f>
        <v>#N/A</v>
      </c>
      <c r="H4144" s="6" t="e">
        <f>VLOOKUP('Customer Info'!A4136,'Customer Info'!A4136:I4636,3,FALSE)</f>
        <v>#N/A</v>
      </c>
      <c r="I4144" s="6" t="e">
        <f>VLOOKUP('Customer Info'!A4136,'Customer Info'!A4136:I4635,5,FALSE)</f>
        <v>#N/A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405</v>
      </c>
      <c r="R4144" s="2" t="s">
        <v>50</v>
      </c>
      <c r="S4144" s="9">
        <f t="shared" si="324"/>
        <v>0.02</v>
      </c>
    </row>
    <row r="4145" spans="1:19" x14ac:dyDescent="0.25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e">
        <f>VLOOKUP('Customer Info'!A4137,'Customer Info'!A4137:I4636,2,FALSE)</f>
        <v>#N/A</v>
      </c>
      <c r="H4145" s="6" t="e">
        <f>VLOOKUP('Customer Info'!A4137,'Customer Info'!A4137:I4637,3,FALSE)</f>
        <v>#N/A</v>
      </c>
      <c r="I4145" s="6" t="e">
        <f>VLOOKUP('Customer Info'!A4137,'Customer Info'!A4137:I4636,5,FALSE)</f>
        <v>#N/A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1372</v>
      </c>
      <c r="R4145" s="2" t="s">
        <v>50</v>
      </c>
      <c r="S4145" s="9">
        <f t="shared" si="324"/>
        <v>0.05</v>
      </c>
    </row>
    <row r="4146" spans="1:19" x14ac:dyDescent="0.25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e">
        <f>VLOOKUP('Customer Info'!A4138,'Customer Info'!A4138:I4637,2,FALSE)</f>
        <v>#N/A</v>
      </c>
      <c r="H4146" s="6" t="e">
        <f>VLOOKUP('Customer Info'!A4138,'Customer Info'!A4138:I4638,3,FALSE)</f>
        <v>#N/A</v>
      </c>
      <c r="I4146" s="6" t="e">
        <f>VLOOKUP('Customer Info'!A4138,'Customer Info'!A4138:I4637,5,FALSE)</f>
        <v>#N/A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356</v>
      </c>
      <c r="R4146" s="2" t="s">
        <v>50</v>
      </c>
      <c r="S4146" s="9">
        <f t="shared" si="324"/>
        <v>0.02</v>
      </c>
    </row>
    <row r="4147" spans="1:19" x14ac:dyDescent="0.25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e">
        <f>VLOOKUP('Customer Info'!A4139,'Customer Info'!A4139:I4638,2,FALSE)</f>
        <v>#N/A</v>
      </c>
      <c r="H4147" s="6" t="e">
        <f>VLOOKUP('Customer Info'!A4139,'Customer Info'!A4139:I4639,3,FALSE)</f>
        <v>#N/A</v>
      </c>
      <c r="I4147" s="6" t="e">
        <f>VLOOKUP('Customer Info'!A4139,'Customer Info'!A4139:I4638,5,FALSE)</f>
        <v>#N/A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534</v>
      </c>
      <c r="R4147" s="2" t="s">
        <v>28</v>
      </c>
      <c r="S4147" s="9">
        <f t="shared" si="324"/>
        <v>0.05</v>
      </c>
    </row>
    <row r="4148" spans="1:19" x14ac:dyDescent="0.25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e">
        <f>VLOOKUP('Customer Info'!A4140,'Customer Info'!A4140:I4639,2,FALSE)</f>
        <v>#N/A</v>
      </c>
      <c r="H4148" s="6" t="e">
        <f>VLOOKUP('Customer Info'!A4140,'Customer Info'!A4140:I4640,3,FALSE)</f>
        <v>#N/A</v>
      </c>
      <c r="I4148" s="6" t="e">
        <f>VLOOKUP('Customer Info'!A4140,'Customer Info'!A4140:I4639,5,FALSE)</f>
        <v>#N/A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1349</v>
      </c>
      <c r="R4148" s="2" t="s">
        <v>28</v>
      </c>
      <c r="S4148" s="9">
        <f t="shared" si="324"/>
        <v>0.05</v>
      </c>
    </row>
    <row r="4149" spans="1:19" x14ac:dyDescent="0.25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e">
        <f>VLOOKUP('Customer Info'!A4141,'Customer Info'!A4141:I4640,2,FALSE)</f>
        <v>#N/A</v>
      </c>
      <c r="H4149" s="6" t="e">
        <f>VLOOKUP('Customer Info'!A4141,'Customer Info'!A4141:I4641,3,FALSE)</f>
        <v>#N/A</v>
      </c>
      <c r="I4149" s="6" t="e">
        <f>VLOOKUP('Customer Info'!A4141,'Customer Info'!A4141:I4640,5,FALSE)</f>
        <v>#N/A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137</v>
      </c>
      <c r="R4149" s="2" t="s">
        <v>28</v>
      </c>
      <c r="S4149" s="9">
        <f t="shared" si="324"/>
        <v>0.02</v>
      </c>
    </row>
    <row r="4150" spans="1:19" x14ac:dyDescent="0.25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e">
        <f>VLOOKUP('Customer Info'!A4142,'Customer Info'!A4142:I4641,2,FALSE)</f>
        <v>#N/A</v>
      </c>
      <c r="H4150" s="6" t="e">
        <f>VLOOKUP('Customer Info'!A4142,'Customer Info'!A4142:I4642,3,FALSE)</f>
        <v>#N/A</v>
      </c>
      <c r="I4150" s="6" t="e">
        <f>VLOOKUP('Customer Info'!A4142,'Customer Info'!A4142:I4641,5,FALSE)</f>
        <v>#N/A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1438</v>
      </c>
      <c r="R4150" s="2" t="s">
        <v>28</v>
      </c>
      <c r="S4150" s="9">
        <f t="shared" si="324"/>
        <v>0.05</v>
      </c>
    </row>
    <row r="4151" spans="1:19" x14ac:dyDescent="0.25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e">
        <f>VLOOKUP('Customer Info'!A4143,'Customer Info'!A4143:I4642,2,FALSE)</f>
        <v>#N/A</v>
      </c>
      <c r="H4151" s="6" t="e">
        <f>VLOOKUP('Customer Info'!A4143,'Customer Info'!A4143:I4643,3,FALSE)</f>
        <v>#N/A</v>
      </c>
      <c r="I4151" s="6" t="e">
        <f>VLOOKUP('Customer Info'!A4143,'Customer Info'!A4143:I4642,5,FALSE)</f>
        <v>#N/A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18</v>
      </c>
      <c r="R4151" s="2" t="s">
        <v>50</v>
      </c>
      <c r="S4151" s="9">
        <f t="shared" si="324"/>
        <v>0.02</v>
      </c>
    </row>
    <row r="4152" spans="1:19" x14ac:dyDescent="0.25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e">
        <f>VLOOKUP('Customer Info'!A4144,'Customer Info'!A4144:I4643,2,FALSE)</f>
        <v>#N/A</v>
      </c>
      <c r="H4152" s="6" t="e">
        <f>VLOOKUP('Customer Info'!A4144,'Customer Info'!A4144:I4644,3,FALSE)</f>
        <v>#N/A</v>
      </c>
      <c r="I4152" s="6" t="e">
        <f>VLOOKUP('Customer Info'!A4144,'Customer Info'!A4144:I4643,5,FALSE)</f>
        <v>#N/A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2935</v>
      </c>
      <c r="R4152" s="2" t="s">
        <v>28</v>
      </c>
      <c r="S4152" s="9">
        <f t="shared" si="324"/>
        <v>7.0000000000000007E-2</v>
      </c>
    </row>
    <row r="4153" spans="1:19" x14ac:dyDescent="0.25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e">
        <f>VLOOKUP('Customer Info'!A4145,'Customer Info'!A4145:I4644,2,FALSE)</f>
        <v>#N/A</v>
      </c>
      <c r="H4153" s="6" t="e">
        <f>VLOOKUP('Customer Info'!A4145,'Customer Info'!A4145:I4645,3,FALSE)</f>
        <v>#N/A</v>
      </c>
      <c r="I4153" s="6" t="e">
        <f>VLOOKUP('Customer Info'!A4145,'Customer Info'!A4145:I4644,5,FALSE)</f>
        <v>#N/A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272</v>
      </c>
      <c r="R4153" s="2" t="s">
        <v>28</v>
      </c>
      <c r="S4153" s="9">
        <f t="shared" si="324"/>
        <v>0.02</v>
      </c>
    </row>
    <row r="4154" spans="1:19" x14ac:dyDescent="0.25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e">
        <f>VLOOKUP('Customer Info'!A4146,'Customer Info'!A4146:I4645,2,FALSE)</f>
        <v>#N/A</v>
      </c>
      <c r="H4154" s="6" t="e">
        <f>VLOOKUP('Customer Info'!A4146,'Customer Info'!A4146:I4646,3,FALSE)</f>
        <v>#N/A</v>
      </c>
      <c r="I4154" s="6" t="e">
        <f>VLOOKUP('Customer Info'!A4146,'Customer Info'!A4146:I4645,5,FALSE)</f>
        <v>#N/A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156</v>
      </c>
      <c r="R4154" s="2" t="s">
        <v>50</v>
      </c>
      <c r="S4154" s="9">
        <f t="shared" si="324"/>
        <v>0.02</v>
      </c>
    </row>
    <row r="4155" spans="1:19" x14ac:dyDescent="0.25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e">
        <f>VLOOKUP('Customer Info'!A4147,'Customer Info'!A4147:I4646,2,FALSE)</f>
        <v>#N/A</v>
      </c>
      <c r="H4155" s="6" t="e">
        <f>VLOOKUP('Customer Info'!A4147,'Customer Info'!A4147:I4647,3,FALSE)</f>
        <v>#N/A</v>
      </c>
      <c r="I4155" s="6" t="e">
        <f>VLOOKUP('Customer Info'!A4147,'Customer Info'!A4147:I4646,5,FALSE)</f>
        <v>#N/A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90</v>
      </c>
      <c r="R4155" s="2" t="s">
        <v>26</v>
      </c>
      <c r="S4155" s="9">
        <f t="shared" si="324"/>
        <v>0.02</v>
      </c>
    </row>
    <row r="4156" spans="1:19" x14ac:dyDescent="0.25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e">
        <f>VLOOKUP('Customer Info'!A4148,'Customer Info'!A4148:I4647,2,FALSE)</f>
        <v>#N/A</v>
      </c>
      <c r="H4156" s="6" t="e">
        <f>VLOOKUP('Customer Info'!A4148,'Customer Info'!A4148:I4648,3,FALSE)</f>
        <v>#N/A</v>
      </c>
      <c r="I4156" s="6" t="e">
        <f>VLOOKUP('Customer Info'!A4148,'Customer Info'!A4148:I4647,5,FALSE)</f>
        <v>#N/A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169</v>
      </c>
      <c r="R4156" s="2" t="s">
        <v>28</v>
      </c>
      <c r="S4156" s="9">
        <f t="shared" si="324"/>
        <v>0.02</v>
      </c>
    </row>
    <row r="4157" spans="1:19" x14ac:dyDescent="0.25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e">
        <f>VLOOKUP('Customer Info'!A4149,'Customer Info'!A4149:I4648,2,FALSE)</f>
        <v>#N/A</v>
      </c>
      <c r="H4157" s="6" t="e">
        <f>VLOOKUP('Customer Info'!A4149,'Customer Info'!A4149:I4649,3,FALSE)</f>
        <v>#N/A</v>
      </c>
      <c r="I4157" s="6" t="e">
        <f>VLOOKUP('Customer Info'!A4149,'Customer Info'!A4149:I4648,5,FALSE)</f>
        <v>#N/A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8438</v>
      </c>
      <c r="R4157" s="2" t="s">
        <v>28</v>
      </c>
      <c r="S4157" s="9">
        <f t="shared" si="324"/>
        <v>0.12</v>
      </c>
    </row>
    <row r="4158" spans="1:19" x14ac:dyDescent="0.25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e">
        <f>VLOOKUP('Customer Info'!A4150,'Customer Info'!A4150:I4649,2,FALSE)</f>
        <v>#N/A</v>
      </c>
      <c r="H4158" s="6" t="e">
        <f>VLOOKUP('Customer Info'!A4150,'Customer Info'!A4150:I4650,3,FALSE)</f>
        <v>#N/A</v>
      </c>
      <c r="I4158" s="6" t="e">
        <f>VLOOKUP('Customer Info'!A4150,'Customer Info'!A4150:I4649,5,FALSE)</f>
        <v>#N/A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3946</v>
      </c>
      <c r="R4158" s="2" t="s">
        <v>28</v>
      </c>
      <c r="S4158" s="9">
        <f t="shared" si="324"/>
        <v>0.09</v>
      </c>
    </row>
    <row r="4159" spans="1:19" x14ac:dyDescent="0.25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e">
        <f>VLOOKUP('Customer Info'!A4151,'Customer Info'!A4151:I4650,2,FALSE)</f>
        <v>#N/A</v>
      </c>
      <c r="H4159" s="6" t="e">
        <f>VLOOKUP('Customer Info'!A4151,'Customer Info'!A4151:I4651,3,FALSE)</f>
        <v>#N/A</v>
      </c>
      <c r="I4159" s="6" t="e">
        <f>VLOOKUP('Customer Info'!A4151,'Customer Info'!A4151:I4650,5,FALSE)</f>
        <v>#N/A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188</v>
      </c>
      <c r="R4159" s="2" t="s">
        <v>28</v>
      </c>
      <c r="S4159" s="9">
        <f t="shared" si="324"/>
        <v>0.02</v>
      </c>
    </row>
    <row r="4160" spans="1:19" x14ac:dyDescent="0.25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e">
        <f>VLOOKUP('Customer Info'!A4152,'Customer Info'!A4152:I4651,2,FALSE)</f>
        <v>#N/A</v>
      </c>
      <c r="H4160" s="6" t="e">
        <f>VLOOKUP('Customer Info'!A4152,'Customer Info'!A4152:I4652,3,FALSE)</f>
        <v>#N/A</v>
      </c>
      <c r="I4160" s="6" t="e">
        <f>VLOOKUP('Customer Info'!A4152,'Customer Info'!A4152:I4651,5,FALSE)</f>
        <v>#N/A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1821</v>
      </c>
      <c r="R4160" s="2" t="s">
        <v>50</v>
      </c>
      <c r="S4160" s="9">
        <f t="shared" si="324"/>
        <v>7.0000000000000007E-2</v>
      </c>
    </row>
    <row r="4161" spans="1:19" x14ac:dyDescent="0.25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e">
        <f>VLOOKUP('Customer Info'!A4153,'Customer Info'!A4153:I4652,2,FALSE)</f>
        <v>#N/A</v>
      </c>
      <c r="H4161" s="6" t="e">
        <f>VLOOKUP('Customer Info'!A4153,'Customer Info'!A4153:I4653,3,FALSE)</f>
        <v>#N/A</v>
      </c>
      <c r="I4161" s="6" t="e">
        <f>VLOOKUP('Customer Info'!A4153,'Customer Info'!A4153:I4652,5,FALSE)</f>
        <v>#N/A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64</v>
      </c>
      <c r="R4161" s="2" t="s">
        <v>28</v>
      </c>
      <c r="S4161" s="9">
        <f t="shared" si="324"/>
        <v>0.02</v>
      </c>
    </row>
    <row r="4162" spans="1:19" x14ac:dyDescent="0.25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e">
        <f>VLOOKUP('Customer Info'!A4154,'Customer Info'!A4154:I4653,2,FALSE)</f>
        <v>#N/A</v>
      </c>
      <c r="H4162" s="6" t="e">
        <f>VLOOKUP('Customer Info'!A4154,'Customer Info'!A4154:I4654,3,FALSE)</f>
        <v>#N/A</v>
      </c>
      <c r="I4162" s="6" t="e">
        <f>VLOOKUP('Customer Info'!A4154,'Customer Info'!A4154:I4653,5,FALSE)</f>
        <v>#N/A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312</v>
      </c>
      <c r="R4162" s="2" t="s">
        <v>50</v>
      </c>
      <c r="S4162" s="9">
        <f t="shared" si="324"/>
        <v>0.05</v>
      </c>
    </row>
    <row r="4163" spans="1:19" x14ac:dyDescent="0.25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e">
        <f>VLOOKUP('Customer Info'!A4155,'Customer Info'!A4155:I4654,2,FALSE)</f>
        <v>#N/A</v>
      </c>
      <c r="H4163" s="6" t="e">
        <f>VLOOKUP('Customer Info'!A4155,'Customer Info'!A4155:I4655,3,FALSE)</f>
        <v>#N/A</v>
      </c>
      <c r="I4163" s="6" t="e">
        <f>VLOOKUP('Customer Info'!A4155,'Customer Info'!A4155:I4654,5,FALSE)</f>
        <v>#N/A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282</v>
      </c>
      <c r="R4163" s="2" t="s">
        <v>28</v>
      </c>
      <c r="S4163" s="9">
        <f t="shared" si="324"/>
        <v>0.02</v>
      </c>
    </row>
    <row r="4164" spans="1:19" x14ac:dyDescent="0.25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e">
        <f>VLOOKUP('Customer Info'!A4156,'Customer Info'!A4156:I4655,2,FALSE)</f>
        <v>#N/A</v>
      </c>
      <c r="H4164" s="6" t="e">
        <f>VLOOKUP('Customer Info'!A4156,'Customer Info'!A4156:I4656,3,FALSE)</f>
        <v>#N/A</v>
      </c>
      <c r="I4164" s="6" t="e">
        <f>VLOOKUP('Customer Info'!A4156,'Customer Info'!A4156:I4655,5,FALSE)</f>
        <v>#N/A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613</v>
      </c>
      <c r="R4164" s="2" t="s">
        <v>28</v>
      </c>
      <c r="S4164" s="9">
        <f t="shared" si="324"/>
        <v>0.05</v>
      </c>
    </row>
    <row r="4165" spans="1:19" x14ac:dyDescent="0.25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e">
        <f>VLOOKUP('Customer Info'!A4157,'Customer Info'!A4157:I4656,2,FALSE)</f>
        <v>#N/A</v>
      </c>
      <c r="H4165" s="6" t="e">
        <f>VLOOKUP('Customer Info'!A4157,'Customer Info'!A4157:I4657,3,FALSE)</f>
        <v>#N/A</v>
      </c>
      <c r="I4165" s="6" t="e">
        <f>VLOOKUP('Customer Info'!A4157,'Customer Info'!A4157:I4656,5,FALSE)</f>
        <v>#N/A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118</v>
      </c>
      <c r="R4165" s="2" t="s">
        <v>28</v>
      </c>
      <c r="S4165" s="9">
        <f t="shared" si="324"/>
        <v>0.02</v>
      </c>
    </row>
    <row r="4166" spans="1:19" x14ac:dyDescent="0.25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e">
        <f>VLOOKUP('Customer Info'!A4158,'Customer Info'!A4158:I4657,2,FALSE)</f>
        <v>#N/A</v>
      </c>
      <c r="H4166" s="6" t="e">
        <f>VLOOKUP('Customer Info'!A4158,'Customer Info'!A4158:I4658,3,FALSE)</f>
        <v>#N/A</v>
      </c>
      <c r="I4166" s="6" t="e">
        <f>VLOOKUP('Customer Info'!A4158,'Customer Info'!A4158:I4657,5,FALSE)</f>
        <v>#N/A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795</v>
      </c>
      <c r="R4166" s="2" t="s">
        <v>50</v>
      </c>
      <c r="S4166" s="9">
        <f t="shared" si="324"/>
        <v>0.05</v>
      </c>
    </row>
    <row r="4167" spans="1:19" x14ac:dyDescent="0.25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e">
        <f>VLOOKUP('Customer Info'!A4159,'Customer Info'!A4159:I4658,2,FALSE)</f>
        <v>#N/A</v>
      </c>
      <c r="H4167" s="6" t="e">
        <f>VLOOKUP('Customer Info'!A4159,'Customer Info'!A4159:I4659,3,FALSE)</f>
        <v>#N/A</v>
      </c>
      <c r="I4167" s="6" t="e">
        <f>VLOOKUP('Customer Info'!A4159,'Customer Info'!A4159:I4658,5,FALSE)</f>
        <v>#N/A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565</v>
      </c>
      <c r="R4167" s="2" t="s">
        <v>50</v>
      </c>
      <c r="S4167" s="9">
        <f t="shared" si="324"/>
        <v>0.05</v>
      </c>
    </row>
    <row r="4168" spans="1:19" x14ac:dyDescent="0.25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e">
        <f>VLOOKUP('Customer Info'!A4160,'Customer Info'!A4160:I4659,2,FALSE)</f>
        <v>#N/A</v>
      </c>
      <c r="H4168" s="6" t="e">
        <f>VLOOKUP('Customer Info'!A4160,'Customer Info'!A4160:I4660,3,FALSE)</f>
        <v>#N/A</v>
      </c>
      <c r="I4168" s="6" t="e">
        <f>VLOOKUP('Customer Info'!A4160,'Customer Info'!A4160:I4659,5,FALSE)</f>
        <v>#N/A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391</v>
      </c>
      <c r="R4168" s="2" t="s">
        <v>28</v>
      </c>
      <c r="S4168" s="9">
        <f t="shared" si="324"/>
        <v>0.05</v>
      </c>
    </row>
    <row r="4169" spans="1:19" x14ac:dyDescent="0.25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e">
        <f>VLOOKUP('Customer Info'!A4161,'Customer Info'!A4161:I4660,2,FALSE)</f>
        <v>#N/A</v>
      </c>
      <c r="H4169" s="6" t="e">
        <f>VLOOKUP('Customer Info'!A4161,'Customer Info'!A4161:I4661,3,FALSE)</f>
        <v>#N/A</v>
      </c>
      <c r="I4169" s="6" t="e">
        <f>VLOOKUP('Customer Info'!A4161,'Customer Info'!A4161:I4660,5,FALSE)</f>
        <v>#N/A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114</v>
      </c>
      <c r="R4169" s="2" t="s">
        <v>28</v>
      </c>
      <c r="S4169" s="9">
        <f t="shared" si="324"/>
        <v>0.02</v>
      </c>
    </row>
    <row r="4170" spans="1:19" x14ac:dyDescent="0.25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e">
        <f>VLOOKUP('Customer Info'!A4162,'Customer Info'!A4162:I4661,2,FALSE)</f>
        <v>#N/A</v>
      </c>
      <c r="H4170" s="6" t="e">
        <f>VLOOKUP('Customer Info'!A4162,'Customer Info'!A4162:I4662,3,FALSE)</f>
        <v>#N/A</v>
      </c>
      <c r="I4170" s="6" t="e">
        <f>VLOOKUP('Customer Info'!A4162,'Customer Info'!A4162:I4661,5,FALSE)</f>
        <v>#N/A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124</v>
      </c>
      <c r="R4170" s="2" t="s">
        <v>28</v>
      </c>
      <c r="S4170" s="9">
        <f t="shared" si="324"/>
        <v>0.02</v>
      </c>
    </row>
    <row r="4171" spans="1:19" x14ac:dyDescent="0.25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e">
        <f>VLOOKUP('Customer Info'!A4163,'Customer Info'!A4163:I4662,2,FALSE)</f>
        <v>#N/A</v>
      </c>
      <c r="H4171" s="6" t="e">
        <f>VLOOKUP('Customer Info'!A4163,'Customer Info'!A4163:I4663,3,FALSE)</f>
        <v>#N/A</v>
      </c>
      <c r="I4171" s="6" t="e">
        <f>VLOOKUP('Customer Info'!A4163,'Customer Info'!A4163:I4662,5,FALSE)</f>
        <v>#N/A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8">
        <f t="shared" ref="P4171:P4234" si="327">N4171+O4171</f>
        <v>1621</v>
      </c>
      <c r="Q4171" s="8">
        <f t="shared" ref="Q4171:Q4234" si="328">P4171-M4171</f>
        <v>201</v>
      </c>
      <c r="R4171" s="2" t="s">
        <v>28</v>
      </c>
      <c r="S4171" s="9">
        <f t="shared" ref="S4171:S4234" si="329">VLOOKUP(P4171,$T$2:$U$7,2,TRUE)</f>
        <v>0.02</v>
      </c>
    </row>
    <row r="4172" spans="1:19" x14ac:dyDescent="0.25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e">
        <f>VLOOKUP('Customer Info'!A4164,'Customer Info'!A4164:I4663,2,FALSE)</f>
        <v>#N/A</v>
      </c>
      <c r="H4172" s="6" t="e">
        <f>VLOOKUP('Customer Info'!A4164,'Customer Info'!A4164:I4664,3,FALSE)</f>
        <v>#N/A</v>
      </c>
      <c r="I4172" s="6" t="e">
        <f>VLOOKUP('Customer Info'!A4164,'Customer Info'!A4164:I4663,5,FALSE)</f>
        <v>#N/A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120</v>
      </c>
      <c r="R4172" s="2" t="s">
        <v>28</v>
      </c>
      <c r="S4172" s="9">
        <f t="shared" si="329"/>
        <v>0.02</v>
      </c>
    </row>
    <row r="4173" spans="1:19" x14ac:dyDescent="0.25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e">
        <f>VLOOKUP('Customer Info'!A4165,'Customer Info'!A4165:I4664,2,FALSE)</f>
        <v>#N/A</v>
      </c>
      <c r="H4173" s="6" t="e">
        <f>VLOOKUP('Customer Info'!A4165,'Customer Info'!A4165:I4665,3,FALSE)</f>
        <v>#N/A</v>
      </c>
      <c r="I4173" s="6" t="e">
        <f>VLOOKUP('Customer Info'!A4165,'Customer Info'!A4165:I4664,5,FALSE)</f>
        <v>#N/A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301</v>
      </c>
      <c r="R4173" s="2" t="s">
        <v>50</v>
      </c>
      <c r="S4173" s="9">
        <f t="shared" si="329"/>
        <v>0.02</v>
      </c>
    </row>
    <row r="4174" spans="1:19" x14ac:dyDescent="0.25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e">
        <f>VLOOKUP('Customer Info'!A4166,'Customer Info'!A4166:I4665,2,FALSE)</f>
        <v>#N/A</v>
      </c>
      <c r="H4174" s="6" t="e">
        <f>VLOOKUP('Customer Info'!A4166,'Customer Info'!A4166:I4666,3,FALSE)</f>
        <v>#N/A</v>
      </c>
      <c r="I4174" s="6" t="e">
        <f>VLOOKUP('Customer Info'!A4166,'Customer Info'!A4166:I4665,5,FALSE)</f>
        <v>#N/A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1132</v>
      </c>
      <c r="R4174" s="2" t="s">
        <v>50</v>
      </c>
      <c r="S4174" s="9">
        <f t="shared" si="329"/>
        <v>0.05</v>
      </c>
    </row>
    <row r="4175" spans="1:19" x14ac:dyDescent="0.25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e">
        <f>VLOOKUP('Customer Info'!A4167,'Customer Info'!A4167:I4666,2,FALSE)</f>
        <v>#N/A</v>
      </c>
      <c r="H4175" s="6" t="e">
        <f>VLOOKUP('Customer Info'!A4167,'Customer Info'!A4167:I4667,3,FALSE)</f>
        <v>#N/A</v>
      </c>
      <c r="I4175" s="6" t="e">
        <f>VLOOKUP('Customer Info'!A4167,'Customer Info'!A4167:I4666,5,FALSE)</f>
        <v>#N/A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800</v>
      </c>
      <c r="R4175" s="2" t="s">
        <v>28</v>
      </c>
      <c r="S4175" s="9">
        <f t="shared" si="329"/>
        <v>0.05</v>
      </c>
    </row>
    <row r="4176" spans="1:19" x14ac:dyDescent="0.25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e">
        <f>VLOOKUP('Customer Info'!A4168,'Customer Info'!A4168:I4667,2,FALSE)</f>
        <v>#N/A</v>
      </c>
      <c r="H4176" s="6" t="e">
        <f>VLOOKUP('Customer Info'!A4168,'Customer Info'!A4168:I4668,3,FALSE)</f>
        <v>#N/A</v>
      </c>
      <c r="I4176" s="6" t="e">
        <f>VLOOKUP('Customer Info'!A4168,'Customer Info'!A4168:I4667,5,FALSE)</f>
        <v>#N/A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678</v>
      </c>
      <c r="R4176" s="2" t="s">
        <v>28</v>
      </c>
      <c r="S4176" s="9">
        <f t="shared" si="329"/>
        <v>7.0000000000000007E-2</v>
      </c>
    </row>
    <row r="4177" spans="1:19" x14ac:dyDescent="0.25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e">
        <f>VLOOKUP('Customer Info'!A4169,'Customer Info'!A4169:I4668,2,FALSE)</f>
        <v>#N/A</v>
      </c>
      <c r="H4177" s="6" t="e">
        <f>VLOOKUP('Customer Info'!A4169,'Customer Info'!A4169:I4669,3,FALSE)</f>
        <v>#N/A</v>
      </c>
      <c r="I4177" s="6" t="e">
        <f>VLOOKUP('Customer Info'!A4169,'Customer Info'!A4169:I4668,5,FALSE)</f>
        <v>#N/A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494</v>
      </c>
      <c r="R4177" s="2" t="s">
        <v>28</v>
      </c>
      <c r="S4177" s="9">
        <f t="shared" si="329"/>
        <v>0.02</v>
      </c>
    </row>
    <row r="4178" spans="1:19" x14ac:dyDescent="0.25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e">
        <f>VLOOKUP('Customer Info'!A4170,'Customer Info'!A4170:I4669,2,FALSE)</f>
        <v>#N/A</v>
      </c>
      <c r="H4178" s="6" t="e">
        <f>VLOOKUP('Customer Info'!A4170,'Customer Info'!A4170:I4670,3,FALSE)</f>
        <v>#N/A</v>
      </c>
      <c r="I4178" s="6" t="e">
        <f>VLOOKUP('Customer Info'!A4170,'Customer Info'!A4170:I4669,5,FALSE)</f>
        <v>#N/A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4355</v>
      </c>
      <c r="R4178" s="2" t="s">
        <v>28</v>
      </c>
      <c r="S4178" s="9">
        <f t="shared" si="329"/>
        <v>0.09</v>
      </c>
    </row>
    <row r="4179" spans="1:19" x14ac:dyDescent="0.25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e">
        <f>VLOOKUP('Customer Info'!A4171,'Customer Info'!A4171:I4670,2,FALSE)</f>
        <v>#N/A</v>
      </c>
      <c r="H4179" s="6" t="e">
        <f>VLOOKUP('Customer Info'!A4171,'Customer Info'!A4171:I4671,3,FALSE)</f>
        <v>#N/A</v>
      </c>
      <c r="I4179" s="6" t="e">
        <f>VLOOKUP('Customer Info'!A4171,'Customer Info'!A4171:I4670,5,FALSE)</f>
        <v>#N/A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28</v>
      </c>
      <c r="R4179" s="2" t="s">
        <v>28</v>
      </c>
      <c r="S4179" s="9">
        <f t="shared" si="329"/>
        <v>0.02</v>
      </c>
    </row>
    <row r="4180" spans="1:19" x14ac:dyDescent="0.25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e">
        <f>VLOOKUP('Customer Info'!A4172,'Customer Info'!A4172:I4671,2,FALSE)</f>
        <v>#N/A</v>
      </c>
      <c r="H4180" s="6" t="e">
        <f>VLOOKUP('Customer Info'!A4172,'Customer Info'!A4172:I4672,3,FALSE)</f>
        <v>#N/A</v>
      </c>
      <c r="I4180" s="6" t="e">
        <f>VLOOKUP('Customer Info'!A4172,'Customer Info'!A4172:I4671,5,FALSE)</f>
        <v>#N/A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12708</v>
      </c>
      <c r="R4180" s="2" t="s">
        <v>56</v>
      </c>
      <c r="S4180" s="9">
        <f t="shared" si="329"/>
        <v>0.12</v>
      </c>
    </row>
    <row r="4181" spans="1:19" x14ac:dyDescent="0.25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e">
        <f>VLOOKUP('Customer Info'!A4173,'Customer Info'!A4173:I4672,2,FALSE)</f>
        <v>#N/A</v>
      </c>
      <c r="H4181" s="6" t="e">
        <f>VLOOKUP('Customer Info'!A4173,'Customer Info'!A4173:I4673,3,FALSE)</f>
        <v>#N/A</v>
      </c>
      <c r="I4181" s="6" t="e">
        <f>VLOOKUP('Customer Info'!A4173,'Customer Info'!A4173:I4672,5,FALSE)</f>
        <v>#N/A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2225</v>
      </c>
      <c r="R4181" s="2" t="s">
        <v>28</v>
      </c>
      <c r="S4181" s="9">
        <f t="shared" si="329"/>
        <v>7.0000000000000007E-2</v>
      </c>
    </row>
    <row r="4182" spans="1:19" x14ac:dyDescent="0.25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e">
        <f>VLOOKUP('Customer Info'!A4174,'Customer Info'!A4174:I4673,2,FALSE)</f>
        <v>#N/A</v>
      </c>
      <c r="H4182" s="6" t="e">
        <f>VLOOKUP('Customer Info'!A4174,'Customer Info'!A4174:I4674,3,FALSE)</f>
        <v>#N/A</v>
      </c>
      <c r="I4182" s="6" t="e">
        <f>VLOOKUP('Customer Info'!A4174,'Customer Info'!A4174:I4673,5,FALSE)</f>
        <v>#N/A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275</v>
      </c>
      <c r="R4182" s="2" t="s">
        <v>28</v>
      </c>
      <c r="S4182" s="9">
        <f t="shared" si="329"/>
        <v>0.02</v>
      </c>
    </row>
    <row r="4183" spans="1:19" x14ac:dyDescent="0.25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e">
        <f>VLOOKUP('Customer Info'!A4175,'Customer Info'!A4175:I4674,2,FALSE)</f>
        <v>#N/A</v>
      </c>
      <c r="H4183" s="6" t="e">
        <f>VLOOKUP('Customer Info'!A4175,'Customer Info'!A4175:I4675,3,FALSE)</f>
        <v>#N/A</v>
      </c>
      <c r="I4183" s="6" t="e">
        <f>VLOOKUP('Customer Info'!A4175,'Customer Info'!A4175:I4674,5,FALSE)</f>
        <v>#N/A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122</v>
      </c>
      <c r="R4183" s="2" t="s">
        <v>28</v>
      </c>
      <c r="S4183" s="9">
        <f t="shared" si="329"/>
        <v>0.02</v>
      </c>
    </row>
    <row r="4184" spans="1:19" x14ac:dyDescent="0.25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e">
        <f>VLOOKUP('Customer Info'!A4176,'Customer Info'!A4176:I4675,2,FALSE)</f>
        <v>#N/A</v>
      </c>
      <c r="H4184" s="6" t="e">
        <f>VLOOKUP('Customer Info'!A4176,'Customer Info'!A4176:I4676,3,FALSE)</f>
        <v>#N/A</v>
      </c>
      <c r="I4184" s="6" t="e">
        <f>VLOOKUP('Customer Info'!A4176,'Customer Info'!A4176:I4675,5,FALSE)</f>
        <v>#N/A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16</v>
      </c>
      <c r="R4184" s="2" t="s">
        <v>28</v>
      </c>
      <c r="S4184" s="9">
        <f t="shared" si="329"/>
        <v>0.02</v>
      </c>
    </row>
    <row r="4185" spans="1:19" x14ac:dyDescent="0.25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e">
        <f>VLOOKUP('Customer Info'!A4177,'Customer Info'!A4177:I4676,2,FALSE)</f>
        <v>#N/A</v>
      </c>
      <c r="H4185" s="6" t="e">
        <f>VLOOKUP('Customer Info'!A4177,'Customer Info'!A4177:I4677,3,FALSE)</f>
        <v>#N/A</v>
      </c>
      <c r="I4185" s="6" t="e">
        <f>VLOOKUP('Customer Info'!A4177,'Customer Info'!A4177:I4676,5,FALSE)</f>
        <v>#N/A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217</v>
      </c>
      <c r="R4185" s="2" t="s">
        <v>50</v>
      </c>
      <c r="S4185" s="9">
        <f t="shared" si="329"/>
        <v>0.02</v>
      </c>
    </row>
    <row r="4186" spans="1:19" x14ac:dyDescent="0.25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e">
        <f>VLOOKUP('Customer Info'!A4178,'Customer Info'!A4178:I4677,2,FALSE)</f>
        <v>#N/A</v>
      </c>
      <c r="H4186" s="6" t="e">
        <f>VLOOKUP('Customer Info'!A4178,'Customer Info'!A4178:I4678,3,FALSE)</f>
        <v>#N/A</v>
      </c>
      <c r="I4186" s="6" t="e">
        <f>VLOOKUP('Customer Info'!A4178,'Customer Info'!A4178:I4677,5,FALSE)</f>
        <v>#N/A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3625</v>
      </c>
      <c r="R4186" s="2" t="s">
        <v>50</v>
      </c>
      <c r="S4186" s="9">
        <f t="shared" si="329"/>
        <v>7.0000000000000007E-2</v>
      </c>
    </row>
    <row r="4187" spans="1:19" x14ac:dyDescent="0.25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e">
        <f>VLOOKUP('Customer Info'!A4179,'Customer Info'!A4179:I4678,2,FALSE)</f>
        <v>#N/A</v>
      </c>
      <c r="H4187" s="6" t="e">
        <f>VLOOKUP('Customer Info'!A4179,'Customer Info'!A4179:I4679,3,FALSE)</f>
        <v>#N/A</v>
      </c>
      <c r="I4187" s="6" t="e">
        <f>VLOOKUP('Customer Info'!A4179,'Customer Info'!A4179:I4678,5,FALSE)</f>
        <v>#N/A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2054</v>
      </c>
      <c r="R4187" s="2" t="s">
        <v>28</v>
      </c>
      <c r="S4187" s="9">
        <f t="shared" si="329"/>
        <v>0.05</v>
      </c>
    </row>
    <row r="4188" spans="1:19" x14ac:dyDescent="0.25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e">
        <f>VLOOKUP('Customer Info'!A4180,'Customer Info'!A4180:I4679,2,FALSE)</f>
        <v>#N/A</v>
      </c>
      <c r="H4188" s="6" t="e">
        <f>VLOOKUP('Customer Info'!A4180,'Customer Info'!A4180:I4680,3,FALSE)</f>
        <v>#N/A</v>
      </c>
      <c r="I4188" s="6" t="e">
        <f>VLOOKUP('Customer Info'!A4180,'Customer Info'!A4180:I4679,5,FALSE)</f>
        <v>#N/A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399</v>
      </c>
      <c r="R4188" s="2" t="s">
        <v>56</v>
      </c>
      <c r="S4188" s="9">
        <f t="shared" si="329"/>
        <v>0.05</v>
      </c>
    </row>
    <row r="4189" spans="1:19" x14ac:dyDescent="0.25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e">
        <f>VLOOKUP('Customer Info'!A4181,'Customer Info'!A4181:I4680,2,FALSE)</f>
        <v>#N/A</v>
      </c>
      <c r="H4189" s="6" t="e">
        <f>VLOOKUP('Customer Info'!A4181,'Customer Info'!A4181:I4681,3,FALSE)</f>
        <v>#N/A</v>
      </c>
      <c r="I4189" s="6" t="e">
        <f>VLOOKUP('Customer Info'!A4181,'Customer Info'!A4181:I4680,5,FALSE)</f>
        <v>#N/A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295</v>
      </c>
      <c r="R4189" s="2" t="s">
        <v>28</v>
      </c>
      <c r="S4189" s="9">
        <f t="shared" si="329"/>
        <v>0.02</v>
      </c>
    </row>
    <row r="4190" spans="1:19" x14ac:dyDescent="0.25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e">
        <f>VLOOKUP('Customer Info'!A4182,'Customer Info'!A4182:I4681,2,FALSE)</f>
        <v>#N/A</v>
      </c>
      <c r="H4190" s="6" t="e">
        <f>VLOOKUP('Customer Info'!A4182,'Customer Info'!A4182:I4682,3,FALSE)</f>
        <v>#N/A</v>
      </c>
      <c r="I4190" s="6" t="e">
        <f>VLOOKUP('Customer Info'!A4182,'Customer Info'!A4182:I4681,5,FALSE)</f>
        <v>#N/A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41</v>
      </c>
      <c r="R4190" s="2" t="s">
        <v>28</v>
      </c>
      <c r="S4190" s="9">
        <f t="shared" si="329"/>
        <v>0.02</v>
      </c>
    </row>
    <row r="4191" spans="1:19" x14ac:dyDescent="0.25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e">
        <f>VLOOKUP('Customer Info'!A4183,'Customer Info'!A4183:I4682,2,FALSE)</f>
        <v>#N/A</v>
      </c>
      <c r="H4191" s="6" t="e">
        <f>VLOOKUP('Customer Info'!A4183,'Customer Info'!A4183:I4683,3,FALSE)</f>
        <v>#N/A</v>
      </c>
      <c r="I4191" s="6" t="e">
        <f>VLOOKUP('Customer Info'!A4183,'Customer Info'!A4183:I4682,5,FALSE)</f>
        <v>#N/A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169</v>
      </c>
      <c r="R4191" s="2" t="s">
        <v>28</v>
      </c>
      <c r="S4191" s="9">
        <f t="shared" si="329"/>
        <v>0.02</v>
      </c>
    </row>
    <row r="4192" spans="1:19" x14ac:dyDescent="0.25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e">
        <f>VLOOKUP('Customer Info'!A4184,'Customer Info'!A4184:I4683,2,FALSE)</f>
        <v>#N/A</v>
      </c>
      <c r="H4192" s="6" t="e">
        <f>VLOOKUP('Customer Info'!A4184,'Customer Info'!A4184:I4684,3,FALSE)</f>
        <v>#N/A</v>
      </c>
      <c r="I4192" s="6" t="e">
        <f>VLOOKUP('Customer Info'!A4184,'Customer Info'!A4184:I4683,5,FALSE)</f>
        <v>#N/A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714</v>
      </c>
      <c r="R4192" s="2" t="s">
        <v>28</v>
      </c>
      <c r="S4192" s="9">
        <f t="shared" si="329"/>
        <v>0.05</v>
      </c>
    </row>
    <row r="4193" spans="1:19" x14ac:dyDescent="0.25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e">
        <f>VLOOKUP('Customer Info'!A4185,'Customer Info'!A4185:I4684,2,FALSE)</f>
        <v>#N/A</v>
      </c>
      <c r="H4193" s="6" t="e">
        <f>VLOOKUP('Customer Info'!A4185,'Customer Info'!A4185:I4685,3,FALSE)</f>
        <v>#N/A</v>
      </c>
      <c r="I4193" s="6" t="e">
        <f>VLOOKUP('Customer Info'!A4185,'Customer Info'!A4185:I4684,5,FALSE)</f>
        <v>#N/A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78</v>
      </c>
      <c r="R4193" s="2" t="s">
        <v>28</v>
      </c>
      <c r="S4193" s="9">
        <f t="shared" si="329"/>
        <v>0.02</v>
      </c>
    </row>
    <row r="4194" spans="1:19" x14ac:dyDescent="0.25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e">
        <f>VLOOKUP('Customer Info'!A4186,'Customer Info'!A4186:I4685,2,FALSE)</f>
        <v>#N/A</v>
      </c>
      <c r="H4194" s="6" t="e">
        <f>VLOOKUP('Customer Info'!A4186,'Customer Info'!A4186:I4686,3,FALSE)</f>
        <v>#N/A</v>
      </c>
      <c r="I4194" s="6" t="e">
        <f>VLOOKUP('Customer Info'!A4186,'Customer Info'!A4186:I4685,5,FALSE)</f>
        <v>#N/A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73</v>
      </c>
      <c r="R4194" s="2" t="s">
        <v>50</v>
      </c>
      <c r="S4194" s="9">
        <f t="shared" si="329"/>
        <v>0.02</v>
      </c>
    </row>
    <row r="4195" spans="1:19" x14ac:dyDescent="0.25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e">
        <f>VLOOKUP('Customer Info'!A4187,'Customer Info'!A4187:I4686,2,FALSE)</f>
        <v>#N/A</v>
      </c>
      <c r="H4195" s="6" t="e">
        <f>VLOOKUP('Customer Info'!A4187,'Customer Info'!A4187:I4687,3,FALSE)</f>
        <v>#N/A</v>
      </c>
      <c r="I4195" s="6" t="e">
        <f>VLOOKUP('Customer Info'!A4187,'Customer Info'!A4187:I4686,5,FALSE)</f>
        <v>#N/A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114</v>
      </c>
      <c r="R4195" s="2" t="s">
        <v>50</v>
      </c>
      <c r="S4195" s="9">
        <f t="shared" si="329"/>
        <v>0.02</v>
      </c>
    </row>
    <row r="4196" spans="1:19" x14ac:dyDescent="0.25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e">
        <f>VLOOKUP('Customer Info'!A4188,'Customer Info'!A4188:I4687,2,FALSE)</f>
        <v>#N/A</v>
      </c>
      <c r="H4196" s="6" t="e">
        <f>VLOOKUP('Customer Info'!A4188,'Customer Info'!A4188:I4688,3,FALSE)</f>
        <v>#N/A</v>
      </c>
      <c r="I4196" s="6" t="e">
        <f>VLOOKUP('Customer Info'!A4188,'Customer Info'!A4188:I4687,5,FALSE)</f>
        <v>#N/A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165</v>
      </c>
      <c r="R4196" s="2" t="s">
        <v>28</v>
      </c>
      <c r="S4196" s="9">
        <f t="shared" si="329"/>
        <v>0.02</v>
      </c>
    </row>
    <row r="4197" spans="1:19" x14ac:dyDescent="0.25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e">
        <f>VLOOKUP('Customer Info'!A4189,'Customer Info'!A4189:I4688,2,FALSE)</f>
        <v>#N/A</v>
      </c>
      <c r="H4197" s="6" t="e">
        <f>VLOOKUP('Customer Info'!A4189,'Customer Info'!A4189:I4689,3,FALSE)</f>
        <v>#N/A</v>
      </c>
      <c r="I4197" s="6" t="e">
        <f>VLOOKUP('Customer Info'!A4189,'Customer Info'!A4189:I4688,5,FALSE)</f>
        <v>#N/A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94</v>
      </c>
      <c r="R4197" s="2" t="s">
        <v>28</v>
      </c>
      <c r="S4197" s="9">
        <f t="shared" si="329"/>
        <v>0.02</v>
      </c>
    </row>
    <row r="4198" spans="1:19" x14ac:dyDescent="0.25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e">
        <f>VLOOKUP('Customer Info'!A4190,'Customer Info'!A4190:I4689,2,FALSE)</f>
        <v>#N/A</v>
      </c>
      <c r="H4198" s="6" t="e">
        <f>VLOOKUP('Customer Info'!A4190,'Customer Info'!A4190:I4690,3,FALSE)</f>
        <v>#N/A</v>
      </c>
      <c r="I4198" s="6" t="e">
        <f>VLOOKUP('Customer Info'!A4190,'Customer Info'!A4190:I4689,5,FALSE)</f>
        <v>#N/A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5594</v>
      </c>
      <c r="R4198" s="2" t="s">
        <v>56</v>
      </c>
      <c r="S4198" s="9">
        <f t="shared" si="329"/>
        <v>0.09</v>
      </c>
    </row>
    <row r="4199" spans="1:19" x14ac:dyDescent="0.25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e">
        <f>VLOOKUP('Customer Info'!A4191,'Customer Info'!A4191:I4690,2,FALSE)</f>
        <v>#N/A</v>
      </c>
      <c r="H4199" s="6" t="e">
        <f>VLOOKUP('Customer Info'!A4191,'Customer Info'!A4191:I4691,3,FALSE)</f>
        <v>#N/A</v>
      </c>
      <c r="I4199" s="6" t="e">
        <f>VLOOKUP('Customer Info'!A4191,'Customer Info'!A4191:I4690,5,FALSE)</f>
        <v>#N/A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19</v>
      </c>
      <c r="R4199" s="2" t="s">
        <v>50</v>
      </c>
      <c r="S4199" s="9">
        <f t="shared" si="329"/>
        <v>0.02</v>
      </c>
    </row>
    <row r="4200" spans="1:19" x14ac:dyDescent="0.25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e">
        <f>VLOOKUP('Customer Info'!A4192,'Customer Info'!A4192:I4691,2,FALSE)</f>
        <v>#N/A</v>
      </c>
      <c r="H4200" s="6" t="e">
        <f>VLOOKUP('Customer Info'!A4192,'Customer Info'!A4192:I4692,3,FALSE)</f>
        <v>#N/A</v>
      </c>
      <c r="I4200" s="6" t="e">
        <f>VLOOKUP('Customer Info'!A4192,'Customer Info'!A4192:I4691,5,FALSE)</f>
        <v>#N/A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218</v>
      </c>
      <c r="R4200" s="2" t="s">
        <v>28</v>
      </c>
      <c r="S4200" s="9">
        <f t="shared" si="329"/>
        <v>0.02</v>
      </c>
    </row>
    <row r="4201" spans="1:19" x14ac:dyDescent="0.25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e">
        <f>VLOOKUP('Customer Info'!A4193,'Customer Info'!A4193:I4692,2,FALSE)</f>
        <v>#N/A</v>
      </c>
      <c r="H4201" s="6" t="e">
        <f>VLOOKUP('Customer Info'!A4193,'Customer Info'!A4193:I4693,3,FALSE)</f>
        <v>#N/A</v>
      </c>
      <c r="I4201" s="6" t="e">
        <f>VLOOKUP('Customer Info'!A4193,'Customer Info'!A4193:I4692,5,FALSE)</f>
        <v>#N/A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422</v>
      </c>
      <c r="R4201" s="2" t="s">
        <v>28</v>
      </c>
      <c r="S4201" s="9">
        <f t="shared" si="329"/>
        <v>0.05</v>
      </c>
    </row>
    <row r="4202" spans="1:19" x14ac:dyDescent="0.25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e">
        <f>VLOOKUP('Customer Info'!A4194,'Customer Info'!A4194:I4693,2,FALSE)</f>
        <v>#N/A</v>
      </c>
      <c r="H4202" s="6" t="e">
        <f>VLOOKUP('Customer Info'!A4194,'Customer Info'!A4194:I4694,3,FALSE)</f>
        <v>#N/A</v>
      </c>
      <c r="I4202" s="6" t="e">
        <f>VLOOKUP('Customer Info'!A4194,'Customer Info'!A4194:I4693,5,FALSE)</f>
        <v>#N/A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260</v>
      </c>
      <c r="R4202" s="2" t="s">
        <v>26</v>
      </c>
      <c r="S4202" s="9">
        <f t="shared" si="329"/>
        <v>0.05</v>
      </c>
    </row>
    <row r="4203" spans="1:19" x14ac:dyDescent="0.25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e">
        <f>VLOOKUP('Customer Info'!A4195,'Customer Info'!A4195:I4694,2,FALSE)</f>
        <v>#N/A</v>
      </c>
      <c r="H4203" s="6" t="e">
        <f>VLOOKUP('Customer Info'!A4195,'Customer Info'!A4195:I4695,3,FALSE)</f>
        <v>#N/A</v>
      </c>
      <c r="I4203" s="6" t="e">
        <f>VLOOKUP('Customer Info'!A4195,'Customer Info'!A4195:I4694,5,FALSE)</f>
        <v>#N/A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52</v>
      </c>
      <c r="R4203" s="2" t="s">
        <v>28</v>
      </c>
      <c r="S4203" s="9">
        <f t="shared" si="329"/>
        <v>0.05</v>
      </c>
    </row>
    <row r="4204" spans="1:19" x14ac:dyDescent="0.25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e">
        <f>VLOOKUP('Customer Info'!A4196,'Customer Info'!A4196:I4695,2,FALSE)</f>
        <v>#N/A</v>
      </c>
      <c r="H4204" s="6" t="e">
        <f>VLOOKUP('Customer Info'!A4196,'Customer Info'!A4196:I4696,3,FALSE)</f>
        <v>#N/A</v>
      </c>
      <c r="I4204" s="6" t="e">
        <f>VLOOKUP('Customer Info'!A4196,'Customer Info'!A4196:I4695,5,FALSE)</f>
        <v>#N/A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2333</v>
      </c>
      <c r="R4204" s="2" t="s">
        <v>50</v>
      </c>
      <c r="S4204" s="9">
        <f t="shared" si="329"/>
        <v>0.05</v>
      </c>
    </row>
    <row r="4205" spans="1:19" x14ac:dyDescent="0.25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e">
        <f>VLOOKUP('Customer Info'!A4197,'Customer Info'!A4197:I4696,2,FALSE)</f>
        <v>#N/A</v>
      </c>
      <c r="H4205" s="6" t="e">
        <f>VLOOKUP('Customer Info'!A4197,'Customer Info'!A4197:I4697,3,FALSE)</f>
        <v>#N/A</v>
      </c>
      <c r="I4205" s="6" t="e">
        <f>VLOOKUP('Customer Info'!A4197,'Customer Info'!A4197:I4696,5,FALSE)</f>
        <v>#N/A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286</v>
      </c>
      <c r="R4205" s="2" t="s">
        <v>28</v>
      </c>
      <c r="S4205" s="9">
        <f t="shared" si="329"/>
        <v>0.02</v>
      </c>
    </row>
    <row r="4206" spans="1:19" x14ac:dyDescent="0.25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e">
        <f>VLOOKUP('Customer Info'!A4198,'Customer Info'!A4198:I4697,2,FALSE)</f>
        <v>#N/A</v>
      </c>
      <c r="H4206" s="6" t="e">
        <f>VLOOKUP('Customer Info'!A4198,'Customer Info'!A4198:I4698,3,FALSE)</f>
        <v>#N/A</v>
      </c>
      <c r="I4206" s="6" t="e">
        <f>VLOOKUP('Customer Info'!A4198,'Customer Info'!A4198:I4697,5,FALSE)</f>
        <v>#N/A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573</v>
      </c>
      <c r="R4206" s="2" t="s">
        <v>28</v>
      </c>
      <c r="S4206" s="9">
        <f t="shared" si="329"/>
        <v>0.05</v>
      </c>
    </row>
    <row r="4207" spans="1:19" x14ac:dyDescent="0.25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e">
        <f>VLOOKUP('Customer Info'!A4199,'Customer Info'!A4199:I4698,2,FALSE)</f>
        <v>#N/A</v>
      </c>
      <c r="H4207" s="6" t="e">
        <f>VLOOKUP('Customer Info'!A4199,'Customer Info'!A4199:I4699,3,FALSE)</f>
        <v>#N/A</v>
      </c>
      <c r="I4207" s="6" t="e">
        <f>VLOOKUP('Customer Info'!A4199,'Customer Info'!A4199:I4698,5,FALSE)</f>
        <v>#N/A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376</v>
      </c>
      <c r="R4207" s="2" t="s">
        <v>28</v>
      </c>
      <c r="S4207" s="9">
        <f t="shared" si="329"/>
        <v>0.02</v>
      </c>
    </row>
    <row r="4208" spans="1:19" x14ac:dyDescent="0.25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e">
        <f>VLOOKUP('Customer Info'!A4200,'Customer Info'!A4200:I4699,2,FALSE)</f>
        <v>#N/A</v>
      </c>
      <c r="H4208" s="6" t="e">
        <f>VLOOKUP('Customer Info'!A4200,'Customer Info'!A4200:I4700,3,FALSE)</f>
        <v>#N/A</v>
      </c>
      <c r="I4208" s="6" t="e">
        <f>VLOOKUP('Customer Info'!A4200,'Customer Info'!A4200:I4699,5,FALSE)</f>
        <v>#N/A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366</v>
      </c>
      <c r="R4208" s="2" t="s">
        <v>50</v>
      </c>
      <c r="S4208" s="9">
        <f t="shared" si="329"/>
        <v>0.02</v>
      </c>
    </row>
    <row r="4209" spans="1:19" x14ac:dyDescent="0.25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e">
        <f>VLOOKUP('Customer Info'!A4201,'Customer Info'!A4201:I4700,2,FALSE)</f>
        <v>#N/A</v>
      </c>
      <c r="H4209" s="6" t="e">
        <f>VLOOKUP('Customer Info'!A4201,'Customer Info'!A4201:I4701,3,FALSE)</f>
        <v>#N/A</v>
      </c>
      <c r="I4209" s="6" t="e">
        <f>VLOOKUP('Customer Info'!A4201,'Customer Info'!A4201:I4700,5,FALSE)</f>
        <v>#N/A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315</v>
      </c>
      <c r="R4209" s="2" t="s">
        <v>50</v>
      </c>
      <c r="S4209" s="9">
        <f t="shared" si="329"/>
        <v>0.02</v>
      </c>
    </row>
    <row r="4210" spans="1:19" x14ac:dyDescent="0.25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e">
        <f>VLOOKUP('Customer Info'!A4202,'Customer Info'!A4202:I4701,2,FALSE)</f>
        <v>#N/A</v>
      </c>
      <c r="H4210" s="6" t="e">
        <f>VLOOKUP('Customer Info'!A4202,'Customer Info'!A4202:I4702,3,FALSE)</f>
        <v>#N/A</v>
      </c>
      <c r="I4210" s="6" t="e">
        <f>VLOOKUP('Customer Info'!A4202,'Customer Info'!A4202:I4701,5,FALSE)</f>
        <v>#N/A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18</v>
      </c>
      <c r="R4210" s="2" t="s">
        <v>50</v>
      </c>
      <c r="S4210" s="9">
        <f t="shared" si="329"/>
        <v>0.02</v>
      </c>
    </row>
    <row r="4211" spans="1:19" x14ac:dyDescent="0.25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e">
        <f>VLOOKUP('Customer Info'!A4203,'Customer Info'!A4203:I4702,2,FALSE)</f>
        <v>#N/A</v>
      </c>
      <c r="H4211" s="6" t="e">
        <f>VLOOKUP('Customer Info'!A4203,'Customer Info'!A4203:I4703,3,FALSE)</f>
        <v>#N/A</v>
      </c>
      <c r="I4211" s="6" t="e">
        <f>VLOOKUP('Customer Info'!A4203,'Customer Info'!A4203:I4702,5,FALSE)</f>
        <v>#N/A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1080</v>
      </c>
      <c r="R4211" s="2" t="s">
        <v>26</v>
      </c>
      <c r="S4211" s="9">
        <f t="shared" si="329"/>
        <v>0.05</v>
      </c>
    </row>
    <row r="4212" spans="1:19" x14ac:dyDescent="0.25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e">
        <f>VLOOKUP('Customer Info'!A4204,'Customer Info'!A4204:I4703,2,FALSE)</f>
        <v>#N/A</v>
      </c>
      <c r="H4212" s="6" t="e">
        <f>VLOOKUP('Customer Info'!A4204,'Customer Info'!A4204:I4704,3,FALSE)</f>
        <v>#N/A</v>
      </c>
      <c r="I4212" s="6" t="e">
        <f>VLOOKUP('Customer Info'!A4204,'Customer Info'!A4204:I4703,5,FALSE)</f>
        <v>#N/A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1964</v>
      </c>
      <c r="R4212" s="2" t="s">
        <v>50</v>
      </c>
      <c r="S4212" s="9">
        <f t="shared" si="329"/>
        <v>0.05</v>
      </c>
    </row>
    <row r="4213" spans="1:19" x14ac:dyDescent="0.25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e">
        <f>VLOOKUP('Customer Info'!A4205,'Customer Info'!A4205:I4704,2,FALSE)</f>
        <v>#N/A</v>
      </c>
      <c r="H4213" s="6" t="e">
        <f>VLOOKUP('Customer Info'!A4205,'Customer Info'!A4205:I4705,3,FALSE)</f>
        <v>#N/A</v>
      </c>
      <c r="I4213" s="6" t="e">
        <f>VLOOKUP('Customer Info'!A4205,'Customer Info'!A4205:I4704,5,FALSE)</f>
        <v>#N/A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152</v>
      </c>
      <c r="R4213" s="2" t="s">
        <v>50</v>
      </c>
      <c r="S4213" s="9">
        <f t="shared" si="329"/>
        <v>0.02</v>
      </c>
    </row>
    <row r="4214" spans="1:19" x14ac:dyDescent="0.25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e">
        <f>VLOOKUP('Customer Info'!A4206,'Customer Info'!A4206:I4705,2,FALSE)</f>
        <v>#N/A</v>
      </c>
      <c r="H4214" s="6" t="e">
        <f>VLOOKUP('Customer Info'!A4206,'Customer Info'!A4206:I4706,3,FALSE)</f>
        <v>#N/A</v>
      </c>
      <c r="I4214" s="6" t="e">
        <f>VLOOKUP('Customer Info'!A4206,'Customer Info'!A4206:I4705,5,FALSE)</f>
        <v>#N/A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264</v>
      </c>
      <c r="R4214" s="2" t="s">
        <v>28</v>
      </c>
      <c r="S4214" s="9">
        <f t="shared" si="329"/>
        <v>0.02</v>
      </c>
    </row>
    <row r="4215" spans="1:19" x14ac:dyDescent="0.25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e">
        <f>VLOOKUP('Customer Info'!A4207,'Customer Info'!A4207:I4706,2,FALSE)</f>
        <v>#N/A</v>
      </c>
      <c r="H4215" s="6" t="e">
        <f>VLOOKUP('Customer Info'!A4207,'Customer Info'!A4207:I4707,3,FALSE)</f>
        <v>#N/A</v>
      </c>
      <c r="I4215" s="6" t="e">
        <f>VLOOKUP('Customer Info'!A4207,'Customer Info'!A4207:I4706,5,FALSE)</f>
        <v>#N/A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118</v>
      </c>
      <c r="R4215" s="2" t="s">
        <v>50</v>
      </c>
      <c r="S4215" s="9">
        <f t="shared" si="329"/>
        <v>0.02</v>
      </c>
    </row>
    <row r="4216" spans="1:19" x14ac:dyDescent="0.25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e">
        <f>VLOOKUP('Customer Info'!A4208,'Customer Info'!A4208:I4707,2,FALSE)</f>
        <v>#N/A</v>
      </c>
      <c r="H4216" s="6" t="e">
        <f>VLOOKUP('Customer Info'!A4208,'Customer Info'!A4208:I4708,3,FALSE)</f>
        <v>#N/A</v>
      </c>
      <c r="I4216" s="6" t="e">
        <f>VLOOKUP('Customer Info'!A4208,'Customer Info'!A4208:I4707,5,FALSE)</f>
        <v>#N/A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567</v>
      </c>
      <c r="R4216" s="2" t="s">
        <v>50</v>
      </c>
      <c r="S4216" s="9">
        <f t="shared" si="329"/>
        <v>0.05</v>
      </c>
    </row>
    <row r="4217" spans="1:19" x14ac:dyDescent="0.25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e">
        <f>VLOOKUP('Customer Info'!A4209,'Customer Info'!A4209:I4708,2,FALSE)</f>
        <v>#N/A</v>
      </c>
      <c r="H4217" s="6" t="e">
        <f>VLOOKUP('Customer Info'!A4209,'Customer Info'!A4209:I4709,3,FALSE)</f>
        <v>#N/A</v>
      </c>
      <c r="I4217" s="6" t="e">
        <f>VLOOKUP('Customer Info'!A4209,'Customer Info'!A4209:I4708,5,FALSE)</f>
        <v>#N/A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120</v>
      </c>
      <c r="R4217" s="2" t="s">
        <v>28</v>
      </c>
      <c r="S4217" s="9">
        <f t="shared" si="329"/>
        <v>0.02</v>
      </c>
    </row>
    <row r="4218" spans="1:19" x14ac:dyDescent="0.25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e">
        <f>VLOOKUP('Customer Info'!A4210,'Customer Info'!A4210:I4709,2,FALSE)</f>
        <v>#N/A</v>
      </c>
      <c r="H4218" s="6" t="e">
        <f>VLOOKUP('Customer Info'!A4210,'Customer Info'!A4210:I4710,3,FALSE)</f>
        <v>#N/A</v>
      </c>
      <c r="I4218" s="6" t="e">
        <f>VLOOKUP('Customer Info'!A4210,'Customer Info'!A4210:I4709,5,FALSE)</f>
        <v>#N/A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609</v>
      </c>
      <c r="R4218" s="2" t="s">
        <v>28</v>
      </c>
      <c r="S4218" s="9">
        <f t="shared" si="329"/>
        <v>0.05</v>
      </c>
    </row>
    <row r="4219" spans="1:19" x14ac:dyDescent="0.25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e">
        <f>VLOOKUP('Customer Info'!A4211,'Customer Info'!A4211:I4710,2,FALSE)</f>
        <v>#N/A</v>
      </c>
      <c r="H4219" s="6" t="e">
        <f>VLOOKUP('Customer Info'!A4211,'Customer Info'!A4211:I4711,3,FALSE)</f>
        <v>#N/A</v>
      </c>
      <c r="I4219" s="6" t="e">
        <f>VLOOKUP('Customer Info'!A4211,'Customer Info'!A4211:I4710,5,FALSE)</f>
        <v>#N/A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1047</v>
      </c>
      <c r="R4219" s="2" t="s">
        <v>50</v>
      </c>
      <c r="S4219" s="9">
        <f t="shared" si="329"/>
        <v>0.05</v>
      </c>
    </row>
    <row r="4220" spans="1:19" x14ac:dyDescent="0.25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e">
        <f>VLOOKUP('Customer Info'!A4212,'Customer Info'!A4212:I4711,2,FALSE)</f>
        <v>#N/A</v>
      </c>
      <c r="H4220" s="6" t="e">
        <f>VLOOKUP('Customer Info'!A4212,'Customer Info'!A4212:I4712,3,FALSE)</f>
        <v>#N/A</v>
      </c>
      <c r="I4220" s="6" t="e">
        <f>VLOOKUP('Customer Info'!A4212,'Customer Info'!A4212:I4711,5,FALSE)</f>
        <v>#N/A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338</v>
      </c>
      <c r="R4220" s="2" t="s">
        <v>50</v>
      </c>
      <c r="S4220" s="9">
        <f t="shared" si="329"/>
        <v>0.02</v>
      </c>
    </row>
    <row r="4221" spans="1:19" x14ac:dyDescent="0.25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e">
        <f>VLOOKUP('Customer Info'!A4213,'Customer Info'!A4213:I4712,2,FALSE)</f>
        <v>#N/A</v>
      </c>
      <c r="H4221" s="6" t="e">
        <f>VLOOKUP('Customer Info'!A4213,'Customer Info'!A4213:I4713,3,FALSE)</f>
        <v>#N/A</v>
      </c>
      <c r="I4221" s="6" t="e">
        <f>VLOOKUP('Customer Info'!A4213,'Customer Info'!A4213:I4712,5,FALSE)</f>
        <v>#N/A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12880</v>
      </c>
      <c r="R4221" s="2" t="s">
        <v>50</v>
      </c>
      <c r="S4221" s="9">
        <f t="shared" si="329"/>
        <v>0.12</v>
      </c>
    </row>
    <row r="4222" spans="1:19" x14ac:dyDescent="0.25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e">
        <f>VLOOKUP('Customer Info'!A4214,'Customer Info'!A4214:I4713,2,FALSE)</f>
        <v>#N/A</v>
      </c>
      <c r="H4222" s="6" t="e">
        <f>VLOOKUP('Customer Info'!A4214,'Customer Info'!A4214:I4714,3,FALSE)</f>
        <v>#N/A</v>
      </c>
      <c r="I4222" s="6" t="e">
        <f>VLOOKUP('Customer Info'!A4214,'Customer Info'!A4214:I4713,5,FALSE)</f>
        <v>#N/A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16</v>
      </c>
      <c r="R4222" s="2" t="s">
        <v>50</v>
      </c>
      <c r="S4222" s="9">
        <f t="shared" si="329"/>
        <v>0.02</v>
      </c>
    </row>
    <row r="4223" spans="1:19" x14ac:dyDescent="0.25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e">
        <f>VLOOKUP('Customer Info'!A4215,'Customer Info'!A4215:I4714,2,FALSE)</f>
        <v>#N/A</v>
      </c>
      <c r="H4223" s="6" t="e">
        <f>VLOOKUP('Customer Info'!A4215,'Customer Info'!A4215:I4715,3,FALSE)</f>
        <v>#N/A</v>
      </c>
      <c r="I4223" s="6" t="e">
        <f>VLOOKUP('Customer Info'!A4215,'Customer Info'!A4215:I4714,5,FALSE)</f>
        <v>#N/A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339</v>
      </c>
      <c r="R4223" s="2" t="s">
        <v>28</v>
      </c>
      <c r="S4223" s="9">
        <f t="shared" si="329"/>
        <v>0.05</v>
      </c>
    </row>
    <row r="4224" spans="1:19" x14ac:dyDescent="0.25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e">
        <f>VLOOKUP('Customer Info'!A4216,'Customer Info'!A4216:I4715,2,FALSE)</f>
        <v>#N/A</v>
      </c>
      <c r="H4224" s="6" t="e">
        <f>VLOOKUP('Customer Info'!A4216,'Customer Info'!A4216:I4716,3,FALSE)</f>
        <v>#N/A</v>
      </c>
      <c r="I4224" s="6" t="e">
        <f>VLOOKUP('Customer Info'!A4216,'Customer Info'!A4216:I4715,5,FALSE)</f>
        <v>#N/A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30</v>
      </c>
      <c r="R4224" s="2" t="s">
        <v>28</v>
      </c>
      <c r="S4224" s="9">
        <f t="shared" si="329"/>
        <v>0.02</v>
      </c>
    </row>
    <row r="4225" spans="1:19" x14ac:dyDescent="0.25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e">
        <f>VLOOKUP('Customer Info'!A4217,'Customer Info'!A4217:I4716,2,FALSE)</f>
        <v>#N/A</v>
      </c>
      <c r="H4225" s="6" t="e">
        <f>VLOOKUP('Customer Info'!A4217,'Customer Info'!A4217:I4717,3,FALSE)</f>
        <v>#N/A</v>
      </c>
      <c r="I4225" s="6" t="e">
        <f>VLOOKUP('Customer Info'!A4217,'Customer Info'!A4217:I4716,5,FALSE)</f>
        <v>#N/A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360</v>
      </c>
      <c r="R4225" s="2" t="s">
        <v>50</v>
      </c>
      <c r="S4225" s="9">
        <f t="shared" si="329"/>
        <v>0.02</v>
      </c>
    </row>
    <row r="4226" spans="1:19" x14ac:dyDescent="0.25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e">
        <f>VLOOKUP('Customer Info'!A4218,'Customer Info'!A4218:I4717,2,FALSE)</f>
        <v>#N/A</v>
      </c>
      <c r="H4226" s="6" t="e">
        <f>VLOOKUP('Customer Info'!A4218,'Customer Info'!A4218:I4718,3,FALSE)</f>
        <v>#N/A</v>
      </c>
      <c r="I4226" s="6" t="e">
        <f>VLOOKUP('Customer Info'!A4218,'Customer Info'!A4218:I4717,5,FALSE)</f>
        <v>#N/A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25</v>
      </c>
      <c r="R4226" s="2" t="s">
        <v>28</v>
      </c>
      <c r="S4226" s="9">
        <f t="shared" si="329"/>
        <v>0.02</v>
      </c>
    </row>
    <row r="4227" spans="1:19" x14ac:dyDescent="0.25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e">
        <f>VLOOKUP('Customer Info'!A4219,'Customer Info'!A4219:I4718,2,FALSE)</f>
        <v>#N/A</v>
      </c>
      <c r="H4227" s="6" t="e">
        <f>VLOOKUP('Customer Info'!A4219,'Customer Info'!A4219:I4719,3,FALSE)</f>
        <v>#N/A</v>
      </c>
      <c r="I4227" s="6" t="e">
        <f>VLOOKUP('Customer Info'!A4219,'Customer Info'!A4219:I4718,5,FALSE)</f>
        <v>#N/A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523</v>
      </c>
      <c r="R4227" s="2" t="s">
        <v>28</v>
      </c>
      <c r="S4227" s="9">
        <f t="shared" si="329"/>
        <v>0.05</v>
      </c>
    </row>
    <row r="4228" spans="1:19" x14ac:dyDescent="0.25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e">
        <f>VLOOKUP('Customer Info'!A4220,'Customer Info'!A4220:I4719,2,FALSE)</f>
        <v>#N/A</v>
      </c>
      <c r="H4228" s="6" t="e">
        <f>VLOOKUP('Customer Info'!A4220,'Customer Info'!A4220:I4720,3,FALSE)</f>
        <v>#N/A</v>
      </c>
      <c r="I4228" s="6" t="e">
        <f>VLOOKUP('Customer Info'!A4220,'Customer Info'!A4220:I4719,5,FALSE)</f>
        <v>#N/A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760</v>
      </c>
      <c r="R4228" s="2" t="s">
        <v>50</v>
      </c>
      <c r="S4228" s="9">
        <f t="shared" si="329"/>
        <v>0.05</v>
      </c>
    </row>
    <row r="4229" spans="1:19" x14ac:dyDescent="0.25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e">
        <f>VLOOKUP('Customer Info'!A4221,'Customer Info'!A4221:I4720,2,FALSE)</f>
        <v>#N/A</v>
      </c>
      <c r="H4229" s="6" t="e">
        <f>VLOOKUP('Customer Info'!A4221,'Customer Info'!A4221:I4721,3,FALSE)</f>
        <v>#N/A</v>
      </c>
      <c r="I4229" s="6" t="e">
        <f>VLOOKUP('Customer Info'!A4221,'Customer Info'!A4221:I4720,5,FALSE)</f>
        <v>#N/A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272</v>
      </c>
      <c r="R4229" s="2" t="s">
        <v>50</v>
      </c>
      <c r="S4229" s="9">
        <f t="shared" si="329"/>
        <v>0.02</v>
      </c>
    </row>
    <row r="4230" spans="1:19" x14ac:dyDescent="0.25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e">
        <f>VLOOKUP('Customer Info'!A4222,'Customer Info'!A4222:I4721,2,FALSE)</f>
        <v>#N/A</v>
      </c>
      <c r="H4230" s="6" t="e">
        <f>VLOOKUP('Customer Info'!A4222,'Customer Info'!A4222:I4722,3,FALSE)</f>
        <v>#N/A</v>
      </c>
      <c r="I4230" s="6" t="e">
        <f>VLOOKUP('Customer Info'!A4222,'Customer Info'!A4222:I4721,5,FALSE)</f>
        <v>#N/A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151</v>
      </c>
      <c r="R4230" s="2" t="s">
        <v>50</v>
      </c>
      <c r="S4230" s="9">
        <f t="shared" si="329"/>
        <v>0.02</v>
      </c>
    </row>
    <row r="4231" spans="1:19" x14ac:dyDescent="0.25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e">
        <f>VLOOKUP('Customer Info'!A4223,'Customer Info'!A4223:I4722,2,FALSE)</f>
        <v>#N/A</v>
      </c>
      <c r="H4231" s="6" t="e">
        <f>VLOOKUP('Customer Info'!A4223,'Customer Info'!A4223:I4723,3,FALSE)</f>
        <v>#N/A</v>
      </c>
      <c r="I4231" s="6" t="e">
        <f>VLOOKUP('Customer Info'!A4223,'Customer Info'!A4223:I4722,5,FALSE)</f>
        <v>#N/A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743</v>
      </c>
      <c r="R4231" s="2" t="s">
        <v>28</v>
      </c>
      <c r="S4231" s="9">
        <f t="shared" si="329"/>
        <v>0.05</v>
      </c>
    </row>
    <row r="4232" spans="1:19" x14ac:dyDescent="0.25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e">
        <f>VLOOKUP('Customer Info'!A4224,'Customer Info'!A4224:I4723,2,FALSE)</f>
        <v>#N/A</v>
      </c>
      <c r="H4232" s="6" t="e">
        <f>VLOOKUP('Customer Info'!A4224,'Customer Info'!A4224:I4724,3,FALSE)</f>
        <v>#N/A</v>
      </c>
      <c r="I4232" s="6" t="e">
        <f>VLOOKUP('Customer Info'!A4224,'Customer Info'!A4224:I4723,5,FALSE)</f>
        <v>#N/A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16</v>
      </c>
      <c r="R4232" s="2" t="s">
        <v>28</v>
      </c>
      <c r="S4232" s="9">
        <f t="shared" si="329"/>
        <v>0.02</v>
      </c>
    </row>
    <row r="4233" spans="1:19" x14ac:dyDescent="0.25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e">
        <f>VLOOKUP('Customer Info'!A4225,'Customer Info'!A4225:I4724,2,FALSE)</f>
        <v>#N/A</v>
      </c>
      <c r="H4233" s="6" t="e">
        <f>VLOOKUP('Customer Info'!A4225,'Customer Info'!A4225:I4725,3,FALSE)</f>
        <v>#N/A</v>
      </c>
      <c r="I4233" s="6" t="e">
        <f>VLOOKUP('Customer Info'!A4225,'Customer Info'!A4225:I4724,5,FALSE)</f>
        <v>#N/A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321</v>
      </c>
      <c r="R4233" s="2" t="s">
        <v>26</v>
      </c>
      <c r="S4233" s="9">
        <f t="shared" si="329"/>
        <v>0.02</v>
      </c>
    </row>
    <row r="4234" spans="1:19" x14ac:dyDescent="0.25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e">
        <f>VLOOKUP('Customer Info'!A4226,'Customer Info'!A4226:I4725,2,FALSE)</f>
        <v>#N/A</v>
      </c>
      <c r="H4234" s="6" t="e">
        <f>VLOOKUP('Customer Info'!A4226,'Customer Info'!A4226:I4726,3,FALSE)</f>
        <v>#N/A</v>
      </c>
      <c r="I4234" s="6" t="e">
        <f>VLOOKUP('Customer Info'!A4226,'Customer Info'!A4226:I4725,5,FALSE)</f>
        <v>#N/A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571</v>
      </c>
      <c r="R4234" s="2" t="s">
        <v>50</v>
      </c>
      <c r="S4234" s="9">
        <f t="shared" si="329"/>
        <v>0.05</v>
      </c>
    </row>
    <row r="4235" spans="1:19" x14ac:dyDescent="0.25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e">
        <f>VLOOKUP('Customer Info'!A4227,'Customer Info'!A4227:I4726,2,FALSE)</f>
        <v>#N/A</v>
      </c>
      <c r="H4235" s="6" t="e">
        <f>VLOOKUP('Customer Info'!A4227,'Customer Info'!A4227:I4727,3,FALSE)</f>
        <v>#N/A</v>
      </c>
      <c r="I4235" s="6" t="e">
        <f>VLOOKUP('Customer Info'!A4227,'Customer Info'!A4227:I4726,5,FALSE)</f>
        <v>#N/A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8">
        <f t="shared" ref="P4235:P4298" si="332">N4235+O4235</f>
        <v>3216</v>
      </c>
      <c r="Q4235" s="8">
        <f t="shared" ref="Q4235:Q4298" si="333">P4235-M4235</f>
        <v>294</v>
      </c>
      <c r="R4235" s="2" t="s">
        <v>28</v>
      </c>
      <c r="S4235" s="9">
        <f t="shared" ref="S4235:S4298" si="334">VLOOKUP(P4235,$T$2:$U$7,2,TRUE)</f>
        <v>0.02</v>
      </c>
    </row>
    <row r="4236" spans="1:19" x14ac:dyDescent="0.25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e">
        <f>VLOOKUP('Customer Info'!A4228,'Customer Info'!A4228:I4727,2,FALSE)</f>
        <v>#N/A</v>
      </c>
      <c r="H4236" s="6" t="e">
        <f>VLOOKUP('Customer Info'!A4228,'Customer Info'!A4228:I4728,3,FALSE)</f>
        <v>#N/A</v>
      </c>
      <c r="I4236" s="6" t="e">
        <f>VLOOKUP('Customer Info'!A4228,'Customer Info'!A4228:I4727,5,FALSE)</f>
        <v>#N/A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130</v>
      </c>
      <c r="R4236" s="2" t="s">
        <v>28</v>
      </c>
      <c r="S4236" s="9">
        <f t="shared" si="334"/>
        <v>0.02</v>
      </c>
    </row>
    <row r="4237" spans="1:19" x14ac:dyDescent="0.25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e">
        <f>VLOOKUP('Customer Info'!A4229,'Customer Info'!A4229:I4728,2,FALSE)</f>
        <v>#N/A</v>
      </c>
      <c r="H4237" s="6" t="e">
        <f>VLOOKUP('Customer Info'!A4229,'Customer Info'!A4229:I4729,3,FALSE)</f>
        <v>#N/A</v>
      </c>
      <c r="I4237" s="6" t="e">
        <f>VLOOKUP('Customer Info'!A4229,'Customer Info'!A4229:I4728,5,FALSE)</f>
        <v>#N/A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104</v>
      </c>
      <c r="R4237" s="2" t="s">
        <v>28</v>
      </c>
      <c r="S4237" s="9">
        <f t="shared" si="334"/>
        <v>0.02</v>
      </c>
    </row>
    <row r="4238" spans="1:19" x14ac:dyDescent="0.25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e">
        <f>VLOOKUP('Customer Info'!A4230,'Customer Info'!A4230:I4729,2,FALSE)</f>
        <v>#N/A</v>
      </c>
      <c r="H4238" s="6" t="e">
        <f>VLOOKUP('Customer Info'!A4230,'Customer Info'!A4230:I4730,3,FALSE)</f>
        <v>#N/A</v>
      </c>
      <c r="I4238" s="6" t="e">
        <f>VLOOKUP('Customer Info'!A4230,'Customer Info'!A4230:I4729,5,FALSE)</f>
        <v>#N/A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82</v>
      </c>
      <c r="R4238" s="2" t="s">
        <v>28</v>
      </c>
      <c r="S4238" s="9">
        <f t="shared" si="334"/>
        <v>0.02</v>
      </c>
    </row>
    <row r="4239" spans="1:19" x14ac:dyDescent="0.25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e">
        <f>VLOOKUP('Customer Info'!A4231,'Customer Info'!A4231:I4730,2,FALSE)</f>
        <v>#N/A</v>
      </c>
      <c r="H4239" s="6" t="e">
        <f>VLOOKUP('Customer Info'!A4231,'Customer Info'!A4231:I4731,3,FALSE)</f>
        <v>#N/A</v>
      </c>
      <c r="I4239" s="6" t="e">
        <f>VLOOKUP('Customer Info'!A4231,'Customer Info'!A4231:I4730,5,FALSE)</f>
        <v>#N/A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218</v>
      </c>
      <c r="R4239" s="2" t="s">
        <v>28</v>
      </c>
      <c r="S4239" s="9">
        <f t="shared" si="334"/>
        <v>0.02</v>
      </c>
    </row>
    <row r="4240" spans="1:19" x14ac:dyDescent="0.25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e">
        <f>VLOOKUP('Customer Info'!A4232,'Customer Info'!A4232:I4731,2,FALSE)</f>
        <v>#N/A</v>
      </c>
      <c r="H4240" s="6" t="e">
        <f>VLOOKUP('Customer Info'!A4232,'Customer Info'!A4232:I4732,3,FALSE)</f>
        <v>#N/A</v>
      </c>
      <c r="I4240" s="6" t="e">
        <f>VLOOKUP('Customer Info'!A4232,'Customer Info'!A4232:I4731,5,FALSE)</f>
        <v>#N/A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126</v>
      </c>
      <c r="R4240" s="2" t="s">
        <v>28</v>
      </c>
      <c r="S4240" s="9">
        <f t="shared" si="334"/>
        <v>0.02</v>
      </c>
    </row>
    <row r="4241" spans="1:19" x14ac:dyDescent="0.25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e">
        <f>VLOOKUP('Customer Info'!A4233,'Customer Info'!A4233:I4732,2,FALSE)</f>
        <v>#N/A</v>
      </c>
      <c r="H4241" s="6" t="e">
        <f>VLOOKUP('Customer Info'!A4233,'Customer Info'!A4233:I4733,3,FALSE)</f>
        <v>#N/A</v>
      </c>
      <c r="I4241" s="6" t="e">
        <f>VLOOKUP('Customer Info'!A4233,'Customer Info'!A4233:I4732,5,FALSE)</f>
        <v>#N/A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100</v>
      </c>
      <c r="R4241" s="2" t="s">
        <v>28</v>
      </c>
      <c r="S4241" s="9">
        <f t="shared" si="334"/>
        <v>0.02</v>
      </c>
    </row>
    <row r="4242" spans="1:19" x14ac:dyDescent="0.25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e">
        <f>VLOOKUP('Customer Info'!A4234,'Customer Info'!A4234:I4733,2,FALSE)</f>
        <v>#N/A</v>
      </c>
      <c r="H4242" s="6" t="e">
        <f>VLOOKUP('Customer Info'!A4234,'Customer Info'!A4234:I4734,3,FALSE)</f>
        <v>#N/A</v>
      </c>
      <c r="I4242" s="6" t="e">
        <f>VLOOKUP('Customer Info'!A4234,'Customer Info'!A4234:I4733,5,FALSE)</f>
        <v>#N/A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656</v>
      </c>
      <c r="R4242" s="2" t="s">
        <v>28</v>
      </c>
      <c r="S4242" s="9">
        <f t="shared" si="334"/>
        <v>0.05</v>
      </c>
    </row>
    <row r="4243" spans="1:19" x14ac:dyDescent="0.25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e">
        <f>VLOOKUP('Customer Info'!A4235,'Customer Info'!A4235:I4734,2,FALSE)</f>
        <v>#N/A</v>
      </c>
      <c r="H4243" s="6" t="e">
        <f>VLOOKUP('Customer Info'!A4235,'Customer Info'!A4235:I4735,3,FALSE)</f>
        <v>#N/A</v>
      </c>
      <c r="I4243" s="6" t="e">
        <f>VLOOKUP('Customer Info'!A4235,'Customer Info'!A4235:I4734,5,FALSE)</f>
        <v>#N/A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223</v>
      </c>
      <c r="R4243" s="2" t="s">
        <v>56</v>
      </c>
      <c r="S4243" s="9">
        <f t="shared" si="334"/>
        <v>0.02</v>
      </c>
    </row>
    <row r="4244" spans="1:19" x14ac:dyDescent="0.25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e">
        <f>VLOOKUP('Customer Info'!A4236,'Customer Info'!A4236:I4735,2,FALSE)</f>
        <v>#N/A</v>
      </c>
      <c r="H4244" s="6" t="e">
        <f>VLOOKUP('Customer Info'!A4236,'Customer Info'!A4236:I4736,3,FALSE)</f>
        <v>#N/A</v>
      </c>
      <c r="I4244" s="6" t="e">
        <f>VLOOKUP('Customer Info'!A4236,'Customer Info'!A4236:I4735,5,FALSE)</f>
        <v>#N/A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1232</v>
      </c>
      <c r="R4244" s="2" t="s">
        <v>50</v>
      </c>
      <c r="S4244" s="9">
        <f t="shared" si="334"/>
        <v>7.0000000000000007E-2</v>
      </c>
    </row>
    <row r="4245" spans="1:19" x14ac:dyDescent="0.25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e">
        <f>VLOOKUP('Customer Info'!A4237,'Customer Info'!A4237:I4736,2,FALSE)</f>
        <v>#N/A</v>
      </c>
      <c r="H4245" s="6" t="e">
        <f>VLOOKUP('Customer Info'!A4237,'Customer Info'!A4237:I4737,3,FALSE)</f>
        <v>#N/A</v>
      </c>
      <c r="I4245" s="6" t="e">
        <f>VLOOKUP('Customer Info'!A4237,'Customer Info'!A4237:I4736,5,FALSE)</f>
        <v>#N/A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417</v>
      </c>
      <c r="R4245" s="2" t="s">
        <v>26</v>
      </c>
      <c r="S4245" s="9">
        <f t="shared" si="334"/>
        <v>0.05</v>
      </c>
    </row>
    <row r="4246" spans="1:19" x14ac:dyDescent="0.25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e">
        <f>VLOOKUP('Customer Info'!A4238,'Customer Info'!A4238:I4737,2,FALSE)</f>
        <v>#N/A</v>
      </c>
      <c r="H4246" s="6" t="e">
        <f>VLOOKUP('Customer Info'!A4238,'Customer Info'!A4238:I4738,3,FALSE)</f>
        <v>#N/A</v>
      </c>
      <c r="I4246" s="6" t="e">
        <f>VLOOKUP('Customer Info'!A4238,'Customer Info'!A4238:I4737,5,FALSE)</f>
        <v>#N/A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317</v>
      </c>
      <c r="R4246" s="2" t="s">
        <v>50</v>
      </c>
      <c r="S4246" s="9">
        <f t="shared" si="334"/>
        <v>0.02</v>
      </c>
    </row>
    <row r="4247" spans="1:19" x14ac:dyDescent="0.25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e">
        <f>VLOOKUP('Customer Info'!A4239,'Customer Info'!A4239:I4738,2,FALSE)</f>
        <v>#N/A</v>
      </c>
      <c r="H4247" s="6" t="e">
        <f>VLOOKUP('Customer Info'!A4239,'Customer Info'!A4239:I4739,3,FALSE)</f>
        <v>#N/A</v>
      </c>
      <c r="I4247" s="6" t="e">
        <f>VLOOKUP('Customer Info'!A4239,'Customer Info'!A4239:I4738,5,FALSE)</f>
        <v>#N/A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171</v>
      </c>
      <c r="R4247" s="2" t="s">
        <v>28</v>
      </c>
      <c r="S4247" s="9">
        <f t="shared" si="334"/>
        <v>0.02</v>
      </c>
    </row>
    <row r="4248" spans="1:19" x14ac:dyDescent="0.25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e">
        <f>VLOOKUP('Customer Info'!A4240,'Customer Info'!A4240:I4739,2,FALSE)</f>
        <v>#N/A</v>
      </c>
      <c r="H4248" s="6" t="e">
        <f>VLOOKUP('Customer Info'!A4240,'Customer Info'!A4240:I4740,3,FALSE)</f>
        <v>#N/A</v>
      </c>
      <c r="I4248" s="6" t="e">
        <f>VLOOKUP('Customer Info'!A4240,'Customer Info'!A4240:I4739,5,FALSE)</f>
        <v>#N/A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1081</v>
      </c>
      <c r="R4248" s="2" t="s">
        <v>28</v>
      </c>
      <c r="S4248" s="9">
        <f t="shared" si="334"/>
        <v>0.05</v>
      </c>
    </row>
    <row r="4249" spans="1:19" x14ac:dyDescent="0.25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e">
        <f>VLOOKUP('Customer Info'!A4241,'Customer Info'!A4241:I4740,2,FALSE)</f>
        <v>#N/A</v>
      </c>
      <c r="H4249" s="6" t="e">
        <f>VLOOKUP('Customer Info'!A4241,'Customer Info'!A4241:I4741,3,FALSE)</f>
        <v>#N/A</v>
      </c>
      <c r="I4249" s="6" t="e">
        <f>VLOOKUP('Customer Info'!A4241,'Customer Info'!A4241:I4740,5,FALSE)</f>
        <v>#N/A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175</v>
      </c>
      <c r="R4249" s="2" t="s">
        <v>28</v>
      </c>
      <c r="S4249" s="9">
        <f t="shared" si="334"/>
        <v>0.02</v>
      </c>
    </row>
    <row r="4250" spans="1:19" x14ac:dyDescent="0.25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e">
        <f>VLOOKUP('Customer Info'!A4242,'Customer Info'!A4242:I4741,2,FALSE)</f>
        <v>#N/A</v>
      </c>
      <c r="H4250" s="6" t="e">
        <f>VLOOKUP('Customer Info'!A4242,'Customer Info'!A4242:I4742,3,FALSE)</f>
        <v>#N/A</v>
      </c>
      <c r="I4250" s="6" t="e">
        <f>VLOOKUP('Customer Info'!A4242,'Customer Info'!A4242:I4741,5,FALSE)</f>
        <v>#N/A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3691</v>
      </c>
      <c r="R4250" s="2" t="s">
        <v>28</v>
      </c>
      <c r="S4250" s="9">
        <f t="shared" si="334"/>
        <v>7.0000000000000007E-2</v>
      </c>
    </row>
    <row r="4251" spans="1:19" x14ac:dyDescent="0.25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e">
        <f>VLOOKUP('Customer Info'!A4243,'Customer Info'!A4243:I4742,2,FALSE)</f>
        <v>#N/A</v>
      </c>
      <c r="H4251" s="6" t="e">
        <f>VLOOKUP('Customer Info'!A4243,'Customer Info'!A4243:I4743,3,FALSE)</f>
        <v>#N/A</v>
      </c>
      <c r="I4251" s="6" t="e">
        <f>VLOOKUP('Customer Info'!A4243,'Customer Info'!A4243:I4742,5,FALSE)</f>
        <v>#N/A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22</v>
      </c>
      <c r="R4251" s="2" t="s">
        <v>28</v>
      </c>
      <c r="S4251" s="9">
        <f t="shared" si="334"/>
        <v>0.02</v>
      </c>
    </row>
    <row r="4252" spans="1:19" x14ac:dyDescent="0.25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e">
        <f>VLOOKUP('Customer Info'!A4244,'Customer Info'!A4244:I4743,2,FALSE)</f>
        <v>#N/A</v>
      </c>
      <c r="H4252" s="6" t="e">
        <f>VLOOKUP('Customer Info'!A4244,'Customer Info'!A4244:I4744,3,FALSE)</f>
        <v>#N/A</v>
      </c>
      <c r="I4252" s="6" t="e">
        <f>VLOOKUP('Customer Info'!A4244,'Customer Info'!A4244:I4743,5,FALSE)</f>
        <v>#N/A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268</v>
      </c>
      <c r="R4252" s="2" t="s">
        <v>28</v>
      </c>
      <c r="S4252" s="9">
        <f t="shared" si="334"/>
        <v>0.02</v>
      </c>
    </row>
    <row r="4253" spans="1:19" x14ac:dyDescent="0.25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e">
        <f>VLOOKUP('Customer Info'!A4245,'Customer Info'!A4245:I4744,2,FALSE)</f>
        <v>#N/A</v>
      </c>
      <c r="H4253" s="6" t="e">
        <f>VLOOKUP('Customer Info'!A4245,'Customer Info'!A4245:I4745,3,FALSE)</f>
        <v>#N/A</v>
      </c>
      <c r="I4253" s="6" t="e">
        <f>VLOOKUP('Customer Info'!A4245,'Customer Info'!A4245:I4744,5,FALSE)</f>
        <v>#N/A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18</v>
      </c>
      <c r="R4253" s="2" t="s">
        <v>28</v>
      </c>
      <c r="S4253" s="9">
        <f t="shared" si="334"/>
        <v>0.02</v>
      </c>
    </row>
    <row r="4254" spans="1:19" x14ac:dyDescent="0.25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e">
        <f>VLOOKUP('Customer Info'!A4246,'Customer Info'!A4246:I4745,2,FALSE)</f>
        <v>#N/A</v>
      </c>
      <c r="H4254" s="6" t="e">
        <f>VLOOKUP('Customer Info'!A4246,'Customer Info'!A4246:I4746,3,FALSE)</f>
        <v>#N/A</v>
      </c>
      <c r="I4254" s="6" t="e">
        <f>VLOOKUP('Customer Info'!A4246,'Customer Info'!A4246:I4745,5,FALSE)</f>
        <v>#N/A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1323</v>
      </c>
      <c r="R4254" s="2" t="s">
        <v>28</v>
      </c>
      <c r="S4254" s="9">
        <f t="shared" si="334"/>
        <v>0.05</v>
      </c>
    </row>
    <row r="4255" spans="1:19" x14ac:dyDescent="0.25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e">
        <f>VLOOKUP('Customer Info'!A4247,'Customer Info'!A4247:I4746,2,FALSE)</f>
        <v>#N/A</v>
      </c>
      <c r="H4255" s="6" t="e">
        <f>VLOOKUP('Customer Info'!A4247,'Customer Info'!A4247:I4747,3,FALSE)</f>
        <v>#N/A</v>
      </c>
      <c r="I4255" s="6" t="e">
        <f>VLOOKUP('Customer Info'!A4247,'Customer Info'!A4247:I4746,5,FALSE)</f>
        <v>#N/A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7214</v>
      </c>
      <c r="R4255" s="2" t="s">
        <v>50</v>
      </c>
      <c r="S4255" s="9">
        <f t="shared" si="334"/>
        <v>0.09</v>
      </c>
    </row>
    <row r="4256" spans="1:19" x14ac:dyDescent="0.25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e">
        <f>VLOOKUP('Customer Info'!A4248,'Customer Info'!A4248:I4747,2,FALSE)</f>
        <v>#N/A</v>
      </c>
      <c r="H4256" s="6" t="e">
        <f>VLOOKUP('Customer Info'!A4248,'Customer Info'!A4248:I4748,3,FALSE)</f>
        <v>#N/A</v>
      </c>
      <c r="I4256" s="6" t="e">
        <f>VLOOKUP('Customer Info'!A4248,'Customer Info'!A4248:I4747,5,FALSE)</f>
        <v>#N/A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989</v>
      </c>
      <c r="R4256" s="2" t="s">
        <v>50</v>
      </c>
      <c r="S4256" s="9">
        <f t="shared" si="334"/>
        <v>0.05</v>
      </c>
    </row>
    <row r="4257" spans="1:19" x14ac:dyDescent="0.25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e">
        <f>VLOOKUP('Customer Info'!A4249,'Customer Info'!A4249:I4748,2,FALSE)</f>
        <v>#N/A</v>
      </c>
      <c r="H4257" s="6" t="e">
        <f>VLOOKUP('Customer Info'!A4249,'Customer Info'!A4249:I4749,3,FALSE)</f>
        <v>#N/A</v>
      </c>
      <c r="I4257" s="6" t="e">
        <f>VLOOKUP('Customer Info'!A4249,'Customer Info'!A4249:I4748,5,FALSE)</f>
        <v>#N/A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139</v>
      </c>
      <c r="R4257" s="2" t="s">
        <v>28</v>
      </c>
      <c r="S4257" s="9">
        <f t="shared" si="334"/>
        <v>0.02</v>
      </c>
    </row>
    <row r="4258" spans="1:19" x14ac:dyDescent="0.25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e">
        <f>VLOOKUP('Customer Info'!A4250,'Customer Info'!A4250:I4749,2,FALSE)</f>
        <v>#N/A</v>
      </c>
      <c r="H4258" s="6" t="e">
        <f>VLOOKUP('Customer Info'!A4250,'Customer Info'!A4250:I4750,3,FALSE)</f>
        <v>#N/A</v>
      </c>
      <c r="I4258" s="6" t="e">
        <f>VLOOKUP('Customer Info'!A4250,'Customer Info'!A4250:I4749,5,FALSE)</f>
        <v>#N/A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15908</v>
      </c>
      <c r="R4258" s="2" t="s">
        <v>50</v>
      </c>
      <c r="S4258" s="9">
        <f t="shared" si="334"/>
        <v>0.12</v>
      </c>
    </row>
    <row r="4259" spans="1:19" x14ac:dyDescent="0.25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e">
        <f>VLOOKUP('Customer Info'!A4251,'Customer Info'!A4251:I4750,2,FALSE)</f>
        <v>#N/A</v>
      </c>
      <c r="H4259" s="6" t="e">
        <f>VLOOKUP('Customer Info'!A4251,'Customer Info'!A4251:I4751,3,FALSE)</f>
        <v>#N/A</v>
      </c>
      <c r="I4259" s="6" t="e">
        <f>VLOOKUP('Customer Info'!A4251,'Customer Info'!A4251:I4750,5,FALSE)</f>
        <v>#N/A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507</v>
      </c>
      <c r="R4259" s="2" t="s">
        <v>56</v>
      </c>
      <c r="S4259" s="9">
        <f t="shared" si="334"/>
        <v>0.05</v>
      </c>
    </row>
    <row r="4260" spans="1:19" x14ac:dyDescent="0.25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e">
        <f>VLOOKUP('Customer Info'!A4252,'Customer Info'!A4252:I4751,2,FALSE)</f>
        <v>#N/A</v>
      </c>
      <c r="H4260" s="6" t="e">
        <f>VLOOKUP('Customer Info'!A4252,'Customer Info'!A4252:I4752,3,FALSE)</f>
        <v>#N/A</v>
      </c>
      <c r="I4260" s="6" t="e">
        <f>VLOOKUP('Customer Info'!A4252,'Customer Info'!A4252:I4751,5,FALSE)</f>
        <v>#N/A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148</v>
      </c>
      <c r="R4260" s="2" t="s">
        <v>28</v>
      </c>
      <c r="S4260" s="9">
        <f t="shared" si="334"/>
        <v>0.02</v>
      </c>
    </row>
    <row r="4261" spans="1:19" x14ac:dyDescent="0.25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e">
        <f>VLOOKUP('Customer Info'!A4253,'Customer Info'!A4253:I4752,2,FALSE)</f>
        <v>#N/A</v>
      </c>
      <c r="H4261" s="6" t="e">
        <f>VLOOKUP('Customer Info'!A4253,'Customer Info'!A4253:I4753,3,FALSE)</f>
        <v>#N/A</v>
      </c>
      <c r="I4261" s="6" t="e">
        <f>VLOOKUP('Customer Info'!A4253,'Customer Info'!A4253:I4752,5,FALSE)</f>
        <v>#N/A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385</v>
      </c>
      <c r="R4261" s="2" t="s">
        <v>28</v>
      </c>
      <c r="S4261" s="9">
        <f t="shared" si="334"/>
        <v>0.05</v>
      </c>
    </row>
    <row r="4262" spans="1:19" x14ac:dyDescent="0.25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e">
        <f>VLOOKUP('Customer Info'!A4254,'Customer Info'!A4254:I4753,2,FALSE)</f>
        <v>#N/A</v>
      </c>
      <c r="H4262" s="6" t="e">
        <f>VLOOKUP('Customer Info'!A4254,'Customer Info'!A4254:I4754,3,FALSE)</f>
        <v>#N/A</v>
      </c>
      <c r="I4262" s="6" t="e">
        <f>VLOOKUP('Customer Info'!A4254,'Customer Info'!A4254:I4753,5,FALSE)</f>
        <v>#N/A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707</v>
      </c>
      <c r="R4262" s="2" t="s">
        <v>50</v>
      </c>
      <c r="S4262" s="9">
        <f t="shared" si="334"/>
        <v>0.05</v>
      </c>
    </row>
    <row r="4263" spans="1:19" x14ac:dyDescent="0.25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e">
        <f>VLOOKUP('Customer Info'!A4255,'Customer Info'!A4255:I4754,2,FALSE)</f>
        <v>#N/A</v>
      </c>
      <c r="H4263" s="6" t="e">
        <f>VLOOKUP('Customer Info'!A4255,'Customer Info'!A4255:I4755,3,FALSE)</f>
        <v>#N/A</v>
      </c>
      <c r="I4263" s="6" t="e">
        <f>VLOOKUP('Customer Info'!A4255,'Customer Info'!A4255:I4754,5,FALSE)</f>
        <v>#N/A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42</v>
      </c>
      <c r="R4263" s="2" t="s">
        <v>28</v>
      </c>
      <c r="S4263" s="9">
        <f t="shared" si="334"/>
        <v>0.02</v>
      </c>
    </row>
    <row r="4264" spans="1:19" x14ac:dyDescent="0.25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e">
        <f>VLOOKUP('Customer Info'!A4256,'Customer Info'!A4256:I4755,2,FALSE)</f>
        <v>#N/A</v>
      </c>
      <c r="H4264" s="6" t="e">
        <f>VLOOKUP('Customer Info'!A4256,'Customer Info'!A4256:I4756,3,FALSE)</f>
        <v>#N/A</v>
      </c>
      <c r="I4264" s="6" t="e">
        <f>VLOOKUP('Customer Info'!A4256,'Customer Info'!A4256:I4755,5,FALSE)</f>
        <v>#N/A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727</v>
      </c>
      <c r="R4264" s="2" t="s">
        <v>28</v>
      </c>
      <c r="S4264" s="9">
        <f t="shared" si="334"/>
        <v>0.05</v>
      </c>
    </row>
    <row r="4265" spans="1:19" x14ac:dyDescent="0.25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e">
        <f>VLOOKUP('Customer Info'!A4257,'Customer Info'!A4257:I4756,2,FALSE)</f>
        <v>#N/A</v>
      </c>
      <c r="H4265" s="6" t="e">
        <f>VLOOKUP('Customer Info'!A4257,'Customer Info'!A4257:I4757,3,FALSE)</f>
        <v>#N/A</v>
      </c>
      <c r="I4265" s="6" t="e">
        <f>VLOOKUP('Customer Info'!A4257,'Customer Info'!A4257:I4756,5,FALSE)</f>
        <v>#N/A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280</v>
      </c>
      <c r="R4265" s="2" t="s">
        <v>28</v>
      </c>
      <c r="S4265" s="9">
        <f t="shared" si="334"/>
        <v>0.05</v>
      </c>
    </row>
    <row r="4266" spans="1:19" x14ac:dyDescent="0.25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e">
        <f>VLOOKUP('Customer Info'!A4258,'Customer Info'!A4258:I4757,2,FALSE)</f>
        <v>#N/A</v>
      </c>
      <c r="H4266" s="6" t="e">
        <f>VLOOKUP('Customer Info'!A4258,'Customer Info'!A4258:I4758,3,FALSE)</f>
        <v>#N/A</v>
      </c>
      <c r="I4266" s="6" t="e">
        <f>VLOOKUP('Customer Info'!A4258,'Customer Info'!A4258:I4757,5,FALSE)</f>
        <v>#N/A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90</v>
      </c>
      <c r="R4266" s="2" t="s">
        <v>28</v>
      </c>
      <c r="S4266" s="9">
        <f t="shared" si="334"/>
        <v>0.02</v>
      </c>
    </row>
    <row r="4267" spans="1:19" x14ac:dyDescent="0.25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e">
        <f>VLOOKUP('Customer Info'!A4259,'Customer Info'!A4259:I4758,2,FALSE)</f>
        <v>#N/A</v>
      </c>
      <c r="H4267" s="6" t="e">
        <f>VLOOKUP('Customer Info'!A4259,'Customer Info'!A4259:I4759,3,FALSE)</f>
        <v>#N/A</v>
      </c>
      <c r="I4267" s="6" t="e">
        <f>VLOOKUP('Customer Info'!A4259,'Customer Info'!A4259:I4758,5,FALSE)</f>
        <v>#N/A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737</v>
      </c>
      <c r="R4267" s="2" t="s">
        <v>28</v>
      </c>
      <c r="S4267" s="9">
        <f t="shared" si="334"/>
        <v>0.05</v>
      </c>
    </row>
    <row r="4268" spans="1:19" x14ac:dyDescent="0.25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e">
        <f>VLOOKUP('Customer Info'!A4260,'Customer Info'!A4260:I4759,2,FALSE)</f>
        <v>#N/A</v>
      </c>
      <c r="H4268" s="6" t="e">
        <f>VLOOKUP('Customer Info'!A4260,'Customer Info'!A4260:I4760,3,FALSE)</f>
        <v>#N/A</v>
      </c>
      <c r="I4268" s="6" t="e">
        <f>VLOOKUP('Customer Info'!A4260,'Customer Info'!A4260:I4759,5,FALSE)</f>
        <v>#N/A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691</v>
      </c>
      <c r="R4268" s="2" t="s">
        <v>50</v>
      </c>
      <c r="S4268" s="9">
        <f t="shared" si="334"/>
        <v>0.05</v>
      </c>
    </row>
    <row r="4269" spans="1:19" x14ac:dyDescent="0.25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e">
        <f>VLOOKUP('Customer Info'!A4261,'Customer Info'!A4261:I4760,2,FALSE)</f>
        <v>#N/A</v>
      </c>
      <c r="H4269" s="6" t="e">
        <f>VLOOKUP('Customer Info'!A4261,'Customer Info'!A4261:I4761,3,FALSE)</f>
        <v>#N/A</v>
      </c>
      <c r="I4269" s="6" t="e">
        <f>VLOOKUP('Customer Info'!A4261,'Customer Info'!A4261:I4760,5,FALSE)</f>
        <v>#N/A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655</v>
      </c>
      <c r="R4269" s="2" t="s">
        <v>28</v>
      </c>
      <c r="S4269" s="9">
        <f t="shared" si="334"/>
        <v>0.05</v>
      </c>
    </row>
    <row r="4270" spans="1:19" x14ac:dyDescent="0.25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e">
        <f>VLOOKUP('Customer Info'!A4262,'Customer Info'!A4262:I4761,2,FALSE)</f>
        <v>#N/A</v>
      </c>
      <c r="H4270" s="6" t="e">
        <f>VLOOKUP('Customer Info'!A4262,'Customer Info'!A4262:I4762,3,FALSE)</f>
        <v>#N/A</v>
      </c>
      <c r="I4270" s="6" t="e">
        <f>VLOOKUP('Customer Info'!A4262,'Customer Info'!A4262:I4761,5,FALSE)</f>
        <v>#N/A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45</v>
      </c>
      <c r="R4270" s="2" t="s">
        <v>28</v>
      </c>
      <c r="S4270" s="9">
        <f t="shared" si="334"/>
        <v>0.02</v>
      </c>
    </row>
    <row r="4271" spans="1:19" x14ac:dyDescent="0.25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e">
        <f>VLOOKUP('Customer Info'!A4263,'Customer Info'!A4263:I4762,2,FALSE)</f>
        <v>#N/A</v>
      </c>
      <c r="H4271" s="6" t="e">
        <f>VLOOKUP('Customer Info'!A4263,'Customer Info'!A4263:I4763,3,FALSE)</f>
        <v>#N/A</v>
      </c>
      <c r="I4271" s="6" t="e">
        <f>VLOOKUP('Customer Info'!A4263,'Customer Info'!A4263:I4762,5,FALSE)</f>
        <v>#N/A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4220</v>
      </c>
      <c r="R4271" s="2" t="s">
        <v>28</v>
      </c>
      <c r="S4271" s="9">
        <f t="shared" si="334"/>
        <v>0.09</v>
      </c>
    </row>
    <row r="4272" spans="1:19" x14ac:dyDescent="0.25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e">
        <f>VLOOKUP('Customer Info'!A4264,'Customer Info'!A4264:I4763,2,FALSE)</f>
        <v>#N/A</v>
      </c>
      <c r="H4272" s="6" t="e">
        <f>VLOOKUP('Customer Info'!A4264,'Customer Info'!A4264:I4764,3,FALSE)</f>
        <v>#N/A</v>
      </c>
      <c r="I4272" s="6" t="e">
        <f>VLOOKUP('Customer Info'!A4264,'Customer Info'!A4264:I4763,5,FALSE)</f>
        <v>#N/A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564</v>
      </c>
      <c r="R4272" s="2" t="s">
        <v>56</v>
      </c>
      <c r="S4272" s="9">
        <f t="shared" si="334"/>
        <v>0.05</v>
      </c>
    </row>
    <row r="4273" spans="1:19" x14ac:dyDescent="0.25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e">
        <f>VLOOKUP('Customer Info'!A4265,'Customer Info'!A4265:I4764,2,FALSE)</f>
        <v>#N/A</v>
      </c>
      <c r="H4273" s="6" t="e">
        <f>VLOOKUP('Customer Info'!A4265,'Customer Info'!A4265:I4765,3,FALSE)</f>
        <v>#N/A</v>
      </c>
      <c r="I4273" s="6" t="e">
        <f>VLOOKUP('Customer Info'!A4265,'Customer Info'!A4265:I4764,5,FALSE)</f>
        <v>#N/A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236</v>
      </c>
      <c r="R4273" s="2" t="s">
        <v>28</v>
      </c>
      <c r="S4273" s="9">
        <f t="shared" si="334"/>
        <v>0.02</v>
      </c>
    </row>
    <row r="4274" spans="1:19" x14ac:dyDescent="0.25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e">
        <f>VLOOKUP('Customer Info'!A4266,'Customer Info'!A4266:I4765,2,FALSE)</f>
        <v>#N/A</v>
      </c>
      <c r="H4274" s="6" t="e">
        <f>VLOOKUP('Customer Info'!A4266,'Customer Info'!A4266:I4766,3,FALSE)</f>
        <v>#N/A</v>
      </c>
      <c r="I4274" s="6" t="e">
        <f>VLOOKUP('Customer Info'!A4266,'Customer Info'!A4266:I4765,5,FALSE)</f>
        <v>#N/A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636</v>
      </c>
      <c r="R4274" s="2" t="s">
        <v>28</v>
      </c>
      <c r="S4274" s="9">
        <f t="shared" si="334"/>
        <v>0.05</v>
      </c>
    </row>
    <row r="4275" spans="1:19" x14ac:dyDescent="0.25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e">
        <f>VLOOKUP('Customer Info'!A4267,'Customer Info'!A4267:I4766,2,FALSE)</f>
        <v>#N/A</v>
      </c>
      <c r="H4275" s="6" t="e">
        <f>VLOOKUP('Customer Info'!A4267,'Customer Info'!A4267:I4767,3,FALSE)</f>
        <v>#N/A</v>
      </c>
      <c r="I4275" s="6" t="e">
        <f>VLOOKUP('Customer Info'!A4267,'Customer Info'!A4267:I4766,5,FALSE)</f>
        <v>#N/A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48</v>
      </c>
      <c r="R4275" s="2" t="s">
        <v>50</v>
      </c>
      <c r="S4275" s="9">
        <f t="shared" si="334"/>
        <v>0.02</v>
      </c>
    </row>
    <row r="4276" spans="1:19" x14ac:dyDescent="0.25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e">
        <f>VLOOKUP('Customer Info'!A4268,'Customer Info'!A4268:I4767,2,FALSE)</f>
        <v>#N/A</v>
      </c>
      <c r="H4276" s="6" t="e">
        <f>VLOOKUP('Customer Info'!A4268,'Customer Info'!A4268:I4768,3,FALSE)</f>
        <v>#N/A</v>
      </c>
      <c r="I4276" s="6" t="e">
        <f>VLOOKUP('Customer Info'!A4268,'Customer Info'!A4268:I4767,5,FALSE)</f>
        <v>#N/A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155</v>
      </c>
      <c r="R4276" s="2" t="s">
        <v>28</v>
      </c>
      <c r="S4276" s="9">
        <f t="shared" si="334"/>
        <v>0.02</v>
      </c>
    </row>
    <row r="4277" spans="1:19" x14ac:dyDescent="0.25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e">
        <f>VLOOKUP('Customer Info'!A4269,'Customer Info'!A4269:I4768,2,FALSE)</f>
        <v>#N/A</v>
      </c>
      <c r="H4277" s="6" t="e">
        <f>VLOOKUP('Customer Info'!A4269,'Customer Info'!A4269:I4769,3,FALSE)</f>
        <v>#N/A</v>
      </c>
      <c r="I4277" s="6" t="e">
        <f>VLOOKUP('Customer Info'!A4269,'Customer Info'!A4269:I4768,5,FALSE)</f>
        <v>#N/A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156</v>
      </c>
      <c r="R4277" s="2" t="s">
        <v>50</v>
      </c>
      <c r="S4277" s="9">
        <f t="shared" si="334"/>
        <v>0.02</v>
      </c>
    </row>
    <row r="4278" spans="1:19" x14ac:dyDescent="0.25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e">
        <f>VLOOKUP('Customer Info'!A4270,'Customer Info'!A4270:I4769,2,FALSE)</f>
        <v>#N/A</v>
      </c>
      <c r="H4278" s="6" t="e">
        <f>VLOOKUP('Customer Info'!A4270,'Customer Info'!A4270:I4770,3,FALSE)</f>
        <v>#N/A</v>
      </c>
      <c r="I4278" s="6" t="e">
        <f>VLOOKUP('Customer Info'!A4270,'Customer Info'!A4270:I4769,5,FALSE)</f>
        <v>#N/A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228</v>
      </c>
      <c r="R4278" s="2" t="s">
        <v>28</v>
      </c>
      <c r="S4278" s="9">
        <f t="shared" si="334"/>
        <v>0.02</v>
      </c>
    </row>
    <row r="4279" spans="1:19" x14ac:dyDescent="0.25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e">
        <f>VLOOKUP('Customer Info'!A4271,'Customer Info'!A4271:I4770,2,FALSE)</f>
        <v>#N/A</v>
      </c>
      <c r="H4279" s="6" t="e">
        <f>VLOOKUP('Customer Info'!A4271,'Customer Info'!A4271:I4771,3,FALSE)</f>
        <v>#N/A</v>
      </c>
      <c r="I4279" s="6" t="e">
        <f>VLOOKUP('Customer Info'!A4271,'Customer Info'!A4271:I4770,5,FALSE)</f>
        <v>#N/A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7249</v>
      </c>
      <c r="R4279" s="2" t="s">
        <v>28</v>
      </c>
      <c r="S4279" s="9">
        <f t="shared" si="334"/>
        <v>0.09</v>
      </c>
    </row>
    <row r="4280" spans="1:19" x14ac:dyDescent="0.25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e">
        <f>VLOOKUP('Customer Info'!A4272,'Customer Info'!A4272:I4771,2,FALSE)</f>
        <v>#N/A</v>
      </c>
      <c r="H4280" s="6" t="e">
        <f>VLOOKUP('Customer Info'!A4272,'Customer Info'!A4272:I4772,3,FALSE)</f>
        <v>#N/A</v>
      </c>
      <c r="I4280" s="6" t="e">
        <f>VLOOKUP('Customer Info'!A4272,'Customer Info'!A4272:I4771,5,FALSE)</f>
        <v>#N/A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756</v>
      </c>
      <c r="R4280" s="2" t="s">
        <v>28</v>
      </c>
      <c r="S4280" s="9">
        <f t="shared" si="334"/>
        <v>0.05</v>
      </c>
    </row>
    <row r="4281" spans="1:19" x14ac:dyDescent="0.25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e">
        <f>VLOOKUP('Customer Info'!A4273,'Customer Info'!A4273:I4772,2,FALSE)</f>
        <v>#N/A</v>
      </c>
      <c r="H4281" s="6" t="e">
        <f>VLOOKUP('Customer Info'!A4273,'Customer Info'!A4273:I4773,3,FALSE)</f>
        <v>#N/A</v>
      </c>
      <c r="I4281" s="6" t="e">
        <f>VLOOKUP('Customer Info'!A4273,'Customer Info'!A4273:I4772,5,FALSE)</f>
        <v>#N/A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113</v>
      </c>
      <c r="R4281" s="2" t="s">
        <v>28</v>
      </c>
      <c r="S4281" s="9">
        <f t="shared" si="334"/>
        <v>0.02</v>
      </c>
    </row>
    <row r="4282" spans="1:19" x14ac:dyDescent="0.25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e">
        <f>VLOOKUP('Customer Info'!A4274,'Customer Info'!A4274:I4773,2,FALSE)</f>
        <v>#N/A</v>
      </c>
      <c r="H4282" s="6" t="e">
        <f>VLOOKUP('Customer Info'!A4274,'Customer Info'!A4274:I4774,3,FALSE)</f>
        <v>#N/A</v>
      </c>
      <c r="I4282" s="6" t="e">
        <f>VLOOKUP('Customer Info'!A4274,'Customer Info'!A4274:I4773,5,FALSE)</f>
        <v>#N/A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2223</v>
      </c>
      <c r="R4282" s="2" t="s">
        <v>56</v>
      </c>
      <c r="S4282" s="9">
        <f t="shared" si="334"/>
        <v>7.0000000000000007E-2</v>
      </c>
    </row>
    <row r="4283" spans="1:19" x14ac:dyDescent="0.25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e">
        <f>VLOOKUP('Customer Info'!A4275,'Customer Info'!A4275:I4774,2,FALSE)</f>
        <v>#N/A</v>
      </c>
      <c r="H4283" s="6" t="e">
        <f>VLOOKUP('Customer Info'!A4275,'Customer Info'!A4275:I4775,3,FALSE)</f>
        <v>#N/A</v>
      </c>
      <c r="I4283" s="6" t="e">
        <f>VLOOKUP('Customer Info'!A4275,'Customer Info'!A4275:I4774,5,FALSE)</f>
        <v>#N/A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1294</v>
      </c>
      <c r="R4283" s="2" t="s">
        <v>28</v>
      </c>
      <c r="S4283" s="9">
        <f t="shared" si="334"/>
        <v>0.05</v>
      </c>
    </row>
    <row r="4284" spans="1:19" x14ac:dyDescent="0.25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e">
        <f>VLOOKUP('Customer Info'!A4276,'Customer Info'!A4276:I4775,2,FALSE)</f>
        <v>#N/A</v>
      </c>
      <c r="H4284" s="6" t="e">
        <f>VLOOKUP('Customer Info'!A4276,'Customer Info'!A4276:I4776,3,FALSE)</f>
        <v>#N/A</v>
      </c>
      <c r="I4284" s="6" t="e">
        <f>VLOOKUP('Customer Info'!A4276,'Customer Info'!A4276:I4775,5,FALSE)</f>
        <v>#N/A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165</v>
      </c>
      <c r="R4284" s="2" t="s">
        <v>28</v>
      </c>
      <c r="S4284" s="9">
        <f t="shared" si="334"/>
        <v>0.02</v>
      </c>
    </row>
    <row r="4285" spans="1:19" x14ac:dyDescent="0.25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e">
        <f>VLOOKUP('Customer Info'!A4277,'Customer Info'!A4277:I4776,2,FALSE)</f>
        <v>#N/A</v>
      </c>
      <c r="H4285" s="6" t="e">
        <f>VLOOKUP('Customer Info'!A4277,'Customer Info'!A4277:I4777,3,FALSE)</f>
        <v>#N/A</v>
      </c>
      <c r="I4285" s="6" t="e">
        <f>VLOOKUP('Customer Info'!A4277,'Customer Info'!A4277:I4776,5,FALSE)</f>
        <v>#N/A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375</v>
      </c>
      <c r="R4285" s="2" t="s">
        <v>50</v>
      </c>
      <c r="S4285" s="9">
        <f t="shared" si="334"/>
        <v>0.02</v>
      </c>
    </row>
    <row r="4286" spans="1:19" x14ac:dyDescent="0.25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e">
        <f>VLOOKUP('Customer Info'!A4278,'Customer Info'!A4278:I4777,2,FALSE)</f>
        <v>#N/A</v>
      </c>
      <c r="H4286" s="6" t="e">
        <f>VLOOKUP('Customer Info'!A4278,'Customer Info'!A4278:I4778,3,FALSE)</f>
        <v>#N/A</v>
      </c>
      <c r="I4286" s="6" t="e">
        <f>VLOOKUP('Customer Info'!A4278,'Customer Info'!A4278:I4777,5,FALSE)</f>
        <v>#N/A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46</v>
      </c>
      <c r="R4286" s="2" t="s">
        <v>28</v>
      </c>
      <c r="S4286" s="9">
        <f t="shared" si="334"/>
        <v>0.02</v>
      </c>
    </row>
    <row r="4287" spans="1:19" x14ac:dyDescent="0.25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e">
        <f>VLOOKUP('Customer Info'!A4279,'Customer Info'!A4279:I4778,2,FALSE)</f>
        <v>#N/A</v>
      </c>
      <c r="H4287" s="6" t="e">
        <f>VLOOKUP('Customer Info'!A4279,'Customer Info'!A4279:I4779,3,FALSE)</f>
        <v>#N/A</v>
      </c>
      <c r="I4287" s="6" t="e">
        <f>VLOOKUP('Customer Info'!A4279,'Customer Info'!A4279:I4778,5,FALSE)</f>
        <v>#N/A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57</v>
      </c>
      <c r="R4287" s="2" t="s">
        <v>28</v>
      </c>
      <c r="S4287" s="9">
        <f t="shared" si="334"/>
        <v>0.02</v>
      </c>
    </row>
    <row r="4288" spans="1:19" x14ac:dyDescent="0.25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e">
        <f>VLOOKUP('Customer Info'!A4280,'Customer Info'!A4280:I4779,2,FALSE)</f>
        <v>#N/A</v>
      </c>
      <c r="H4288" s="6" t="e">
        <f>VLOOKUP('Customer Info'!A4280,'Customer Info'!A4280:I4780,3,FALSE)</f>
        <v>#N/A</v>
      </c>
      <c r="I4288" s="6" t="e">
        <f>VLOOKUP('Customer Info'!A4280,'Customer Info'!A4280:I4779,5,FALSE)</f>
        <v>#N/A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666</v>
      </c>
      <c r="R4288" s="2" t="s">
        <v>50</v>
      </c>
      <c r="S4288" s="9">
        <f t="shared" si="334"/>
        <v>0.05</v>
      </c>
    </row>
    <row r="4289" spans="1:19" x14ac:dyDescent="0.25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e">
        <f>VLOOKUP('Customer Info'!A4281,'Customer Info'!A4281:I4780,2,FALSE)</f>
        <v>#N/A</v>
      </c>
      <c r="H4289" s="6" t="e">
        <f>VLOOKUP('Customer Info'!A4281,'Customer Info'!A4281:I4781,3,FALSE)</f>
        <v>#N/A</v>
      </c>
      <c r="I4289" s="6" t="e">
        <f>VLOOKUP('Customer Info'!A4281,'Customer Info'!A4281:I4780,5,FALSE)</f>
        <v>#N/A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101</v>
      </c>
      <c r="R4289" s="2" t="s">
        <v>28</v>
      </c>
      <c r="S4289" s="9">
        <f t="shared" si="334"/>
        <v>0.02</v>
      </c>
    </row>
    <row r="4290" spans="1:19" x14ac:dyDescent="0.25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e">
        <f>VLOOKUP('Customer Info'!A4282,'Customer Info'!A4282:I4781,2,FALSE)</f>
        <v>#N/A</v>
      </c>
      <c r="H4290" s="6" t="e">
        <f>VLOOKUP('Customer Info'!A4282,'Customer Info'!A4282:I4782,3,FALSE)</f>
        <v>#N/A</v>
      </c>
      <c r="I4290" s="6" t="e">
        <f>VLOOKUP('Customer Info'!A4282,'Customer Info'!A4282:I4781,5,FALSE)</f>
        <v>#N/A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312</v>
      </c>
      <c r="R4290" s="2" t="s">
        <v>50</v>
      </c>
      <c r="S4290" s="9">
        <f t="shared" si="334"/>
        <v>0.05</v>
      </c>
    </row>
    <row r="4291" spans="1:19" x14ac:dyDescent="0.25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e">
        <f>VLOOKUP('Customer Info'!A4283,'Customer Info'!A4283:I4782,2,FALSE)</f>
        <v>#N/A</v>
      </c>
      <c r="H4291" s="6" t="e">
        <f>VLOOKUP('Customer Info'!A4283,'Customer Info'!A4283:I4783,3,FALSE)</f>
        <v>#N/A</v>
      </c>
      <c r="I4291" s="6" t="e">
        <f>VLOOKUP('Customer Info'!A4283,'Customer Info'!A4283:I4782,5,FALSE)</f>
        <v>#N/A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111</v>
      </c>
      <c r="R4291" s="2" t="s">
        <v>28</v>
      </c>
      <c r="S4291" s="9">
        <f t="shared" si="334"/>
        <v>0.02</v>
      </c>
    </row>
    <row r="4292" spans="1:19" x14ac:dyDescent="0.25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e">
        <f>VLOOKUP('Customer Info'!A4284,'Customer Info'!A4284:I4783,2,FALSE)</f>
        <v>#N/A</v>
      </c>
      <c r="H4292" s="6" t="e">
        <f>VLOOKUP('Customer Info'!A4284,'Customer Info'!A4284:I4784,3,FALSE)</f>
        <v>#N/A</v>
      </c>
      <c r="I4292" s="6" t="e">
        <f>VLOOKUP('Customer Info'!A4284,'Customer Info'!A4284:I4783,5,FALSE)</f>
        <v>#N/A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46</v>
      </c>
      <c r="R4292" s="2" t="s">
        <v>50</v>
      </c>
      <c r="S4292" s="9">
        <f t="shared" si="334"/>
        <v>0.02</v>
      </c>
    </row>
    <row r="4293" spans="1:19" x14ac:dyDescent="0.25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e">
        <f>VLOOKUP('Customer Info'!A4285,'Customer Info'!A4285:I4784,2,FALSE)</f>
        <v>#N/A</v>
      </c>
      <c r="H4293" s="6" t="e">
        <f>VLOOKUP('Customer Info'!A4285,'Customer Info'!A4285:I4785,3,FALSE)</f>
        <v>#N/A</v>
      </c>
      <c r="I4293" s="6" t="e">
        <f>VLOOKUP('Customer Info'!A4285,'Customer Info'!A4285:I4784,5,FALSE)</f>
        <v>#N/A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881</v>
      </c>
      <c r="R4293" s="2" t="s">
        <v>28</v>
      </c>
      <c r="S4293" s="9">
        <f t="shared" si="334"/>
        <v>0.05</v>
      </c>
    </row>
    <row r="4294" spans="1:19" x14ac:dyDescent="0.25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e">
        <f>VLOOKUP('Customer Info'!A4286,'Customer Info'!A4286:I4785,2,FALSE)</f>
        <v>#N/A</v>
      </c>
      <c r="H4294" s="6" t="e">
        <f>VLOOKUP('Customer Info'!A4286,'Customer Info'!A4286:I4786,3,FALSE)</f>
        <v>#N/A</v>
      </c>
      <c r="I4294" s="6" t="e">
        <f>VLOOKUP('Customer Info'!A4286,'Customer Info'!A4286:I4785,5,FALSE)</f>
        <v>#N/A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2076</v>
      </c>
      <c r="R4294" s="2" t="s">
        <v>28</v>
      </c>
      <c r="S4294" s="9">
        <f t="shared" si="334"/>
        <v>0.05</v>
      </c>
    </row>
    <row r="4295" spans="1:19" x14ac:dyDescent="0.25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e">
        <f>VLOOKUP('Customer Info'!A4287,'Customer Info'!A4287:I4786,2,FALSE)</f>
        <v>#N/A</v>
      </c>
      <c r="H4295" s="6" t="e">
        <f>VLOOKUP('Customer Info'!A4287,'Customer Info'!A4287:I4787,3,FALSE)</f>
        <v>#N/A</v>
      </c>
      <c r="I4295" s="6" t="e">
        <f>VLOOKUP('Customer Info'!A4287,'Customer Info'!A4287:I4786,5,FALSE)</f>
        <v>#N/A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4809</v>
      </c>
      <c r="R4295" s="2" t="s">
        <v>28</v>
      </c>
      <c r="S4295" s="9">
        <f t="shared" si="334"/>
        <v>7.0000000000000007E-2</v>
      </c>
    </row>
    <row r="4296" spans="1:19" x14ac:dyDescent="0.25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e">
        <f>VLOOKUP('Customer Info'!A4288,'Customer Info'!A4288:I4787,2,FALSE)</f>
        <v>#N/A</v>
      </c>
      <c r="H4296" s="6" t="e">
        <f>VLOOKUP('Customer Info'!A4288,'Customer Info'!A4288:I4788,3,FALSE)</f>
        <v>#N/A</v>
      </c>
      <c r="I4296" s="6" t="e">
        <f>VLOOKUP('Customer Info'!A4288,'Customer Info'!A4288:I4787,5,FALSE)</f>
        <v>#N/A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718</v>
      </c>
      <c r="R4296" s="2" t="s">
        <v>28</v>
      </c>
      <c r="S4296" s="9">
        <f t="shared" si="334"/>
        <v>0.05</v>
      </c>
    </row>
    <row r="4297" spans="1:19" x14ac:dyDescent="0.25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e">
        <f>VLOOKUP('Customer Info'!A4289,'Customer Info'!A4289:I4788,2,FALSE)</f>
        <v>#N/A</v>
      </c>
      <c r="H4297" s="6" t="e">
        <f>VLOOKUP('Customer Info'!A4289,'Customer Info'!A4289:I4789,3,FALSE)</f>
        <v>#N/A</v>
      </c>
      <c r="I4297" s="6" t="e">
        <f>VLOOKUP('Customer Info'!A4289,'Customer Info'!A4289:I4788,5,FALSE)</f>
        <v>#N/A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646</v>
      </c>
      <c r="R4297" s="2" t="s">
        <v>50</v>
      </c>
      <c r="S4297" s="9">
        <f t="shared" si="334"/>
        <v>0.05</v>
      </c>
    </row>
    <row r="4298" spans="1:19" x14ac:dyDescent="0.25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e">
        <f>VLOOKUP('Customer Info'!A4290,'Customer Info'!A4290:I4789,2,FALSE)</f>
        <v>#N/A</v>
      </c>
      <c r="H4298" s="6" t="e">
        <f>VLOOKUP('Customer Info'!A4290,'Customer Info'!A4290:I4790,3,FALSE)</f>
        <v>#N/A</v>
      </c>
      <c r="I4298" s="6" t="e">
        <f>VLOOKUP('Customer Info'!A4290,'Customer Info'!A4290:I4789,5,FALSE)</f>
        <v>#N/A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56</v>
      </c>
      <c r="R4298" s="2" t="s">
        <v>26</v>
      </c>
      <c r="S4298" s="9">
        <f t="shared" si="334"/>
        <v>0.02</v>
      </c>
    </row>
    <row r="4299" spans="1:19" x14ac:dyDescent="0.25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e">
        <f>VLOOKUP('Customer Info'!A4291,'Customer Info'!A4291:I4790,2,FALSE)</f>
        <v>#N/A</v>
      </c>
      <c r="H4299" s="6" t="e">
        <f>VLOOKUP('Customer Info'!A4291,'Customer Info'!A4291:I4791,3,FALSE)</f>
        <v>#N/A</v>
      </c>
      <c r="I4299" s="6" t="e">
        <f>VLOOKUP('Customer Info'!A4291,'Customer Info'!A4291:I4790,5,FALSE)</f>
        <v>#N/A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8">
        <f t="shared" ref="P4299:P4362" si="337">N4299+O4299</f>
        <v>193</v>
      </c>
      <c r="Q4299" s="8">
        <f t="shared" ref="Q4299:Q4362" si="338">P4299-M4299</f>
        <v>22</v>
      </c>
      <c r="R4299" s="2" t="s">
        <v>26</v>
      </c>
      <c r="S4299" s="9">
        <f t="shared" ref="S4299:S4362" si="339">VLOOKUP(P4299,$T$2:$U$7,2,TRUE)</f>
        <v>0.02</v>
      </c>
    </row>
    <row r="4300" spans="1:19" x14ac:dyDescent="0.25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e">
        <f>VLOOKUP('Customer Info'!A4292,'Customer Info'!A4292:I4791,2,FALSE)</f>
        <v>#N/A</v>
      </c>
      <c r="H4300" s="6" t="e">
        <f>VLOOKUP('Customer Info'!A4292,'Customer Info'!A4292:I4792,3,FALSE)</f>
        <v>#N/A</v>
      </c>
      <c r="I4300" s="6" t="e">
        <f>VLOOKUP('Customer Info'!A4292,'Customer Info'!A4292:I4791,5,FALSE)</f>
        <v>#N/A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86</v>
      </c>
      <c r="R4300" s="2" t="s">
        <v>50</v>
      </c>
      <c r="S4300" s="9">
        <f t="shared" si="339"/>
        <v>0.02</v>
      </c>
    </row>
    <row r="4301" spans="1:19" x14ac:dyDescent="0.25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e">
        <f>VLOOKUP('Customer Info'!A4293,'Customer Info'!A4293:I4792,2,FALSE)</f>
        <v>#N/A</v>
      </c>
      <c r="H4301" s="6" t="e">
        <f>VLOOKUP('Customer Info'!A4293,'Customer Info'!A4293:I4793,3,FALSE)</f>
        <v>#N/A</v>
      </c>
      <c r="I4301" s="6" t="e">
        <f>VLOOKUP('Customer Info'!A4293,'Customer Info'!A4293:I4792,5,FALSE)</f>
        <v>#N/A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1093</v>
      </c>
      <c r="R4301" s="2" t="s">
        <v>50</v>
      </c>
      <c r="S4301" s="9">
        <f t="shared" si="339"/>
        <v>0.05</v>
      </c>
    </row>
    <row r="4302" spans="1:19" x14ac:dyDescent="0.25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e">
        <f>VLOOKUP('Customer Info'!A4294,'Customer Info'!A4294:I4793,2,FALSE)</f>
        <v>#N/A</v>
      </c>
      <c r="H4302" s="6" t="e">
        <f>VLOOKUP('Customer Info'!A4294,'Customer Info'!A4294:I4794,3,FALSE)</f>
        <v>#N/A</v>
      </c>
      <c r="I4302" s="6" t="e">
        <f>VLOOKUP('Customer Info'!A4294,'Customer Info'!A4294:I4793,5,FALSE)</f>
        <v>#N/A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452</v>
      </c>
      <c r="R4302" s="2" t="s">
        <v>28</v>
      </c>
      <c r="S4302" s="9">
        <f t="shared" si="339"/>
        <v>0.05</v>
      </c>
    </row>
    <row r="4303" spans="1:19" x14ac:dyDescent="0.25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e">
        <f>VLOOKUP('Customer Info'!A4295,'Customer Info'!A4295:I4794,2,FALSE)</f>
        <v>#N/A</v>
      </c>
      <c r="H4303" s="6" t="e">
        <f>VLOOKUP('Customer Info'!A4295,'Customer Info'!A4295:I4795,3,FALSE)</f>
        <v>#N/A</v>
      </c>
      <c r="I4303" s="6" t="e">
        <f>VLOOKUP('Customer Info'!A4295,'Customer Info'!A4295:I4794,5,FALSE)</f>
        <v>#N/A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111</v>
      </c>
      <c r="R4303" s="2" t="s">
        <v>28</v>
      </c>
      <c r="S4303" s="9">
        <f t="shared" si="339"/>
        <v>0.02</v>
      </c>
    </row>
    <row r="4304" spans="1:19" x14ac:dyDescent="0.25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e">
        <f>VLOOKUP('Customer Info'!A4296,'Customer Info'!A4296:I4795,2,FALSE)</f>
        <v>#N/A</v>
      </c>
      <c r="H4304" s="6" t="e">
        <f>VLOOKUP('Customer Info'!A4296,'Customer Info'!A4296:I4796,3,FALSE)</f>
        <v>#N/A</v>
      </c>
      <c r="I4304" s="6" t="e">
        <f>VLOOKUP('Customer Info'!A4296,'Customer Info'!A4296:I4795,5,FALSE)</f>
        <v>#N/A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321</v>
      </c>
      <c r="R4304" s="2" t="s">
        <v>50</v>
      </c>
      <c r="S4304" s="9">
        <f t="shared" si="339"/>
        <v>0.02</v>
      </c>
    </row>
    <row r="4305" spans="1:19" x14ac:dyDescent="0.25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e">
        <f>VLOOKUP('Customer Info'!A4297,'Customer Info'!A4297:I4796,2,FALSE)</f>
        <v>#N/A</v>
      </c>
      <c r="H4305" s="6" t="e">
        <f>VLOOKUP('Customer Info'!A4297,'Customer Info'!A4297:I4797,3,FALSE)</f>
        <v>#N/A</v>
      </c>
      <c r="I4305" s="6" t="e">
        <f>VLOOKUP('Customer Info'!A4297,'Customer Info'!A4297:I4796,5,FALSE)</f>
        <v>#N/A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541</v>
      </c>
      <c r="R4305" s="2" t="s">
        <v>26</v>
      </c>
      <c r="S4305" s="9">
        <f t="shared" si="339"/>
        <v>0.05</v>
      </c>
    </row>
    <row r="4306" spans="1:19" x14ac:dyDescent="0.25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e">
        <f>VLOOKUP('Customer Info'!A4298,'Customer Info'!A4298:I4797,2,FALSE)</f>
        <v>#N/A</v>
      </c>
      <c r="H4306" s="6" t="e">
        <f>VLOOKUP('Customer Info'!A4298,'Customer Info'!A4298:I4798,3,FALSE)</f>
        <v>#N/A</v>
      </c>
      <c r="I4306" s="6" t="e">
        <f>VLOOKUP('Customer Info'!A4298,'Customer Info'!A4298:I4797,5,FALSE)</f>
        <v>#N/A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78</v>
      </c>
      <c r="R4306" s="2" t="s">
        <v>28</v>
      </c>
      <c r="S4306" s="9">
        <f t="shared" si="339"/>
        <v>0.02</v>
      </c>
    </row>
    <row r="4307" spans="1:19" x14ac:dyDescent="0.25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e">
        <f>VLOOKUP('Customer Info'!A4299,'Customer Info'!A4299:I4798,2,FALSE)</f>
        <v>#N/A</v>
      </c>
      <c r="H4307" s="6" t="e">
        <f>VLOOKUP('Customer Info'!A4299,'Customer Info'!A4299:I4799,3,FALSE)</f>
        <v>#N/A</v>
      </c>
      <c r="I4307" s="6" t="e">
        <f>VLOOKUP('Customer Info'!A4299,'Customer Info'!A4299:I4798,5,FALSE)</f>
        <v>#N/A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55</v>
      </c>
      <c r="R4307" s="2" t="s">
        <v>28</v>
      </c>
      <c r="S4307" s="9">
        <f t="shared" si="339"/>
        <v>0.02</v>
      </c>
    </row>
    <row r="4308" spans="1:19" x14ac:dyDescent="0.25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e">
        <f>VLOOKUP('Customer Info'!A4300,'Customer Info'!A4300:I4799,2,FALSE)</f>
        <v>#N/A</v>
      </c>
      <c r="H4308" s="6" t="e">
        <f>VLOOKUP('Customer Info'!A4300,'Customer Info'!A4300:I4800,3,FALSE)</f>
        <v>#N/A</v>
      </c>
      <c r="I4308" s="6" t="e">
        <f>VLOOKUP('Customer Info'!A4300,'Customer Info'!A4300:I4799,5,FALSE)</f>
        <v>#N/A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759</v>
      </c>
      <c r="R4308" s="2" t="s">
        <v>28</v>
      </c>
      <c r="S4308" s="9">
        <f t="shared" si="339"/>
        <v>0.05</v>
      </c>
    </row>
    <row r="4309" spans="1:19" x14ac:dyDescent="0.25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e">
        <f>VLOOKUP('Customer Info'!A4301,'Customer Info'!A4301:I4800,2,FALSE)</f>
        <v>#N/A</v>
      </c>
      <c r="H4309" s="6" t="e">
        <f>VLOOKUP('Customer Info'!A4301,'Customer Info'!A4301:I4801,3,FALSE)</f>
        <v>#N/A</v>
      </c>
      <c r="I4309" s="6" t="e">
        <f>VLOOKUP('Customer Info'!A4301,'Customer Info'!A4301:I4800,5,FALSE)</f>
        <v>#N/A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16</v>
      </c>
      <c r="R4309" s="2" t="s">
        <v>50</v>
      </c>
      <c r="S4309" s="9">
        <f t="shared" si="339"/>
        <v>0.02</v>
      </c>
    </row>
    <row r="4310" spans="1:19" x14ac:dyDescent="0.25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e">
        <f>VLOOKUP('Customer Info'!A4302,'Customer Info'!A4302:I4801,2,FALSE)</f>
        <v>#N/A</v>
      </c>
      <c r="H4310" s="6" t="e">
        <f>VLOOKUP('Customer Info'!A4302,'Customer Info'!A4302:I4802,3,FALSE)</f>
        <v>#N/A</v>
      </c>
      <c r="I4310" s="6" t="e">
        <f>VLOOKUP('Customer Info'!A4302,'Customer Info'!A4302:I4801,5,FALSE)</f>
        <v>#N/A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126</v>
      </c>
      <c r="R4310" s="2" t="s">
        <v>28</v>
      </c>
      <c r="S4310" s="9">
        <f t="shared" si="339"/>
        <v>0.02</v>
      </c>
    </row>
    <row r="4311" spans="1:19" x14ac:dyDescent="0.25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e">
        <f>VLOOKUP('Customer Info'!A4303,'Customer Info'!A4303:I4802,2,FALSE)</f>
        <v>#N/A</v>
      </c>
      <c r="H4311" s="6" t="e">
        <f>VLOOKUP('Customer Info'!A4303,'Customer Info'!A4303:I4803,3,FALSE)</f>
        <v>#N/A</v>
      </c>
      <c r="I4311" s="6" t="e">
        <f>VLOOKUP('Customer Info'!A4303,'Customer Info'!A4303:I4802,5,FALSE)</f>
        <v>#N/A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1709</v>
      </c>
      <c r="R4311" s="2" t="s">
        <v>28</v>
      </c>
      <c r="S4311" s="9">
        <f t="shared" si="339"/>
        <v>0.05</v>
      </c>
    </row>
    <row r="4312" spans="1:19" x14ac:dyDescent="0.25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e">
        <f>VLOOKUP('Customer Info'!A4304,'Customer Info'!A4304:I4803,2,FALSE)</f>
        <v>#N/A</v>
      </c>
      <c r="H4312" s="6" t="e">
        <f>VLOOKUP('Customer Info'!A4304,'Customer Info'!A4304:I4804,3,FALSE)</f>
        <v>#N/A</v>
      </c>
      <c r="I4312" s="6" t="e">
        <f>VLOOKUP('Customer Info'!A4304,'Customer Info'!A4304:I4803,5,FALSE)</f>
        <v>#N/A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655</v>
      </c>
      <c r="R4312" s="2" t="s">
        <v>28</v>
      </c>
      <c r="S4312" s="9">
        <f t="shared" si="339"/>
        <v>0.05</v>
      </c>
    </row>
    <row r="4313" spans="1:19" x14ac:dyDescent="0.25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e">
        <f>VLOOKUP('Customer Info'!A4305,'Customer Info'!A4305:I4804,2,FALSE)</f>
        <v>#N/A</v>
      </c>
      <c r="H4313" s="6" t="e">
        <f>VLOOKUP('Customer Info'!A4305,'Customer Info'!A4305:I4805,3,FALSE)</f>
        <v>#N/A</v>
      </c>
      <c r="I4313" s="6" t="e">
        <f>VLOOKUP('Customer Info'!A4305,'Customer Info'!A4305:I4804,5,FALSE)</f>
        <v>#N/A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290</v>
      </c>
      <c r="R4313" s="2" t="s">
        <v>50</v>
      </c>
      <c r="S4313" s="9">
        <f t="shared" si="339"/>
        <v>0.05</v>
      </c>
    </row>
    <row r="4314" spans="1:19" x14ac:dyDescent="0.25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e">
        <f>VLOOKUP('Customer Info'!A4306,'Customer Info'!A4306:I4805,2,FALSE)</f>
        <v>#N/A</v>
      </c>
      <c r="H4314" s="6" t="e">
        <f>VLOOKUP('Customer Info'!A4306,'Customer Info'!A4306:I4806,3,FALSE)</f>
        <v>#N/A</v>
      </c>
      <c r="I4314" s="6" t="e">
        <f>VLOOKUP('Customer Info'!A4306,'Customer Info'!A4306:I4805,5,FALSE)</f>
        <v>#N/A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220</v>
      </c>
      <c r="R4314" s="2" t="s">
        <v>28</v>
      </c>
      <c r="S4314" s="9">
        <f t="shared" si="339"/>
        <v>0.02</v>
      </c>
    </row>
    <row r="4315" spans="1:19" x14ac:dyDescent="0.25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e">
        <f>VLOOKUP('Customer Info'!A4307,'Customer Info'!A4307:I4806,2,FALSE)</f>
        <v>#N/A</v>
      </c>
      <c r="H4315" s="6" t="e">
        <f>VLOOKUP('Customer Info'!A4307,'Customer Info'!A4307:I4807,3,FALSE)</f>
        <v>#N/A</v>
      </c>
      <c r="I4315" s="6" t="e">
        <f>VLOOKUP('Customer Info'!A4307,'Customer Info'!A4307:I4806,5,FALSE)</f>
        <v>#N/A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75</v>
      </c>
      <c r="R4315" s="2" t="s">
        <v>28</v>
      </c>
      <c r="S4315" s="9">
        <f t="shared" si="339"/>
        <v>0.02</v>
      </c>
    </row>
    <row r="4316" spans="1:19" x14ac:dyDescent="0.25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e">
        <f>VLOOKUP('Customer Info'!A4308,'Customer Info'!A4308:I4807,2,FALSE)</f>
        <v>#N/A</v>
      </c>
      <c r="H4316" s="6" t="e">
        <f>VLOOKUP('Customer Info'!A4308,'Customer Info'!A4308:I4808,3,FALSE)</f>
        <v>#N/A</v>
      </c>
      <c r="I4316" s="6" t="e">
        <f>VLOOKUP('Customer Info'!A4308,'Customer Info'!A4308:I4807,5,FALSE)</f>
        <v>#N/A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534</v>
      </c>
      <c r="R4316" s="2" t="s">
        <v>28</v>
      </c>
      <c r="S4316" s="9">
        <f t="shared" si="339"/>
        <v>0.05</v>
      </c>
    </row>
    <row r="4317" spans="1:19" x14ac:dyDescent="0.25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e">
        <f>VLOOKUP('Customer Info'!A4309,'Customer Info'!A4309:I4808,2,FALSE)</f>
        <v>#N/A</v>
      </c>
      <c r="H4317" s="6" t="e">
        <f>VLOOKUP('Customer Info'!A4309,'Customer Info'!A4309:I4809,3,FALSE)</f>
        <v>#N/A</v>
      </c>
      <c r="I4317" s="6" t="e">
        <f>VLOOKUP('Customer Info'!A4309,'Customer Info'!A4309:I4808,5,FALSE)</f>
        <v>#N/A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154</v>
      </c>
      <c r="R4317" s="2" t="s">
        <v>50</v>
      </c>
      <c r="S4317" s="9">
        <f t="shared" si="339"/>
        <v>0.02</v>
      </c>
    </row>
    <row r="4318" spans="1:19" x14ac:dyDescent="0.25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e">
        <f>VLOOKUP('Customer Info'!A4310,'Customer Info'!A4310:I4809,2,FALSE)</f>
        <v>#N/A</v>
      </c>
      <c r="H4318" s="6" t="e">
        <f>VLOOKUP('Customer Info'!A4310,'Customer Info'!A4310:I4810,3,FALSE)</f>
        <v>#N/A</v>
      </c>
      <c r="I4318" s="6" t="e">
        <f>VLOOKUP('Customer Info'!A4310,'Customer Info'!A4310:I4809,5,FALSE)</f>
        <v>#N/A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694</v>
      </c>
      <c r="R4318" s="2" t="s">
        <v>28</v>
      </c>
      <c r="S4318" s="9">
        <f t="shared" si="339"/>
        <v>0.05</v>
      </c>
    </row>
    <row r="4319" spans="1:19" x14ac:dyDescent="0.25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e">
        <f>VLOOKUP('Customer Info'!A4311,'Customer Info'!A4311:I4810,2,FALSE)</f>
        <v>#N/A</v>
      </c>
      <c r="H4319" s="6" t="e">
        <f>VLOOKUP('Customer Info'!A4311,'Customer Info'!A4311:I4811,3,FALSE)</f>
        <v>#N/A</v>
      </c>
      <c r="I4319" s="6" t="e">
        <f>VLOOKUP('Customer Info'!A4311,'Customer Info'!A4311:I4810,5,FALSE)</f>
        <v>#N/A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160</v>
      </c>
      <c r="R4319" s="2" t="s">
        <v>28</v>
      </c>
      <c r="S4319" s="9">
        <f t="shared" si="339"/>
        <v>0.02</v>
      </c>
    </row>
    <row r="4320" spans="1:19" x14ac:dyDescent="0.25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e">
        <f>VLOOKUP('Customer Info'!A4312,'Customer Info'!A4312:I4811,2,FALSE)</f>
        <v>#N/A</v>
      </c>
      <c r="H4320" s="6" t="e">
        <f>VLOOKUP('Customer Info'!A4312,'Customer Info'!A4312:I4812,3,FALSE)</f>
        <v>#N/A</v>
      </c>
      <c r="I4320" s="6" t="e">
        <f>VLOOKUP('Customer Info'!A4312,'Customer Info'!A4312:I4811,5,FALSE)</f>
        <v>#N/A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70</v>
      </c>
      <c r="R4320" s="2" t="s">
        <v>28</v>
      </c>
      <c r="S4320" s="9">
        <f t="shared" si="339"/>
        <v>0.02</v>
      </c>
    </row>
    <row r="4321" spans="1:19" x14ac:dyDescent="0.25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e">
        <f>VLOOKUP('Customer Info'!A4313,'Customer Info'!A4313:I4812,2,FALSE)</f>
        <v>#N/A</v>
      </c>
      <c r="H4321" s="6" t="e">
        <f>VLOOKUP('Customer Info'!A4313,'Customer Info'!A4313:I4813,3,FALSE)</f>
        <v>#N/A</v>
      </c>
      <c r="I4321" s="6" t="e">
        <f>VLOOKUP('Customer Info'!A4313,'Customer Info'!A4313:I4812,5,FALSE)</f>
        <v>#N/A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73</v>
      </c>
      <c r="R4321" s="2" t="s">
        <v>28</v>
      </c>
      <c r="S4321" s="9">
        <f t="shared" si="339"/>
        <v>0.02</v>
      </c>
    </row>
    <row r="4322" spans="1:19" x14ac:dyDescent="0.25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e">
        <f>VLOOKUP('Customer Info'!A4314,'Customer Info'!A4314:I4813,2,FALSE)</f>
        <v>#N/A</v>
      </c>
      <c r="H4322" s="6" t="e">
        <f>VLOOKUP('Customer Info'!A4314,'Customer Info'!A4314:I4814,3,FALSE)</f>
        <v>#N/A</v>
      </c>
      <c r="I4322" s="6" t="e">
        <f>VLOOKUP('Customer Info'!A4314,'Customer Info'!A4314:I4813,5,FALSE)</f>
        <v>#N/A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424</v>
      </c>
      <c r="R4322" s="2" t="s">
        <v>28</v>
      </c>
      <c r="S4322" s="9">
        <f t="shared" si="339"/>
        <v>0.05</v>
      </c>
    </row>
    <row r="4323" spans="1:19" x14ac:dyDescent="0.25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e">
        <f>VLOOKUP('Customer Info'!A4315,'Customer Info'!A4315:I4814,2,FALSE)</f>
        <v>#N/A</v>
      </c>
      <c r="H4323" s="6" t="e">
        <f>VLOOKUP('Customer Info'!A4315,'Customer Info'!A4315:I4815,3,FALSE)</f>
        <v>#N/A</v>
      </c>
      <c r="I4323" s="6" t="e">
        <f>VLOOKUP('Customer Info'!A4315,'Customer Info'!A4315:I4814,5,FALSE)</f>
        <v>#N/A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562</v>
      </c>
      <c r="R4323" s="2" t="s">
        <v>28</v>
      </c>
      <c r="S4323" s="9">
        <f t="shared" si="339"/>
        <v>0.05</v>
      </c>
    </row>
    <row r="4324" spans="1:19" x14ac:dyDescent="0.25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e">
        <f>VLOOKUP('Customer Info'!A4316,'Customer Info'!A4316:I4815,2,FALSE)</f>
        <v>#N/A</v>
      </c>
      <c r="H4324" s="6" t="e">
        <f>VLOOKUP('Customer Info'!A4316,'Customer Info'!A4316:I4816,3,FALSE)</f>
        <v>#N/A</v>
      </c>
      <c r="I4324" s="6" t="e">
        <f>VLOOKUP('Customer Info'!A4316,'Customer Info'!A4316:I4815,5,FALSE)</f>
        <v>#N/A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351</v>
      </c>
      <c r="R4324" s="2" t="s">
        <v>28</v>
      </c>
      <c r="S4324" s="9">
        <f t="shared" si="339"/>
        <v>0.02</v>
      </c>
    </row>
    <row r="4325" spans="1:19" x14ac:dyDescent="0.25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e">
        <f>VLOOKUP('Customer Info'!A4317,'Customer Info'!A4317:I4816,2,FALSE)</f>
        <v>#N/A</v>
      </c>
      <c r="H4325" s="6" t="e">
        <f>VLOOKUP('Customer Info'!A4317,'Customer Info'!A4317:I4817,3,FALSE)</f>
        <v>#N/A</v>
      </c>
      <c r="I4325" s="6" t="e">
        <f>VLOOKUP('Customer Info'!A4317,'Customer Info'!A4317:I4816,5,FALSE)</f>
        <v>#N/A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804</v>
      </c>
      <c r="R4325" s="2" t="s">
        <v>28</v>
      </c>
      <c r="S4325" s="9">
        <f t="shared" si="339"/>
        <v>0.05</v>
      </c>
    </row>
    <row r="4326" spans="1:19" x14ac:dyDescent="0.25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e">
        <f>VLOOKUP('Customer Info'!A4318,'Customer Info'!A4318:I4817,2,FALSE)</f>
        <v>#N/A</v>
      </c>
      <c r="H4326" s="6" t="e">
        <f>VLOOKUP('Customer Info'!A4318,'Customer Info'!A4318:I4818,3,FALSE)</f>
        <v>#N/A</v>
      </c>
      <c r="I4326" s="6" t="e">
        <f>VLOOKUP('Customer Info'!A4318,'Customer Info'!A4318:I4817,5,FALSE)</f>
        <v>#N/A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168</v>
      </c>
      <c r="R4326" s="2" t="s">
        <v>26</v>
      </c>
      <c r="S4326" s="9">
        <f t="shared" si="339"/>
        <v>0.02</v>
      </c>
    </row>
    <row r="4327" spans="1:19" x14ac:dyDescent="0.25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e">
        <f>VLOOKUP('Customer Info'!A4319,'Customer Info'!A4319:I4818,2,FALSE)</f>
        <v>#N/A</v>
      </c>
      <c r="H4327" s="6" t="e">
        <f>VLOOKUP('Customer Info'!A4319,'Customer Info'!A4319:I4819,3,FALSE)</f>
        <v>#N/A</v>
      </c>
      <c r="I4327" s="6" t="e">
        <f>VLOOKUP('Customer Info'!A4319,'Customer Info'!A4319:I4818,5,FALSE)</f>
        <v>#N/A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884</v>
      </c>
      <c r="R4327" s="2" t="s">
        <v>50</v>
      </c>
      <c r="S4327" s="9">
        <f t="shared" si="339"/>
        <v>0.05</v>
      </c>
    </row>
    <row r="4328" spans="1:19" x14ac:dyDescent="0.25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e">
        <f>VLOOKUP('Customer Info'!A4320,'Customer Info'!A4320:I4819,2,FALSE)</f>
        <v>#N/A</v>
      </c>
      <c r="H4328" s="6" t="e">
        <f>VLOOKUP('Customer Info'!A4320,'Customer Info'!A4320:I4820,3,FALSE)</f>
        <v>#N/A</v>
      </c>
      <c r="I4328" s="6" t="e">
        <f>VLOOKUP('Customer Info'!A4320,'Customer Info'!A4320:I4819,5,FALSE)</f>
        <v>#N/A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324</v>
      </c>
      <c r="R4328" s="2" t="s">
        <v>28</v>
      </c>
      <c r="S4328" s="9">
        <f t="shared" si="339"/>
        <v>0.05</v>
      </c>
    </row>
    <row r="4329" spans="1:19" x14ac:dyDescent="0.25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e">
        <f>VLOOKUP('Customer Info'!A4321,'Customer Info'!A4321:I4820,2,FALSE)</f>
        <v>#N/A</v>
      </c>
      <c r="H4329" s="6" t="e">
        <f>VLOOKUP('Customer Info'!A4321,'Customer Info'!A4321:I4821,3,FALSE)</f>
        <v>#N/A</v>
      </c>
      <c r="I4329" s="6" t="e">
        <f>VLOOKUP('Customer Info'!A4321,'Customer Info'!A4321:I4820,5,FALSE)</f>
        <v>#N/A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173</v>
      </c>
      <c r="R4329" s="2" t="s">
        <v>28</v>
      </c>
      <c r="S4329" s="9">
        <f t="shared" si="339"/>
        <v>0.02</v>
      </c>
    </row>
    <row r="4330" spans="1:19" x14ac:dyDescent="0.25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e">
        <f>VLOOKUP('Customer Info'!A4322,'Customer Info'!A4322:I4821,2,FALSE)</f>
        <v>#N/A</v>
      </c>
      <c r="H4330" s="6" t="e">
        <f>VLOOKUP('Customer Info'!A4322,'Customer Info'!A4322:I4822,3,FALSE)</f>
        <v>#N/A</v>
      </c>
      <c r="I4330" s="6" t="e">
        <f>VLOOKUP('Customer Info'!A4322,'Customer Info'!A4322:I4821,5,FALSE)</f>
        <v>#N/A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12</v>
      </c>
      <c r="R4330" s="2" t="s">
        <v>26</v>
      </c>
      <c r="S4330" s="9">
        <f t="shared" si="339"/>
        <v>0.02</v>
      </c>
    </row>
    <row r="4331" spans="1:19" x14ac:dyDescent="0.25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e">
        <f>VLOOKUP('Customer Info'!A4323,'Customer Info'!A4323:I4822,2,FALSE)</f>
        <v>#N/A</v>
      </c>
      <c r="H4331" s="6" t="e">
        <f>VLOOKUP('Customer Info'!A4323,'Customer Info'!A4323:I4823,3,FALSE)</f>
        <v>#N/A</v>
      </c>
      <c r="I4331" s="6" t="e">
        <f>VLOOKUP('Customer Info'!A4323,'Customer Info'!A4323:I4822,5,FALSE)</f>
        <v>#N/A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66</v>
      </c>
      <c r="R4331" s="2" t="s">
        <v>56</v>
      </c>
      <c r="S4331" s="9">
        <f t="shared" si="339"/>
        <v>0.02</v>
      </c>
    </row>
    <row r="4332" spans="1:19" x14ac:dyDescent="0.25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e">
        <f>VLOOKUP('Customer Info'!A4324,'Customer Info'!A4324:I4823,2,FALSE)</f>
        <v>#N/A</v>
      </c>
      <c r="H4332" s="6" t="e">
        <f>VLOOKUP('Customer Info'!A4324,'Customer Info'!A4324:I4824,3,FALSE)</f>
        <v>#N/A</v>
      </c>
      <c r="I4332" s="6" t="e">
        <f>VLOOKUP('Customer Info'!A4324,'Customer Info'!A4324:I4823,5,FALSE)</f>
        <v>#N/A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617</v>
      </c>
      <c r="R4332" s="2" t="s">
        <v>26</v>
      </c>
      <c r="S4332" s="9">
        <f t="shared" si="339"/>
        <v>0.05</v>
      </c>
    </row>
    <row r="4333" spans="1:19" x14ac:dyDescent="0.25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e">
        <f>VLOOKUP('Customer Info'!A4325,'Customer Info'!A4325:I4824,2,FALSE)</f>
        <v>#N/A</v>
      </c>
      <c r="H4333" s="6" t="e">
        <f>VLOOKUP('Customer Info'!A4325,'Customer Info'!A4325:I4825,3,FALSE)</f>
        <v>#N/A</v>
      </c>
      <c r="I4333" s="6" t="e">
        <f>VLOOKUP('Customer Info'!A4325,'Customer Info'!A4325:I4824,5,FALSE)</f>
        <v>#N/A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116</v>
      </c>
      <c r="R4333" s="2" t="s">
        <v>28</v>
      </c>
      <c r="S4333" s="9">
        <f t="shared" si="339"/>
        <v>0.02</v>
      </c>
    </row>
    <row r="4334" spans="1:19" x14ac:dyDescent="0.25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e">
        <f>VLOOKUP('Customer Info'!A4326,'Customer Info'!A4326:I4825,2,FALSE)</f>
        <v>#N/A</v>
      </c>
      <c r="H4334" s="6" t="e">
        <f>VLOOKUP('Customer Info'!A4326,'Customer Info'!A4326:I4826,3,FALSE)</f>
        <v>#N/A</v>
      </c>
      <c r="I4334" s="6" t="e">
        <f>VLOOKUP('Customer Info'!A4326,'Customer Info'!A4326:I4825,5,FALSE)</f>
        <v>#N/A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650</v>
      </c>
      <c r="R4334" s="2" t="s">
        <v>28</v>
      </c>
      <c r="S4334" s="9">
        <f t="shared" si="339"/>
        <v>0.05</v>
      </c>
    </row>
    <row r="4335" spans="1:19" x14ac:dyDescent="0.25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e">
        <f>VLOOKUP('Customer Info'!A4327,'Customer Info'!A4327:I4826,2,FALSE)</f>
        <v>#N/A</v>
      </c>
      <c r="H4335" s="6" t="e">
        <f>VLOOKUP('Customer Info'!A4327,'Customer Info'!A4327:I4827,3,FALSE)</f>
        <v>#N/A</v>
      </c>
      <c r="I4335" s="6" t="e">
        <f>VLOOKUP('Customer Info'!A4327,'Customer Info'!A4327:I4826,5,FALSE)</f>
        <v>#N/A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1084</v>
      </c>
      <c r="R4335" s="2" t="s">
        <v>28</v>
      </c>
      <c r="S4335" s="9">
        <f t="shared" si="339"/>
        <v>0.05</v>
      </c>
    </row>
    <row r="4336" spans="1:19" x14ac:dyDescent="0.25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e">
        <f>VLOOKUP('Customer Info'!A4328,'Customer Info'!A4328:I4827,2,FALSE)</f>
        <v>#N/A</v>
      </c>
      <c r="H4336" s="6" t="e">
        <f>VLOOKUP('Customer Info'!A4328,'Customer Info'!A4328:I4828,3,FALSE)</f>
        <v>#N/A</v>
      </c>
      <c r="I4336" s="6" t="e">
        <f>VLOOKUP('Customer Info'!A4328,'Customer Info'!A4328:I4827,5,FALSE)</f>
        <v>#N/A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245</v>
      </c>
      <c r="R4336" s="2" t="s">
        <v>28</v>
      </c>
      <c r="S4336" s="9">
        <f t="shared" si="339"/>
        <v>0.02</v>
      </c>
    </row>
    <row r="4337" spans="1:19" x14ac:dyDescent="0.25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e">
        <f>VLOOKUP('Customer Info'!A4329,'Customer Info'!A4329:I4828,2,FALSE)</f>
        <v>#N/A</v>
      </c>
      <c r="H4337" s="6" t="e">
        <f>VLOOKUP('Customer Info'!A4329,'Customer Info'!A4329:I4829,3,FALSE)</f>
        <v>#N/A</v>
      </c>
      <c r="I4337" s="6" t="e">
        <f>VLOOKUP('Customer Info'!A4329,'Customer Info'!A4329:I4828,5,FALSE)</f>
        <v>#N/A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157</v>
      </c>
      <c r="R4337" s="2" t="s">
        <v>50</v>
      </c>
      <c r="S4337" s="9">
        <f t="shared" si="339"/>
        <v>0.02</v>
      </c>
    </row>
    <row r="4338" spans="1:19" x14ac:dyDescent="0.25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e">
        <f>VLOOKUP('Customer Info'!A4330,'Customer Info'!A4330:I4829,2,FALSE)</f>
        <v>#N/A</v>
      </c>
      <c r="H4338" s="6" t="e">
        <f>VLOOKUP('Customer Info'!A4330,'Customer Info'!A4330:I4830,3,FALSE)</f>
        <v>#N/A</v>
      </c>
      <c r="I4338" s="6" t="e">
        <f>VLOOKUP('Customer Info'!A4330,'Customer Info'!A4330:I4829,5,FALSE)</f>
        <v>#N/A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776</v>
      </c>
      <c r="R4338" s="2" t="s">
        <v>28</v>
      </c>
      <c r="S4338" s="9">
        <f t="shared" si="339"/>
        <v>0.05</v>
      </c>
    </row>
    <row r="4339" spans="1:19" x14ac:dyDescent="0.25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e">
        <f>VLOOKUP('Customer Info'!A4331,'Customer Info'!A4331:I4830,2,FALSE)</f>
        <v>#N/A</v>
      </c>
      <c r="H4339" s="6" t="e">
        <f>VLOOKUP('Customer Info'!A4331,'Customer Info'!A4331:I4831,3,FALSE)</f>
        <v>#N/A</v>
      </c>
      <c r="I4339" s="6" t="e">
        <f>VLOOKUP('Customer Info'!A4331,'Customer Info'!A4331:I4830,5,FALSE)</f>
        <v>#N/A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1215</v>
      </c>
      <c r="R4339" s="2" t="s">
        <v>28</v>
      </c>
      <c r="S4339" s="9">
        <f t="shared" si="339"/>
        <v>0.05</v>
      </c>
    </row>
    <row r="4340" spans="1:19" x14ac:dyDescent="0.25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e">
        <f>VLOOKUP('Customer Info'!A4332,'Customer Info'!A4332:I4831,2,FALSE)</f>
        <v>#N/A</v>
      </c>
      <c r="H4340" s="6" t="e">
        <f>VLOOKUP('Customer Info'!A4332,'Customer Info'!A4332:I4832,3,FALSE)</f>
        <v>#N/A</v>
      </c>
      <c r="I4340" s="6" t="e">
        <f>VLOOKUP('Customer Info'!A4332,'Customer Info'!A4332:I4831,5,FALSE)</f>
        <v>#N/A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122</v>
      </c>
      <c r="R4340" s="2" t="s">
        <v>26</v>
      </c>
      <c r="S4340" s="9">
        <f t="shared" si="339"/>
        <v>0.02</v>
      </c>
    </row>
    <row r="4341" spans="1:19" x14ac:dyDescent="0.25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e">
        <f>VLOOKUP('Customer Info'!A4333,'Customer Info'!A4333:I4832,2,FALSE)</f>
        <v>#N/A</v>
      </c>
      <c r="H4341" s="6" t="e">
        <f>VLOOKUP('Customer Info'!A4333,'Customer Info'!A4333:I4833,3,FALSE)</f>
        <v>#N/A</v>
      </c>
      <c r="I4341" s="6" t="e">
        <f>VLOOKUP('Customer Info'!A4333,'Customer Info'!A4333:I4832,5,FALSE)</f>
        <v>#N/A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58</v>
      </c>
      <c r="R4341" s="2" t="s">
        <v>28</v>
      </c>
      <c r="S4341" s="9">
        <f t="shared" si="339"/>
        <v>0.02</v>
      </c>
    </row>
    <row r="4342" spans="1:19" x14ac:dyDescent="0.25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e">
        <f>VLOOKUP('Customer Info'!A4334,'Customer Info'!A4334:I4833,2,FALSE)</f>
        <v>#N/A</v>
      </c>
      <c r="H4342" s="6" t="e">
        <f>VLOOKUP('Customer Info'!A4334,'Customer Info'!A4334:I4834,3,FALSE)</f>
        <v>#N/A</v>
      </c>
      <c r="I4342" s="6" t="e">
        <f>VLOOKUP('Customer Info'!A4334,'Customer Info'!A4334:I4833,5,FALSE)</f>
        <v>#N/A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147</v>
      </c>
      <c r="R4342" s="2" t="s">
        <v>28</v>
      </c>
      <c r="S4342" s="9">
        <f t="shared" si="339"/>
        <v>0.02</v>
      </c>
    </row>
    <row r="4343" spans="1:19" x14ac:dyDescent="0.25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e">
        <f>VLOOKUP('Customer Info'!A4335,'Customer Info'!A4335:I4834,2,FALSE)</f>
        <v>#N/A</v>
      </c>
      <c r="H4343" s="6" t="e">
        <f>VLOOKUP('Customer Info'!A4335,'Customer Info'!A4335:I4835,3,FALSE)</f>
        <v>#N/A</v>
      </c>
      <c r="I4343" s="6" t="e">
        <f>VLOOKUP('Customer Info'!A4335,'Customer Info'!A4335:I4834,5,FALSE)</f>
        <v>#N/A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70</v>
      </c>
      <c r="R4343" s="2" t="s">
        <v>28</v>
      </c>
      <c r="S4343" s="9">
        <f t="shared" si="339"/>
        <v>0.02</v>
      </c>
    </row>
    <row r="4344" spans="1:19" x14ac:dyDescent="0.25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e">
        <f>VLOOKUP('Customer Info'!A4336,'Customer Info'!A4336:I4835,2,FALSE)</f>
        <v>#N/A</v>
      </c>
      <c r="H4344" s="6" t="e">
        <f>VLOOKUP('Customer Info'!A4336,'Customer Info'!A4336:I4836,3,FALSE)</f>
        <v>#N/A</v>
      </c>
      <c r="I4344" s="6" t="e">
        <f>VLOOKUP('Customer Info'!A4336,'Customer Info'!A4336:I4835,5,FALSE)</f>
        <v>#N/A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105</v>
      </c>
      <c r="R4344" s="2" t="s">
        <v>50</v>
      </c>
      <c r="S4344" s="9">
        <f t="shared" si="339"/>
        <v>0.02</v>
      </c>
    </row>
    <row r="4345" spans="1:19" x14ac:dyDescent="0.25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e">
        <f>VLOOKUP('Customer Info'!A4337,'Customer Info'!A4337:I4836,2,FALSE)</f>
        <v>#N/A</v>
      </c>
      <c r="H4345" s="6" t="e">
        <f>VLOOKUP('Customer Info'!A4337,'Customer Info'!A4337:I4837,3,FALSE)</f>
        <v>#N/A</v>
      </c>
      <c r="I4345" s="6" t="e">
        <f>VLOOKUP('Customer Info'!A4337,'Customer Info'!A4337:I4836,5,FALSE)</f>
        <v>#N/A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987</v>
      </c>
      <c r="R4345" s="2" t="s">
        <v>28</v>
      </c>
      <c r="S4345" s="9">
        <f t="shared" si="339"/>
        <v>0.05</v>
      </c>
    </row>
    <row r="4346" spans="1:19" x14ac:dyDescent="0.25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e">
        <f>VLOOKUP('Customer Info'!A4338,'Customer Info'!A4338:I4837,2,FALSE)</f>
        <v>#N/A</v>
      </c>
      <c r="H4346" s="6" t="e">
        <f>VLOOKUP('Customer Info'!A4338,'Customer Info'!A4338:I4838,3,FALSE)</f>
        <v>#N/A</v>
      </c>
      <c r="I4346" s="6" t="e">
        <f>VLOOKUP('Customer Info'!A4338,'Customer Info'!A4338:I4837,5,FALSE)</f>
        <v>#N/A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339</v>
      </c>
      <c r="R4346" s="2" t="s">
        <v>50</v>
      </c>
      <c r="S4346" s="9">
        <f t="shared" si="339"/>
        <v>0.05</v>
      </c>
    </row>
    <row r="4347" spans="1:19" x14ac:dyDescent="0.25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e">
        <f>VLOOKUP('Customer Info'!A4339,'Customer Info'!A4339:I4838,2,FALSE)</f>
        <v>#N/A</v>
      </c>
      <c r="H4347" s="6" t="e">
        <f>VLOOKUP('Customer Info'!A4339,'Customer Info'!A4339:I4839,3,FALSE)</f>
        <v>#N/A</v>
      </c>
      <c r="I4347" s="6" t="e">
        <f>VLOOKUP('Customer Info'!A4339,'Customer Info'!A4339:I4838,5,FALSE)</f>
        <v>#N/A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14</v>
      </c>
      <c r="R4347" s="2" t="s">
        <v>50</v>
      </c>
      <c r="S4347" s="9">
        <f t="shared" si="339"/>
        <v>0.02</v>
      </c>
    </row>
    <row r="4348" spans="1:19" x14ac:dyDescent="0.25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e">
        <f>VLOOKUP('Customer Info'!A4340,'Customer Info'!A4340:I4839,2,FALSE)</f>
        <v>#N/A</v>
      </c>
      <c r="H4348" s="6" t="e">
        <f>VLOOKUP('Customer Info'!A4340,'Customer Info'!A4340:I4840,3,FALSE)</f>
        <v>#N/A</v>
      </c>
      <c r="I4348" s="6" t="e">
        <f>VLOOKUP('Customer Info'!A4340,'Customer Info'!A4340:I4839,5,FALSE)</f>
        <v>#N/A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445</v>
      </c>
      <c r="R4348" s="2" t="s">
        <v>28</v>
      </c>
      <c r="S4348" s="9">
        <f t="shared" si="339"/>
        <v>0.05</v>
      </c>
    </row>
    <row r="4349" spans="1:19" x14ac:dyDescent="0.25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e">
        <f>VLOOKUP('Customer Info'!A4341,'Customer Info'!A4341:I4840,2,FALSE)</f>
        <v>#N/A</v>
      </c>
      <c r="H4349" s="6" t="e">
        <f>VLOOKUP('Customer Info'!A4341,'Customer Info'!A4341:I4841,3,FALSE)</f>
        <v>#N/A</v>
      </c>
      <c r="I4349" s="6" t="e">
        <f>VLOOKUP('Customer Info'!A4341,'Customer Info'!A4341:I4840,5,FALSE)</f>
        <v>#N/A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448</v>
      </c>
      <c r="R4349" s="2" t="s">
        <v>28</v>
      </c>
      <c r="S4349" s="9">
        <f t="shared" si="339"/>
        <v>0.05</v>
      </c>
    </row>
    <row r="4350" spans="1:19" x14ac:dyDescent="0.25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e">
        <f>VLOOKUP('Customer Info'!A4342,'Customer Info'!A4342:I4841,2,FALSE)</f>
        <v>#N/A</v>
      </c>
      <c r="H4350" s="6" t="e">
        <f>VLOOKUP('Customer Info'!A4342,'Customer Info'!A4342:I4842,3,FALSE)</f>
        <v>#N/A</v>
      </c>
      <c r="I4350" s="6" t="e">
        <f>VLOOKUP('Customer Info'!A4342,'Customer Info'!A4342:I4841,5,FALSE)</f>
        <v>#N/A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138</v>
      </c>
      <c r="R4350" s="2" t="s">
        <v>28</v>
      </c>
      <c r="S4350" s="9">
        <f t="shared" si="339"/>
        <v>0.02</v>
      </c>
    </row>
    <row r="4351" spans="1:19" x14ac:dyDescent="0.25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e">
        <f>VLOOKUP('Customer Info'!A4343,'Customer Info'!A4343:I4842,2,FALSE)</f>
        <v>#N/A</v>
      </c>
      <c r="H4351" s="6" t="e">
        <f>VLOOKUP('Customer Info'!A4343,'Customer Info'!A4343:I4843,3,FALSE)</f>
        <v>#N/A</v>
      </c>
      <c r="I4351" s="6" t="e">
        <f>VLOOKUP('Customer Info'!A4343,'Customer Info'!A4343:I4842,5,FALSE)</f>
        <v>#N/A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170</v>
      </c>
      <c r="R4351" s="2" t="s">
        <v>50</v>
      </c>
      <c r="S4351" s="9">
        <f t="shared" si="339"/>
        <v>0.02</v>
      </c>
    </row>
    <row r="4352" spans="1:19" x14ac:dyDescent="0.25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e">
        <f>VLOOKUP('Customer Info'!A4344,'Customer Info'!A4344:I4843,2,FALSE)</f>
        <v>#N/A</v>
      </c>
      <c r="H4352" s="6" t="e">
        <f>VLOOKUP('Customer Info'!A4344,'Customer Info'!A4344:I4844,3,FALSE)</f>
        <v>#N/A</v>
      </c>
      <c r="I4352" s="6" t="e">
        <f>VLOOKUP('Customer Info'!A4344,'Customer Info'!A4344:I4843,5,FALSE)</f>
        <v>#N/A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374</v>
      </c>
      <c r="R4352" s="2" t="s">
        <v>28</v>
      </c>
      <c r="S4352" s="9">
        <f t="shared" si="339"/>
        <v>0.05</v>
      </c>
    </row>
    <row r="4353" spans="1:19" x14ac:dyDescent="0.25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e">
        <f>VLOOKUP('Customer Info'!A4345,'Customer Info'!A4345:I4844,2,FALSE)</f>
        <v>#N/A</v>
      </c>
      <c r="H4353" s="6" t="e">
        <f>VLOOKUP('Customer Info'!A4345,'Customer Info'!A4345:I4845,3,FALSE)</f>
        <v>#N/A</v>
      </c>
      <c r="I4353" s="6" t="e">
        <f>VLOOKUP('Customer Info'!A4345,'Customer Info'!A4345:I4844,5,FALSE)</f>
        <v>#N/A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268</v>
      </c>
      <c r="R4353" s="2" t="s">
        <v>28</v>
      </c>
      <c r="S4353" s="9">
        <f t="shared" si="339"/>
        <v>0.02</v>
      </c>
    </row>
    <row r="4354" spans="1:19" x14ac:dyDescent="0.25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e">
        <f>VLOOKUP('Customer Info'!A4346,'Customer Info'!A4346:I4845,2,FALSE)</f>
        <v>#N/A</v>
      </c>
      <c r="H4354" s="6" t="e">
        <f>VLOOKUP('Customer Info'!A4346,'Customer Info'!A4346:I4846,3,FALSE)</f>
        <v>#N/A</v>
      </c>
      <c r="I4354" s="6" t="e">
        <f>VLOOKUP('Customer Info'!A4346,'Customer Info'!A4346:I4845,5,FALSE)</f>
        <v>#N/A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1932</v>
      </c>
      <c r="R4354" s="2" t="s">
        <v>28</v>
      </c>
      <c r="S4354" s="9">
        <f t="shared" si="339"/>
        <v>7.0000000000000007E-2</v>
      </c>
    </row>
    <row r="4355" spans="1:19" x14ac:dyDescent="0.25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e">
        <f>VLOOKUP('Customer Info'!A4347,'Customer Info'!A4347:I4846,2,FALSE)</f>
        <v>#N/A</v>
      </c>
      <c r="H4355" s="6" t="e">
        <f>VLOOKUP('Customer Info'!A4347,'Customer Info'!A4347:I4847,3,FALSE)</f>
        <v>#N/A</v>
      </c>
      <c r="I4355" s="6" t="e">
        <f>VLOOKUP('Customer Info'!A4347,'Customer Info'!A4347:I4846,5,FALSE)</f>
        <v>#N/A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727</v>
      </c>
      <c r="R4355" s="2" t="s">
        <v>28</v>
      </c>
      <c r="S4355" s="9">
        <f t="shared" si="339"/>
        <v>0.05</v>
      </c>
    </row>
    <row r="4356" spans="1:19" x14ac:dyDescent="0.25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e">
        <f>VLOOKUP('Customer Info'!A4348,'Customer Info'!A4348:I4847,2,FALSE)</f>
        <v>#N/A</v>
      </c>
      <c r="H4356" s="6" t="e">
        <f>VLOOKUP('Customer Info'!A4348,'Customer Info'!A4348:I4848,3,FALSE)</f>
        <v>#N/A</v>
      </c>
      <c r="I4356" s="6" t="e">
        <f>VLOOKUP('Customer Info'!A4348,'Customer Info'!A4348:I4847,5,FALSE)</f>
        <v>#N/A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796</v>
      </c>
      <c r="R4356" s="2" t="s">
        <v>26</v>
      </c>
      <c r="S4356" s="9">
        <f t="shared" si="339"/>
        <v>0.05</v>
      </c>
    </row>
    <row r="4357" spans="1:19" x14ac:dyDescent="0.25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e">
        <f>VLOOKUP('Customer Info'!A4349,'Customer Info'!A4349:I4848,2,FALSE)</f>
        <v>#N/A</v>
      </c>
      <c r="H4357" s="6" t="e">
        <f>VLOOKUP('Customer Info'!A4349,'Customer Info'!A4349:I4849,3,FALSE)</f>
        <v>#N/A</v>
      </c>
      <c r="I4357" s="6" t="e">
        <f>VLOOKUP('Customer Info'!A4349,'Customer Info'!A4349:I4848,5,FALSE)</f>
        <v>#N/A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2013</v>
      </c>
      <c r="R4357" s="2" t="s">
        <v>50</v>
      </c>
      <c r="S4357" s="9">
        <f t="shared" si="339"/>
        <v>0.05</v>
      </c>
    </row>
    <row r="4358" spans="1:19" x14ac:dyDescent="0.25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e">
        <f>VLOOKUP('Customer Info'!A4350,'Customer Info'!A4350:I4849,2,FALSE)</f>
        <v>#N/A</v>
      </c>
      <c r="H4358" s="6" t="e">
        <f>VLOOKUP('Customer Info'!A4350,'Customer Info'!A4350:I4850,3,FALSE)</f>
        <v>#N/A</v>
      </c>
      <c r="I4358" s="6" t="e">
        <f>VLOOKUP('Customer Info'!A4350,'Customer Info'!A4350:I4849,5,FALSE)</f>
        <v>#N/A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969</v>
      </c>
      <c r="R4358" s="2" t="s">
        <v>50</v>
      </c>
      <c r="S4358" s="9">
        <f t="shared" si="339"/>
        <v>0.05</v>
      </c>
    </row>
    <row r="4359" spans="1:19" x14ac:dyDescent="0.25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e">
        <f>VLOOKUP('Customer Info'!A4351,'Customer Info'!A4351:I4850,2,FALSE)</f>
        <v>#N/A</v>
      </c>
      <c r="H4359" s="6" t="e">
        <f>VLOOKUP('Customer Info'!A4351,'Customer Info'!A4351:I4851,3,FALSE)</f>
        <v>#N/A</v>
      </c>
      <c r="I4359" s="6" t="e">
        <f>VLOOKUP('Customer Info'!A4351,'Customer Info'!A4351:I4850,5,FALSE)</f>
        <v>#N/A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152</v>
      </c>
      <c r="R4359" s="2" t="s">
        <v>50</v>
      </c>
      <c r="S4359" s="9">
        <f t="shared" si="339"/>
        <v>0.02</v>
      </c>
    </row>
    <row r="4360" spans="1:19" x14ac:dyDescent="0.25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e">
        <f>VLOOKUP('Customer Info'!A4352,'Customer Info'!A4352:I4851,2,FALSE)</f>
        <v>#N/A</v>
      </c>
      <c r="H4360" s="6" t="e">
        <f>VLOOKUP('Customer Info'!A4352,'Customer Info'!A4352:I4852,3,FALSE)</f>
        <v>#N/A</v>
      </c>
      <c r="I4360" s="6" t="e">
        <f>VLOOKUP('Customer Info'!A4352,'Customer Info'!A4352:I4851,5,FALSE)</f>
        <v>#N/A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34</v>
      </c>
      <c r="R4360" s="2" t="s">
        <v>28</v>
      </c>
      <c r="S4360" s="9">
        <f t="shared" si="339"/>
        <v>0.02</v>
      </c>
    </row>
    <row r="4361" spans="1:19" x14ac:dyDescent="0.25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e">
        <f>VLOOKUP('Customer Info'!A4353,'Customer Info'!A4353:I4852,2,FALSE)</f>
        <v>#N/A</v>
      </c>
      <c r="H4361" s="6" t="e">
        <f>VLOOKUP('Customer Info'!A4353,'Customer Info'!A4353:I4853,3,FALSE)</f>
        <v>#N/A</v>
      </c>
      <c r="I4361" s="6" t="e">
        <f>VLOOKUP('Customer Info'!A4353,'Customer Info'!A4353:I4852,5,FALSE)</f>
        <v>#N/A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1567</v>
      </c>
      <c r="R4361" s="2" t="s">
        <v>50</v>
      </c>
      <c r="S4361" s="9">
        <f t="shared" si="339"/>
        <v>0.05</v>
      </c>
    </row>
    <row r="4362" spans="1:19" x14ac:dyDescent="0.25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e">
        <f>VLOOKUP('Customer Info'!A4354,'Customer Info'!A4354:I4853,2,FALSE)</f>
        <v>#N/A</v>
      </c>
      <c r="H4362" s="6" t="e">
        <f>VLOOKUP('Customer Info'!A4354,'Customer Info'!A4354:I4854,3,FALSE)</f>
        <v>#N/A</v>
      </c>
      <c r="I4362" s="6" t="e">
        <f>VLOOKUP('Customer Info'!A4354,'Customer Info'!A4354:I4853,5,FALSE)</f>
        <v>#N/A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287</v>
      </c>
      <c r="R4362" s="2" t="s">
        <v>28</v>
      </c>
      <c r="S4362" s="9">
        <f t="shared" si="339"/>
        <v>0.02</v>
      </c>
    </row>
    <row r="4363" spans="1:19" x14ac:dyDescent="0.25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e">
        <f>VLOOKUP('Customer Info'!A4355,'Customer Info'!A4355:I4854,2,FALSE)</f>
        <v>#N/A</v>
      </c>
      <c r="H4363" s="6" t="e">
        <f>VLOOKUP('Customer Info'!A4355,'Customer Info'!A4355:I4855,3,FALSE)</f>
        <v>#N/A</v>
      </c>
      <c r="I4363" s="6" t="e">
        <f>VLOOKUP('Customer Info'!A4355,'Customer Info'!A4355:I4854,5,FALSE)</f>
        <v>#N/A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8">
        <f t="shared" ref="P4363:P4426" si="342">N4363+O4363</f>
        <v>18022</v>
      </c>
      <c r="Q4363" s="8">
        <f t="shared" ref="Q4363:Q4426" si="343">P4363-M4363</f>
        <v>1720</v>
      </c>
      <c r="R4363" s="2" t="s">
        <v>50</v>
      </c>
      <c r="S4363" s="9">
        <f t="shared" ref="S4363:S4426" si="344">VLOOKUP(P4363,$T$2:$U$7,2,TRUE)</f>
        <v>0.05</v>
      </c>
    </row>
    <row r="4364" spans="1:19" x14ac:dyDescent="0.25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e">
        <f>VLOOKUP('Customer Info'!A4356,'Customer Info'!A4356:I4855,2,FALSE)</f>
        <v>#N/A</v>
      </c>
      <c r="H4364" s="6" t="e">
        <f>VLOOKUP('Customer Info'!A4356,'Customer Info'!A4356:I4856,3,FALSE)</f>
        <v>#N/A</v>
      </c>
      <c r="I4364" s="6" t="e">
        <f>VLOOKUP('Customer Info'!A4356,'Customer Info'!A4356:I4855,5,FALSE)</f>
        <v>#N/A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165</v>
      </c>
      <c r="R4364" s="2" t="s">
        <v>28</v>
      </c>
      <c r="S4364" s="9">
        <f t="shared" si="344"/>
        <v>0.02</v>
      </c>
    </row>
    <row r="4365" spans="1:19" x14ac:dyDescent="0.25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e">
        <f>VLOOKUP('Customer Info'!A4357,'Customer Info'!A4357:I4856,2,FALSE)</f>
        <v>#N/A</v>
      </c>
      <c r="H4365" s="6" t="e">
        <f>VLOOKUP('Customer Info'!A4357,'Customer Info'!A4357:I4857,3,FALSE)</f>
        <v>#N/A</v>
      </c>
      <c r="I4365" s="6" t="e">
        <f>VLOOKUP('Customer Info'!A4357,'Customer Info'!A4357:I4856,5,FALSE)</f>
        <v>#N/A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249</v>
      </c>
      <c r="R4365" s="2" t="s">
        <v>26</v>
      </c>
      <c r="S4365" s="9">
        <f t="shared" si="344"/>
        <v>0.05</v>
      </c>
    </row>
    <row r="4366" spans="1:19" x14ac:dyDescent="0.25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e">
        <f>VLOOKUP('Customer Info'!A4358,'Customer Info'!A4358:I4857,2,FALSE)</f>
        <v>#N/A</v>
      </c>
      <c r="H4366" s="6" t="e">
        <f>VLOOKUP('Customer Info'!A4358,'Customer Info'!A4358:I4858,3,FALSE)</f>
        <v>#N/A</v>
      </c>
      <c r="I4366" s="6" t="e">
        <f>VLOOKUP('Customer Info'!A4358,'Customer Info'!A4358:I4857,5,FALSE)</f>
        <v>#N/A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50</v>
      </c>
      <c r="R4366" s="2" t="s">
        <v>50</v>
      </c>
      <c r="S4366" s="9">
        <f t="shared" si="344"/>
        <v>0.02</v>
      </c>
    </row>
    <row r="4367" spans="1:19" x14ac:dyDescent="0.25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e">
        <f>VLOOKUP('Customer Info'!A4359,'Customer Info'!A4359:I4858,2,FALSE)</f>
        <v>#N/A</v>
      </c>
      <c r="H4367" s="6" t="e">
        <f>VLOOKUP('Customer Info'!A4359,'Customer Info'!A4359:I4859,3,FALSE)</f>
        <v>#N/A</v>
      </c>
      <c r="I4367" s="6" t="e">
        <f>VLOOKUP('Customer Info'!A4359,'Customer Info'!A4359:I4858,5,FALSE)</f>
        <v>#N/A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108</v>
      </c>
      <c r="R4367" s="2" t="s">
        <v>28</v>
      </c>
      <c r="S4367" s="9">
        <f t="shared" si="344"/>
        <v>0.02</v>
      </c>
    </row>
    <row r="4368" spans="1:19" x14ac:dyDescent="0.25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e">
        <f>VLOOKUP('Customer Info'!A4360,'Customer Info'!A4360:I4859,2,FALSE)</f>
        <v>#N/A</v>
      </c>
      <c r="H4368" s="6" t="e">
        <f>VLOOKUP('Customer Info'!A4360,'Customer Info'!A4360:I4860,3,FALSE)</f>
        <v>#N/A</v>
      </c>
      <c r="I4368" s="6" t="e">
        <f>VLOOKUP('Customer Info'!A4360,'Customer Info'!A4360:I4859,5,FALSE)</f>
        <v>#N/A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45</v>
      </c>
      <c r="R4368" s="2" t="s">
        <v>28</v>
      </c>
      <c r="S4368" s="9">
        <f t="shared" si="344"/>
        <v>0.02</v>
      </c>
    </row>
    <row r="4369" spans="1:19" x14ac:dyDescent="0.25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e">
        <f>VLOOKUP('Customer Info'!A4361,'Customer Info'!A4361:I4860,2,FALSE)</f>
        <v>#N/A</v>
      </c>
      <c r="H4369" s="6" t="e">
        <f>VLOOKUP('Customer Info'!A4361,'Customer Info'!A4361:I4861,3,FALSE)</f>
        <v>#N/A</v>
      </c>
      <c r="I4369" s="6" t="e">
        <f>VLOOKUP('Customer Info'!A4361,'Customer Info'!A4361:I4860,5,FALSE)</f>
        <v>#N/A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340</v>
      </c>
      <c r="R4369" s="2" t="s">
        <v>28</v>
      </c>
      <c r="S4369" s="9">
        <f t="shared" si="344"/>
        <v>0.02</v>
      </c>
    </row>
    <row r="4370" spans="1:19" x14ac:dyDescent="0.25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e">
        <f>VLOOKUP('Customer Info'!A4362,'Customer Info'!A4362:I4861,2,FALSE)</f>
        <v>#N/A</v>
      </c>
      <c r="H4370" s="6" t="e">
        <f>VLOOKUP('Customer Info'!A4362,'Customer Info'!A4362:I4862,3,FALSE)</f>
        <v>#N/A</v>
      </c>
      <c r="I4370" s="6" t="e">
        <f>VLOOKUP('Customer Info'!A4362,'Customer Info'!A4362:I4861,5,FALSE)</f>
        <v>#N/A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718</v>
      </c>
      <c r="R4370" s="2" t="s">
        <v>50</v>
      </c>
      <c r="S4370" s="9">
        <f t="shared" si="344"/>
        <v>0.05</v>
      </c>
    </row>
    <row r="4371" spans="1:19" x14ac:dyDescent="0.25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e">
        <f>VLOOKUP('Customer Info'!A4363,'Customer Info'!A4363:I4862,2,FALSE)</f>
        <v>#N/A</v>
      </c>
      <c r="H4371" s="6" t="e">
        <f>VLOOKUP('Customer Info'!A4363,'Customer Info'!A4363:I4863,3,FALSE)</f>
        <v>#N/A</v>
      </c>
      <c r="I4371" s="6" t="e">
        <f>VLOOKUP('Customer Info'!A4363,'Customer Info'!A4363:I4862,5,FALSE)</f>
        <v>#N/A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302</v>
      </c>
      <c r="R4371" s="2" t="s">
        <v>50</v>
      </c>
      <c r="S4371" s="9">
        <f t="shared" si="344"/>
        <v>0.05</v>
      </c>
    </row>
    <row r="4372" spans="1:19" x14ac:dyDescent="0.25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e">
        <f>VLOOKUP('Customer Info'!A4364,'Customer Info'!A4364:I4863,2,FALSE)</f>
        <v>#N/A</v>
      </c>
      <c r="H4372" s="6" t="e">
        <f>VLOOKUP('Customer Info'!A4364,'Customer Info'!A4364:I4864,3,FALSE)</f>
        <v>#N/A</v>
      </c>
      <c r="I4372" s="6" t="e">
        <f>VLOOKUP('Customer Info'!A4364,'Customer Info'!A4364:I4863,5,FALSE)</f>
        <v>#N/A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1401</v>
      </c>
      <c r="R4372" s="2" t="s">
        <v>50</v>
      </c>
      <c r="S4372" s="9">
        <f t="shared" si="344"/>
        <v>0.05</v>
      </c>
    </row>
    <row r="4373" spans="1:19" x14ac:dyDescent="0.25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e">
        <f>VLOOKUP('Customer Info'!A4365,'Customer Info'!A4365:I4864,2,FALSE)</f>
        <v>#N/A</v>
      </c>
      <c r="H4373" s="6" t="e">
        <f>VLOOKUP('Customer Info'!A4365,'Customer Info'!A4365:I4865,3,FALSE)</f>
        <v>#N/A</v>
      </c>
      <c r="I4373" s="6" t="e">
        <f>VLOOKUP('Customer Info'!A4365,'Customer Info'!A4365:I4864,5,FALSE)</f>
        <v>#N/A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1575</v>
      </c>
      <c r="R4373" s="2" t="s">
        <v>50</v>
      </c>
      <c r="S4373" s="9">
        <f t="shared" si="344"/>
        <v>0.05</v>
      </c>
    </row>
    <row r="4374" spans="1:19" x14ac:dyDescent="0.25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e">
        <f>VLOOKUP('Customer Info'!A4366,'Customer Info'!A4366:I4865,2,FALSE)</f>
        <v>#N/A</v>
      </c>
      <c r="H4374" s="6" t="e">
        <f>VLOOKUP('Customer Info'!A4366,'Customer Info'!A4366:I4866,3,FALSE)</f>
        <v>#N/A</v>
      </c>
      <c r="I4374" s="6" t="e">
        <f>VLOOKUP('Customer Info'!A4366,'Customer Info'!A4366:I4865,5,FALSE)</f>
        <v>#N/A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238</v>
      </c>
      <c r="R4374" s="2" t="s">
        <v>28</v>
      </c>
      <c r="S4374" s="9">
        <f t="shared" si="344"/>
        <v>0.02</v>
      </c>
    </row>
    <row r="4375" spans="1:19" x14ac:dyDescent="0.25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e">
        <f>VLOOKUP('Customer Info'!A4367,'Customer Info'!A4367:I4866,2,FALSE)</f>
        <v>#N/A</v>
      </c>
      <c r="H4375" s="6" t="e">
        <f>VLOOKUP('Customer Info'!A4367,'Customer Info'!A4367:I4867,3,FALSE)</f>
        <v>#N/A</v>
      </c>
      <c r="I4375" s="6" t="e">
        <f>VLOOKUP('Customer Info'!A4367,'Customer Info'!A4367:I4866,5,FALSE)</f>
        <v>#N/A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24</v>
      </c>
      <c r="R4375" s="2" t="s">
        <v>28</v>
      </c>
      <c r="S4375" s="9">
        <f t="shared" si="344"/>
        <v>0.02</v>
      </c>
    </row>
    <row r="4376" spans="1:19" x14ac:dyDescent="0.25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e">
        <f>VLOOKUP('Customer Info'!A4368,'Customer Info'!A4368:I4867,2,FALSE)</f>
        <v>#N/A</v>
      </c>
      <c r="H4376" s="6" t="e">
        <f>VLOOKUP('Customer Info'!A4368,'Customer Info'!A4368:I4868,3,FALSE)</f>
        <v>#N/A</v>
      </c>
      <c r="I4376" s="6" t="e">
        <f>VLOOKUP('Customer Info'!A4368,'Customer Info'!A4368:I4867,5,FALSE)</f>
        <v>#N/A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2769</v>
      </c>
      <c r="R4376" s="2" t="s">
        <v>28</v>
      </c>
      <c r="S4376" s="9">
        <f t="shared" si="344"/>
        <v>7.0000000000000007E-2</v>
      </c>
    </row>
    <row r="4377" spans="1:19" x14ac:dyDescent="0.25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e">
        <f>VLOOKUP('Customer Info'!A4369,'Customer Info'!A4369:I4868,2,FALSE)</f>
        <v>#N/A</v>
      </c>
      <c r="H4377" s="6" t="e">
        <f>VLOOKUP('Customer Info'!A4369,'Customer Info'!A4369:I4869,3,FALSE)</f>
        <v>#N/A</v>
      </c>
      <c r="I4377" s="6" t="e">
        <f>VLOOKUP('Customer Info'!A4369,'Customer Info'!A4369:I4868,5,FALSE)</f>
        <v>#N/A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55</v>
      </c>
      <c r="R4377" s="2" t="s">
        <v>26</v>
      </c>
      <c r="S4377" s="9">
        <f t="shared" si="344"/>
        <v>0.02</v>
      </c>
    </row>
    <row r="4378" spans="1:19" x14ac:dyDescent="0.25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e">
        <f>VLOOKUP('Customer Info'!A4370,'Customer Info'!A4370:I4869,2,FALSE)</f>
        <v>#N/A</v>
      </c>
      <c r="H4378" s="6" t="e">
        <f>VLOOKUP('Customer Info'!A4370,'Customer Info'!A4370:I4870,3,FALSE)</f>
        <v>#N/A</v>
      </c>
      <c r="I4378" s="6" t="e">
        <f>VLOOKUP('Customer Info'!A4370,'Customer Info'!A4370:I4869,5,FALSE)</f>
        <v>#N/A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67</v>
      </c>
      <c r="R4378" s="2" t="s">
        <v>28</v>
      </c>
      <c r="S4378" s="9">
        <f t="shared" si="344"/>
        <v>0.02</v>
      </c>
    </row>
    <row r="4379" spans="1:19" x14ac:dyDescent="0.25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e">
        <f>VLOOKUP('Customer Info'!A4371,'Customer Info'!A4371:I4870,2,FALSE)</f>
        <v>#N/A</v>
      </c>
      <c r="H4379" s="6" t="e">
        <f>VLOOKUP('Customer Info'!A4371,'Customer Info'!A4371:I4871,3,FALSE)</f>
        <v>#N/A</v>
      </c>
      <c r="I4379" s="6" t="e">
        <f>VLOOKUP('Customer Info'!A4371,'Customer Info'!A4371:I4870,5,FALSE)</f>
        <v>#N/A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2004</v>
      </c>
      <c r="R4379" s="2" t="s">
        <v>28</v>
      </c>
      <c r="S4379" s="9">
        <f t="shared" si="344"/>
        <v>7.0000000000000007E-2</v>
      </c>
    </row>
    <row r="4380" spans="1:19" x14ac:dyDescent="0.25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e">
        <f>VLOOKUP('Customer Info'!A4372,'Customer Info'!A4372:I4871,2,FALSE)</f>
        <v>#N/A</v>
      </c>
      <c r="H4380" s="6" t="e">
        <f>VLOOKUP('Customer Info'!A4372,'Customer Info'!A4372:I4872,3,FALSE)</f>
        <v>#N/A</v>
      </c>
      <c r="I4380" s="6" t="e">
        <f>VLOOKUP('Customer Info'!A4372,'Customer Info'!A4372:I4871,5,FALSE)</f>
        <v>#N/A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272</v>
      </c>
      <c r="R4380" s="2" t="s">
        <v>50</v>
      </c>
      <c r="S4380" s="9">
        <f t="shared" si="344"/>
        <v>0.02</v>
      </c>
    </row>
    <row r="4381" spans="1:19" x14ac:dyDescent="0.25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e">
        <f>VLOOKUP('Customer Info'!A4373,'Customer Info'!A4373:I4872,2,FALSE)</f>
        <v>#N/A</v>
      </c>
      <c r="H4381" s="6" t="e">
        <f>VLOOKUP('Customer Info'!A4373,'Customer Info'!A4373:I4873,3,FALSE)</f>
        <v>#N/A</v>
      </c>
      <c r="I4381" s="6" t="e">
        <f>VLOOKUP('Customer Info'!A4373,'Customer Info'!A4373:I4872,5,FALSE)</f>
        <v>#N/A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181</v>
      </c>
      <c r="R4381" s="2" t="s">
        <v>50</v>
      </c>
      <c r="S4381" s="9">
        <f t="shared" si="344"/>
        <v>0.02</v>
      </c>
    </row>
    <row r="4382" spans="1:19" x14ac:dyDescent="0.25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e">
        <f>VLOOKUP('Customer Info'!A4374,'Customer Info'!A4374:I4873,2,FALSE)</f>
        <v>#N/A</v>
      </c>
      <c r="H4382" s="6" t="e">
        <f>VLOOKUP('Customer Info'!A4374,'Customer Info'!A4374:I4874,3,FALSE)</f>
        <v>#N/A</v>
      </c>
      <c r="I4382" s="6" t="e">
        <f>VLOOKUP('Customer Info'!A4374,'Customer Info'!A4374:I4873,5,FALSE)</f>
        <v>#N/A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2127</v>
      </c>
      <c r="R4382" s="2" t="s">
        <v>28</v>
      </c>
      <c r="S4382" s="9">
        <f t="shared" si="344"/>
        <v>0.05</v>
      </c>
    </row>
    <row r="4383" spans="1:19" x14ac:dyDescent="0.25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e">
        <f>VLOOKUP('Customer Info'!A4375,'Customer Info'!A4375:I4874,2,FALSE)</f>
        <v>#N/A</v>
      </c>
      <c r="H4383" s="6" t="e">
        <f>VLOOKUP('Customer Info'!A4375,'Customer Info'!A4375:I4875,3,FALSE)</f>
        <v>#N/A</v>
      </c>
      <c r="I4383" s="6" t="e">
        <f>VLOOKUP('Customer Info'!A4375,'Customer Info'!A4375:I4874,5,FALSE)</f>
        <v>#N/A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345</v>
      </c>
      <c r="R4383" s="2" t="s">
        <v>50</v>
      </c>
      <c r="S4383" s="9">
        <f t="shared" si="344"/>
        <v>0.05</v>
      </c>
    </row>
    <row r="4384" spans="1:19" x14ac:dyDescent="0.25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e">
        <f>VLOOKUP('Customer Info'!A4376,'Customer Info'!A4376:I4875,2,FALSE)</f>
        <v>#N/A</v>
      </c>
      <c r="H4384" s="6" t="e">
        <f>VLOOKUP('Customer Info'!A4376,'Customer Info'!A4376:I4876,3,FALSE)</f>
        <v>#N/A</v>
      </c>
      <c r="I4384" s="6" t="e">
        <f>VLOOKUP('Customer Info'!A4376,'Customer Info'!A4376:I4875,5,FALSE)</f>
        <v>#N/A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638</v>
      </c>
      <c r="R4384" s="2" t="s">
        <v>56</v>
      </c>
      <c r="S4384" s="9">
        <f t="shared" si="344"/>
        <v>0.05</v>
      </c>
    </row>
    <row r="4385" spans="1:19" x14ac:dyDescent="0.25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e">
        <f>VLOOKUP('Customer Info'!A4377,'Customer Info'!A4377:I4876,2,FALSE)</f>
        <v>#N/A</v>
      </c>
      <c r="H4385" s="6" t="e">
        <f>VLOOKUP('Customer Info'!A4377,'Customer Info'!A4377:I4877,3,FALSE)</f>
        <v>#N/A</v>
      </c>
      <c r="I4385" s="6" t="e">
        <f>VLOOKUP('Customer Info'!A4377,'Customer Info'!A4377:I4876,5,FALSE)</f>
        <v>#N/A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613</v>
      </c>
      <c r="R4385" s="2" t="s">
        <v>50</v>
      </c>
      <c r="S4385" s="9">
        <f t="shared" si="344"/>
        <v>0.05</v>
      </c>
    </row>
    <row r="4386" spans="1:19" x14ac:dyDescent="0.25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e">
        <f>VLOOKUP('Customer Info'!A4378,'Customer Info'!A4378:I4877,2,FALSE)</f>
        <v>#N/A</v>
      </c>
      <c r="H4386" s="6" t="e">
        <f>VLOOKUP('Customer Info'!A4378,'Customer Info'!A4378:I4878,3,FALSE)</f>
        <v>#N/A</v>
      </c>
      <c r="I4386" s="6" t="e">
        <f>VLOOKUP('Customer Info'!A4378,'Customer Info'!A4378:I4877,5,FALSE)</f>
        <v>#N/A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158</v>
      </c>
      <c r="R4386" s="2" t="s">
        <v>50</v>
      </c>
      <c r="S4386" s="9">
        <f t="shared" si="344"/>
        <v>0.02</v>
      </c>
    </row>
    <row r="4387" spans="1:19" x14ac:dyDescent="0.25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e">
        <f>VLOOKUP('Customer Info'!A4379,'Customer Info'!A4379:I4878,2,FALSE)</f>
        <v>#N/A</v>
      </c>
      <c r="H4387" s="6" t="e">
        <f>VLOOKUP('Customer Info'!A4379,'Customer Info'!A4379:I4879,3,FALSE)</f>
        <v>#N/A</v>
      </c>
      <c r="I4387" s="6" t="e">
        <f>VLOOKUP('Customer Info'!A4379,'Customer Info'!A4379:I4878,5,FALSE)</f>
        <v>#N/A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431</v>
      </c>
      <c r="R4387" s="2" t="s">
        <v>28</v>
      </c>
      <c r="S4387" s="9">
        <f t="shared" si="344"/>
        <v>0.05</v>
      </c>
    </row>
    <row r="4388" spans="1:19" x14ac:dyDescent="0.25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e">
        <f>VLOOKUP('Customer Info'!A4380,'Customer Info'!A4380:I4879,2,FALSE)</f>
        <v>#N/A</v>
      </c>
      <c r="H4388" s="6" t="e">
        <f>VLOOKUP('Customer Info'!A4380,'Customer Info'!A4380:I4880,3,FALSE)</f>
        <v>#N/A</v>
      </c>
      <c r="I4388" s="6" t="e">
        <f>VLOOKUP('Customer Info'!A4380,'Customer Info'!A4380:I4879,5,FALSE)</f>
        <v>#N/A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1640</v>
      </c>
      <c r="R4388" s="2" t="s">
        <v>50</v>
      </c>
      <c r="S4388" s="9">
        <f t="shared" si="344"/>
        <v>7.0000000000000007E-2</v>
      </c>
    </row>
    <row r="4389" spans="1:19" x14ac:dyDescent="0.25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e">
        <f>VLOOKUP('Customer Info'!A4381,'Customer Info'!A4381:I4880,2,FALSE)</f>
        <v>#N/A</v>
      </c>
      <c r="H4389" s="6" t="e">
        <f>VLOOKUP('Customer Info'!A4381,'Customer Info'!A4381:I4881,3,FALSE)</f>
        <v>#N/A</v>
      </c>
      <c r="I4389" s="6" t="e">
        <f>VLOOKUP('Customer Info'!A4381,'Customer Info'!A4381:I4880,5,FALSE)</f>
        <v>#N/A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63</v>
      </c>
      <c r="R4389" s="2" t="s">
        <v>50</v>
      </c>
      <c r="S4389" s="9">
        <f t="shared" si="344"/>
        <v>0.02</v>
      </c>
    </row>
    <row r="4390" spans="1:19" x14ac:dyDescent="0.25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e">
        <f>VLOOKUP('Customer Info'!A4382,'Customer Info'!A4382:I4881,2,FALSE)</f>
        <v>#N/A</v>
      </c>
      <c r="H4390" s="6" t="e">
        <f>VLOOKUP('Customer Info'!A4382,'Customer Info'!A4382:I4882,3,FALSE)</f>
        <v>#N/A</v>
      </c>
      <c r="I4390" s="6" t="e">
        <f>VLOOKUP('Customer Info'!A4382,'Customer Info'!A4382:I4881,5,FALSE)</f>
        <v>#N/A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1932</v>
      </c>
      <c r="R4390" s="2" t="s">
        <v>28</v>
      </c>
      <c r="S4390" s="9">
        <f t="shared" si="344"/>
        <v>7.0000000000000007E-2</v>
      </c>
    </row>
    <row r="4391" spans="1:19" x14ac:dyDescent="0.25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e">
        <f>VLOOKUP('Customer Info'!A4383,'Customer Info'!A4383:I4882,2,FALSE)</f>
        <v>#N/A</v>
      </c>
      <c r="H4391" s="6" t="e">
        <f>VLOOKUP('Customer Info'!A4383,'Customer Info'!A4383:I4883,3,FALSE)</f>
        <v>#N/A</v>
      </c>
      <c r="I4391" s="6" t="e">
        <f>VLOOKUP('Customer Info'!A4383,'Customer Info'!A4383:I4882,5,FALSE)</f>
        <v>#N/A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456</v>
      </c>
      <c r="R4391" s="2" t="s">
        <v>50</v>
      </c>
      <c r="S4391" s="9">
        <f t="shared" si="344"/>
        <v>0.05</v>
      </c>
    </row>
    <row r="4392" spans="1:19" x14ac:dyDescent="0.25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e">
        <f>VLOOKUP('Customer Info'!A4384,'Customer Info'!A4384:I4883,2,FALSE)</f>
        <v>#N/A</v>
      </c>
      <c r="H4392" s="6" t="e">
        <f>VLOOKUP('Customer Info'!A4384,'Customer Info'!A4384:I4884,3,FALSE)</f>
        <v>#N/A</v>
      </c>
      <c r="I4392" s="6" t="e">
        <f>VLOOKUP('Customer Info'!A4384,'Customer Info'!A4384:I4883,5,FALSE)</f>
        <v>#N/A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120</v>
      </c>
      <c r="R4392" s="2" t="s">
        <v>50</v>
      </c>
      <c r="S4392" s="9">
        <f t="shared" si="344"/>
        <v>0.02</v>
      </c>
    </row>
    <row r="4393" spans="1:19" x14ac:dyDescent="0.25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e">
        <f>VLOOKUP('Customer Info'!A4385,'Customer Info'!A4385:I4884,2,FALSE)</f>
        <v>#N/A</v>
      </c>
      <c r="H4393" s="6" t="e">
        <f>VLOOKUP('Customer Info'!A4385,'Customer Info'!A4385:I4885,3,FALSE)</f>
        <v>#N/A</v>
      </c>
      <c r="I4393" s="6" t="e">
        <f>VLOOKUP('Customer Info'!A4385,'Customer Info'!A4385:I4884,5,FALSE)</f>
        <v>#N/A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911</v>
      </c>
      <c r="R4393" s="2" t="s">
        <v>56</v>
      </c>
      <c r="S4393" s="9">
        <f t="shared" si="344"/>
        <v>0.05</v>
      </c>
    </row>
    <row r="4394" spans="1:19" x14ac:dyDescent="0.25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e">
        <f>VLOOKUP('Customer Info'!A4386,'Customer Info'!A4386:I4885,2,FALSE)</f>
        <v>#N/A</v>
      </c>
      <c r="H4394" s="6" t="e">
        <f>VLOOKUP('Customer Info'!A4386,'Customer Info'!A4386:I4886,3,FALSE)</f>
        <v>#N/A</v>
      </c>
      <c r="I4394" s="6" t="e">
        <f>VLOOKUP('Customer Info'!A4386,'Customer Info'!A4386:I4885,5,FALSE)</f>
        <v>#N/A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299</v>
      </c>
      <c r="R4394" s="2" t="s">
        <v>28</v>
      </c>
      <c r="S4394" s="9">
        <f t="shared" si="344"/>
        <v>0.05</v>
      </c>
    </row>
    <row r="4395" spans="1:19" x14ac:dyDescent="0.25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e">
        <f>VLOOKUP('Customer Info'!A4387,'Customer Info'!A4387:I4886,2,FALSE)</f>
        <v>#N/A</v>
      </c>
      <c r="H4395" s="6" t="e">
        <f>VLOOKUP('Customer Info'!A4387,'Customer Info'!A4387:I4887,3,FALSE)</f>
        <v>#N/A</v>
      </c>
      <c r="I4395" s="6" t="e">
        <f>VLOOKUP('Customer Info'!A4387,'Customer Info'!A4387:I4886,5,FALSE)</f>
        <v>#N/A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30</v>
      </c>
      <c r="R4395" s="2" t="s">
        <v>50</v>
      </c>
      <c r="S4395" s="9">
        <f t="shared" si="344"/>
        <v>0.02</v>
      </c>
    </row>
    <row r="4396" spans="1:19" x14ac:dyDescent="0.25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e">
        <f>VLOOKUP('Customer Info'!A4388,'Customer Info'!A4388:I4887,2,FALSE)</f>
        <v>#N/A</v>
      </c>
      <c r="H4396" s="6" t="e">
        <f>VLOOKUP('Customer Info'!A4388,'Customer Info'!A4388:I4888,3,FALSE)</f>
        <v>#N/A</v>
      </c>
      <c r="I4396" s="6" t="e">
        <f>VLOOKUP('Customer Info'!A4388,'Customer Info'!A4388:I4887,5,FALSE)</f>
        <v>#N/A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50</v>
      </c>
      <c r="R4396" s="2" t="s">
        <v>28</v>
      </c>
      <c r="S4396" s="9">
        <f t="shared" si="344"/>
        <v>0.02</v>
      </c>
    </row>
    <row r="4397" spans="1:19" x14ac:dyDescent="0.25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e">
        <f>VLOOKUP('Customer Info'!A4389,'Customer Info'!A4389:I4888,2,FALSE)</f>
        <v>#N/A</v>
      </c>
      <c r="H4397" s="6" t="e">
        <f>VLOOKUP('Customer Info'!A4389,'Customer Info'!A4389:I4889,3,FALSE)</f>
        <v>#N/A</v>
      </c>
      <c r="I4397" s="6" t="e">
        <f>VLOOKUP('Customer Info'!A4389,'Customer Info'!A4389:I4888,5,FALSE)</f>
        <v>#N/A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42</v>
      </c>
      <c r="R4397" s="2" t="s">
        <v>50</v>
      </c>
      <c r="S4397" s="9">
        <f t="shared" si="344"/>
        <v>0.02</v>
      </c>
    </row>
    <row r="4398" spans="1:19" x14ac:dyDescent="0.25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e">
        <f>VLOOKUP('Customer Info'!A4390,'Customer Info'!A4390:I4889,2,FALSE)</f>
        <v>#N/A</v>
      </c>
      <c r="H4398" s="6" t="e">
        <f>VLOOKUP('Customer Info'!A4390,'Customer Info'!A4390:I4890,3,FALSE)</f>
        <v>#N/A</v>
      </c>
      <c r="I4398" s="6" t="e">
        <f>VLOOKUP('Customer Info'!A4390,'Customer Info'!A4390:I4889,5,FALSE)</f>
        <v>#N/A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236</v>
      </c>
      <c r="R4398" s="2" t="s">
        <v>28</v>
      </c>
      <c r="S4398" s="9">
        <f t="shared" si="344"/>
        <v>0.02</v>
      </c>
    </row>
    <row r="4399" spans="1:19" x14ac:dyDescent="0.25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e">
        <f>VLOOKUP('Customer Info'!A4391,'Customer Info'!A4391:I4890,2,FALSE)</f>
        <v>#N/A</v>
      </c>
      <c r="H4399" s="6" t="e">
        <f>VLOOKUP('Customer Info'!A4391,'Customer Info'!A4391:I4891,3,FALSE)</f>
        <v>#N/A</v>
      </c>
      <c r="I4399" s="6" t="e">
        <f>VLOOKUP('Customer Info'!A4391,'Customer Info'!A4391:I4890,5,FALSE)</f>
        <v>#N/A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4631</v>
      </c>
      <c r="R4399" s="2" t="s">
        <v>26</v>
      </c>
      <c r="S4399" s="9">
        <f t="shared" si="344"/>
        <v>0.09</v>
      </c>
    </row>
    <row r="4400" spans="1:19" x14ac:dyDescent="0.25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e">
        <f>VLOOKUP('Customer Info'!A4392,'Customer Info'!A4392:I4891,2,FALSE)</f>
        <v>#N/A</v>
      </c>
      <c r="H4400" s="6" t="e">
        <f>VLOOKUP('Customer Info'!A4392,'Customer Info'!A4392:I4892,3,FALSE)</f>
        <v>#N/A</v>
      </c>
      <c r="I4400" s="6" t="e">
        <f>VLOOKUP('Customer Info'!A4392,'Customer Info'!A4392:I4891,5,FALSE)</f>
        <v>#N/A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688</v>
      </c>
      <c r="R4400" s="2" t="s">
        <v>28</v>
      </c>
      <c r="S4400" s="9">
        <f t="shared" si="344"/>
        <v>0.05</v>
      </c>
    </row>
    <row r="4401" spans="1:19" x14ac:dyDescent="0.25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e">
        <f>VLOOKUP('Customer Info'!A4393,'Customer Info'!A4393:I4892,2,FALSE)</f>
        <v>#N/A</v>
      </c>
      <c r="H4401" s="6" t="e">
        <f>VLOOKUP('Customer Info'!A4393,'Customer Info'!A4393:I4893,3,FALSE)</f>
        <v>#N/A</v>
      </c>
      <c r="I4401" s="6" t="e">
        <f>VLOOKUP('Customer Info'!A4393,'Customer Info'!A4393:I4892,5,FALSE)</f>
        <v>#N/A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128</v>
      </c>
      <c r="R4401" s="2" t="s">
        <v>50</v>
      </c>
      <c r="S4401" s="9">
        <f t="shared" si="344"/>
        <v>0.05</v>
      </c>
    </row>
    <row r="4402" spans="1:19" x14ac:dyDescent="0.25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e">
        <f>VLOOKUP('Customer Info'!A4394,'Customer Info'!A4394:I4893,2,FALSE)</f>
        <v>#N/A</v>
      </c>
      <c r="H4402" s="6" t="e">
        <f>VLOOKUP('Customer Info'!A4394,'Customer Info'!A4394:I4894,3,FALSE)</f>
        <v>#N/A</v>
      </c>
      <c r="I4402" s="6" t="e">
        <f>VLOOKUP('Customer Info'!A4394,'Customer Info'!A4394:I4893,5,FALSE)</f>
        <v>#N/A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75</v>
      </c>
      <c r="R4402" s="2" t="s">
        <v>28</v>
      </c>
      <c r="S4402" s="9">
        <f t="shared" si="344"/>
        <v>0.02</v>
      </c>
    </row>
    <row r="4403" spans="1:19" x14ac:dyDescent="0.25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e">
        <f>VLOOKUP('Customer Info'!A4395,'Customer Info'!A4395:I4894,2,FALSE)</f>
        <v>#N/A</v>
      </c>
      <c r="H4403" s="6" t="e">
        <f>VLOOKUP('Customer Info'!A4395,'Customer Info'!A4395:I4895,3,FALSE)</f>
        <v>#N/A</v>
      </c>
      <c r="I4403" s="6" t="e">
        <f>VLOOKUP('Customer Info'!A4395,'Customer Info'!A4395:I4894,5,FALSE)</f>
        <v>#N/A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367</v>
      </c>
      <c r="R4403" s="2" t="s">
        <v>28</v>
      </c>
      <c r="S4403" s="9">
        <f t="shared" si="344"/>
        <v>0.02</v>
      </c>
    </row>
    <row r="4404" spans="1:19" x14ac:dyDescent="0.25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e">
        <f>VLOOKUP('Customer Info'!A4396,'Customer Info'!A4396:I4895,2,FALSE)</f>
        <v>#N/A</v>
      </c>
      <c r="H4404" s="6" t="e">
        <f>VLOOKUP('Customer Info'!A4396,'Customer Info'!A4396:I4896,3,FALSE)</f>
        <v>#N/A</v>
      </c>
      <c r="I4404" s="6" t="e">
        <f>VLOOKUP('Customer Info'!A4396,'Customer Info'!A4396:I4895,5,FALSE)</f>
        <v>#N/A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552</v>
      </c>
      <c r="R4404" s="2" t="s">
        <v>28</v>
      </c>
      <c r="S4404" s="9">
        <f t="shared" si="344"/>
        <v>0.05</v>
      </c>
    </row>
    <row r="4405" spans="1:19" x14ac:dyDescent="0.25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e">
        <f>VLOOKUP('Customer Info'!A4397,'Customer Info'!A4397:I4896,2,FALSE)</f>
        <v>#N/A</v>
      </c>
      <c r="H4405" s="6" t="e">
        <f>VLOOKUP('Customer Info'!A4397,'Customer Info'!A4397:I4897,3,FALSE)</f>
        <v>#N/A</v>
      </c>
      <c r="I4405" s="6" t="e">
        <f>VLOOKUP('Customer Info'!A4397,'Customer Info'!A4397:I4896,5,FALSE)</f>
        <v>#N/A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237</v>
      </c>
      <c r="R4405" s="2" t="s">
        <v>28</v>
      </c>
      <c r="S4405" s="9">
        <f t="shared" si="344"/>
        <v>0.02</v>
      </c>
    </row>
    <row r="4406" spans="1:19" x14ac:dyDescent="0.25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e">
        <f>VLOOKUP('Customer Info'!A4398,'Customer Info'!A4398:I4897,2,FALSE)</f>
        <v>#N/A</v>
      </c>
      <c r="H4406" s="6" t="e">
        <f>VLOOKUP('Customer Info'!A4398,'Customer Info'!A4398:I4898,3,FALSE)</f>
        <v>#N/A</v>
      </c>
      <c r="I4406" s="6" t="e">
        <f>VLOOKUP('Customer Info'!A4398,'Customer Info'!A4398:I4897,5,FALSE)</f>
        <v>#N/A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85</v>
      </c>
      <c r="R4406" s="2" t="s">
        <v>50</v>
      </c>
      <c r="S4406" s="9">
        <f t="shared" si="344"/>
        <v>0.02</v>
      </c>
    </row>
    <row r="4407" spans="1:19" x14ac:dyDescent="0.25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e">
        <f>VLOOKUP('Customer Info'!A4399,'Customer Info'!A4399:I4898,2,FALSE)</f>
        <v>#N/A</v>
      </c>
      <c r="H4407" s="6" t="e">
        <f>VLOOKUP('Customer Info'!A4399,'Customer Info'!A4399:I4899,3,FALSE)</f>
        <v>#N/A</v>
      </c>
      <c r="I4407" s="6" t="e">
        <f>VLOOKUP('Customer Info'!A4399,'Customer Info'!A4399:I4898,5,FALSE)</f>
        <v>#N/A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182</v>
      </c>
      <c r="R4407" s="2" t="s">
        <v>50</v>
      </c>
      <c r="S4407" s="9">
        <f t="shared" si="344"/>
        <v>0.02</v>
      </c>
    </row>
    <row r="4408" spans="1:19" x14ac:dyDescent="0.25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e">
        <f>VLOOKUP('Customer Info'!A4400,'Customer Info'!A4400:I4899,2,FALSE)</f>
        <v>#N/A</v>
      </c>
      <c r="H4408" s="6" t="e">
        <f>VLOOKUP('Customer Info'!A4400,'Customer Info'!A4400:I4900,3,FALSE)</f>
        <v>#N/A</v>
      </c>
      <c r="I4408" s="6" t="e">
        <f>VLOOKUP('Customer Info'!A4400,'Customer Info'!A4400:I4899,5,FALSE)</f>
        <v>#N/A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92</v>
      </c>
      <c r="R4408" s="2" t="s">
        <v>28</v>
      </c>
      <c r="S4408" s="9">
        <f t="shared" si="344"/>
        <v>0.02</v>
      </c>
    </row>
    <row r="4409" spans="1:19" x14ac:dyDescent="0.25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e">
        <f>VLOOKUP('Customer Info'!A4401,'Customer Info'!A4401:I4900,2,FALSE)</f>
        <v>#N/A</v>
      </c>
      <c r="H4409" s="6" t="e">
        <f>VLOOKUP('Customer Info'!A4401,'Customer Info'!A4401:I4901,3,FALSE)</f>
        <v>#N/A</v>
      </c>
      <c r="I4409" s="6" t="e">
        <f>VLOOKUP('Customer Info'!A4401,'Customer Info'!A4401:I4900,5,FALSE)</f>
        <v>#N/A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271</v>
      </c>
      <c r="R4409" s="2" t="s">
        <v>28</v>
      </c>
      <c r="S4409" s="9">
        <f t="shared" si="344"/>
        <v>0.02</v>
      </c>
    </row>
    <row r="4410" spans="1:19" x14ac:dyDescent="0.25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e">
        <f>VLOOKUP('Customer Info'!A4402,'Customer Info'!A4402:I4901,2,FALSE)</f>
        <v>#N/A</v>
      </c>
      <c r="H4410" s="6" t="e">
        <f>VLOOKUP('Customer Info'!A4402,'Customer Info'!A4402:I4902,3,FALSE)</f>
        <v>#N/A</v>
      </c>
      <c r="I4410" s="6" t="e">
        <f>VLOOKUP('Customer Info'!A4402,'Customer Info'!A4402:I4901,5,FALSE)</f>
        <v>#N/A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1664</v>
      </c>
      <c r="R4410" s="2" t="s">
        <v>50</v>
      </c>
      <c r="S4410" s="9">
        <f t="shared" si="344"/>
        <v>0.05</v>
      </c>
    </row>
    <row r="4411" spans="1:19" x14ac:dyDescent="0.25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e">
        <f>VLOOKUP('Customer Info'!A4403,'Customer Info'!A4403:I4902,2,FALSE)</f>
        <v>#N/A</v>
      </c>
      <c r="H4411" s="6" t="e">
        <f>VLOOKUP('Customer Info'!A4403,'Customer Info'!A4403:I4903,3,FALSE)</f>
        <v>#N/A</v>
      </c>
      <c r="I4411" s="6" t="e">
        <f>VLOOKUP('Customer Info'!A4403,'Customer Info'!A4403:I4902,5,FALSE)</f>
        <v>#N/A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314</v>
      </c>
      <c r="R4411" s="2" t="s">
        <v>50</v>
      </c>
      <c r="S4411" s="9">
        <f t="shared" si="344"/>
        <v>0.02</v>
      </c>
    </row>
    <row r="4412" spans="1:19" x14ac:dyDescent="0.25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e">
        <f>VLOOKUP('Customer Info'!A4404,'Customer Info'!A4404:I4903,2,FALSE)</f>
        <v>#N/A</v>
      </c>
      <c r="H4412" s="6" t="e">
        <f>VLOOKUP('Customer Info'!A4404,'Customer Info'!A4404:I4904,3,FALSE)</f>
        <v>#N/A</v>
      </c>
      <c r="I4412" s="6" t="e">
        <f>VLOOKUP('Customer Info'!A4404,'Customer Info'!A4404:I4903,5,FALSE)</f>
        <v>#N/A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190</v>
      </c>
      <c r="R4412" s="2" t="s">
        <v>28</v>
      </c>
      <c r="S4412" s="9">
        <f t="shared" si="344"/>
        <v>0.02</v>
      </c>
    </row>
    <row r="4413" spans="1:19" x14ac:dyDescent="0.25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e">
        <f>VLOOKUP('Customer Info'!A4405,'Customer Info'!A4405:I4904,2,FALSE)</f>
        <v>#N/A</v>
      </c>
      <c r="H4413" s="6" t="e">
        <f>VLOOKUP('Customer Info'!A4405,'Customer Info'!A4405:I4905,3,FALSE)</f>
        <v>#N/A</v>
      </c>
      <c r="I4413" s="6" t="e">
        <f>VLOOKUP('Customer Info'!A4405,'Customer Info'!A4405:I4904,5,FALSE)</f>
        <v>#N/A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226</v>
      </c>
      <c r="R4413" s="2" t="s">
        <v>28</v>
      </c>
      <c r="S4413" s="9">
        <f t="shared" si="344"/>
        <v>0.02</v>
      </c>
    </row>
    <row r="4414" spans="1:19" x14ac:dyDescent="0.25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e">
        <f>VLOOKUP('Customer Info'!A4406,'Customer Info'!A4406:I4905,2,FALSE)</f>
        <v>#N/A</v>
      </c>
      <c r="H4414" s="6" t="e">
        <f>VLOOKUP('Customer Info'!A4406,'Customer Info'!A4406:I4906,3,FALSE)</f>
        <v>#N/A</v>
      </c>
      <c r="I4414" s="6" t="e">
        <f>VLOOKUP('Customer Info'!A4406,'Customer Info'!A4406:I4905,5,FALSE)</f>
        <v>#N/A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236</v>
      </c>
      <c r="R4414" s="2" t="s">
        <v>50</v>
      </c>
      <c r="S4414" s="9">
        <f t="shared" si="344"/>
        <v>0.02</v>
      </c>
    </row>
    <row r="4415" spans="1:19" x14ac:dyDescent="0.25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e">
        <f>VLOOKUP('Customer Info'!A4407,'Customer Info'!A4407:I4906,2,FALSE)</f>
        <v>#N/A</v>
      </c>
      <c r="H4415" s="6" t="e">
        <f>VLOOKUP('Customer Info'!A4407,'Customer Info'!A4407:I4907,3,FALSE)</f>
        <v>#N/A</v>
      </c>
      <c r="I4415" s="6" t="e">
        <f>VLOOKUP('Customer Info'!A4407,'Customer Info'!A4407:I4906,5,FALSE)</f>
        <v>#N/A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58</v>
      </c>
      <c r="R4415" s="2" t="s">
        <v>28</v>
      </c>
      <c r="S4415" s="9">
        <f t="shared" si="344"/>
        <v>0.02</v>
      </c>
    </row>
    <row r="4416" spans="1:19" x14ac:dyDescent="0.25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e">
        <f>VLOOKUP('Customer Info'!A4408,'Customer Info'!A4408:I4907,2,FALSE)</f>
        <v>#N/A</v>
      </c>
      <c r="H4416" s="6" t="e">
        <f>VLOOKUP('Customer Info'!A4408,'Customer Info'!A4408:I4908,3,FALSE)</f>
        <v>#N/A</v>
      </c>
      <c r="I4416" s="6" t="e">
        <f>VLOOKUP('Customer Info'!A4408,'Customer Info'!A4408:I4907,5,FALSE)</f>
        <v>#N/A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2406</v>
      </c>
      <c r="R4416" s="2" t="s">
        <v>28</v>
      </c>
      <c r="S4416" s="9">
        <f t="shared" si="344"/>
        <v>7.0000000000000007E-2</v>
      </c>
    </row>
    <row r="4417" spans="1:19" x14ac:dyDescent="0.25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e">
        <f>VLOOKUP('Customer Info'!A4409,'Customer Info'!A4409:I4908,2,FALSE)</f>
        <v>#N/A</v>
      </c>
      <c r="H4417" s="6" t="e">
        <f>VLOOKUP('Customer Info'!A4409,'Customer Info'!A4409:I4909,3,FALSE)</f>
        <v>#N/A</v>
      </c>
      <c r="I4417" s="6" t="e">
        <f>VLOOKUP('Customer Info'!A4409,'Customer Info'!A4409:I4908,5,FALSE)</f>
        <v>#N/A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170</v>
      </c>
      <c r="R4417" s="2" t="s">
        <v>56</v>
      </c>
      <c r="S4417" s="9">
        <f t="shared" si="344"/>
        <v>0.02</v>
      </c>
    </row>
    <row r="4418" spans="1:19" x14ac:dyDescent="0.25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e">
        <f>VLOOKUP('Customer Info'!A4410,'Customer Info'!A4410:I4909,2,FALSE)</f>
        <v>#N/A</v>
      </c>
      <c r="H4418" s="6" t="e">
        <f>VLOOKUP('Customer Info'!A4410,'Customer Info'!A4410:I4910,3,FALSE)</f>
        <v>#N/A</v>
      </c>
      <c r="I4418" s="6" t="e">
        <f>VLOOKUP('Customer Info'!A4410,'Customer Info'!A4410:I4909,5,FALSE)</f>
        <v>#N/A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194</v>
      </c>
      <c r="R4418" s="2" t="s">
        <v>50</v>
      </c>
      <c r="S4418" s="9">
        <f t="shared" si="344"/>
        <v>0.02</v>
      </c>
    </row>
    <row r="4419" spans="1:19" x14ac:dyDescent="0.25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e">
        <f>VLOOKUP('Customer Info'!A4411,'Customer Info'!A4411:I4910,2,FALSE)</f>
        <v>#N/A</v>
      </c>
      <c r="H4419" s="6" t="e">
        <f>VLOOKUP('Customer Info'!A4411,'Customer Info'!A4411:I4911,3,FALSE)</f>
        <v>#N/A</v>
      </c>
      <c r="I4419" s="6" t="e">
        <f>VLOOKUP('Customer Info'!A4411,'Customer Info'!A4411:I4910,5,FALSE)</f>
        <v>#N/A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509</v>
      </c>
      <c r="R4419" s="2" t="s">
        <v>50</v>
      </c>
      <c r="S4419" s="9">
        <f t="shared" si="344"/>
        <v>0.05</v>
      </c>
    </row>
    <row r="4420" spans="1:19" x14ac:dyDescent="0.25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e">
        <f>VLOOKUP('Customer Info'!A4412,'Customer Info'!A4412:I4911,2,FALSE)</f>
        <v>#N/A</v>
      </c>
      <c r="H4420" s="6" t="e">
        <f>VLOOKUP('Customer Info'!A4412,'Customer Info'!A4412:I4912,3,FALSE)</f>
        <v>#N/A</v>
      </c>
      <c r="I4420" s="6" t="e">
        <f>VLOOKUP('Customer Info'!A4412,'Customer Info'!A4412:I4911,5,FALSE)</f>
        <v>#N/A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142</v>
      </c>
      <c r="R4420" s="2" t="s">
        <v>56</v>
      </c>
      <c r="S4420" s="9">
        <f t="shared" si="344"/>
        <v>0.02</v>
      </c>
    </row>
    <row r="4421" spans="1:19" x14ac:dyDescent="0.25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e">
        <f>VLOOKUP('Customer Info'!A4413,'Customer Info'!A4413:I4912,2,FALSE)</f>
        <v>#N/A</v>
      </c>
      <c r="H4421" s="6" t="e">
        <f>VLOOKUP('Customer Info'!A4413,'Customer Info'!A4413:I4913,3,FALSE)</f>
        <v>#N/A</v>
      </c>
      <c r="I4421" s="6" t="e">
        <f>VLOOKUP('Customer Info'!A4413,'Customer Info'!A4413:I4912,5,FALSE)</f>
        <v>#N/A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52</v>
      </c>
      <c r="R4421" s="2" t="s">
        <v>28</v>
      </c>
      <c r="S4421" s="9">
        <f t="shared" si="344"/>
        <v>0.02</v>
      </c>
    </row>
    <row r="4422" spans="1:19" x14ac:dyDescent="0.25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e">
        <f>VLOOKUP('Customer Info'!A4414,'Customer Info'!A4414:I4913,2,FALSE)</f>
        <v>#N/A</v>
      </c>
      <c r="H4422" s="6" t="e">
        <f>VLOOKUP('Customer Info'!A4414,'Customer Info'!A4414:I4914,3,FALSE)</f>
        <v>#N/A</v>
      </c>
      <c r="I4422" s="6" t="e">
        <f>VLOOKUP('Customer Info'!A4414,'Customer Info'!A4414:I4913,5,FALSE)</f>
        <v>#N/A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583</v>
      </c>
      <c r="R4422" s="2" t="s">
        <v>28</v>
      </c>
      <c r="S4422" s="9">
        <f t="shared" si="344"/>
        <v>0.05</v>
      </c>
    </row>
    <row r="4423" spans="1:19" x14ac:dyDescent="0.25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e">
        <f>VLOOKUP('Customer Info'!A4415,'Customer Info'!A4415:I4914,2,FALSE)</f>
        <v>#N/A</v>
      </c>
      <c r="H4423" s="6" t="e">
        <f>VLOOKUP('Customer Info'!A4415,'Customer Info'!A4415:I4915,3,FALSE)</f>
        <v>#N/A</v>
      </c>
      <c r="I4423" s="6" t="e">
        <f>VLOOKUP('Customer Info'!A4415,'Customer Info'!A4415:I4914,5,FALSE)</f>
        <v>#N/A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108</v>
      </c>
      <c r="R4423" s="2" t="s">
        <v>28</v>
      </c>
      <c r="S4423" s="9">
        <f t="shared" si="344"/>
        <v>0.02</v>
      </c>
    </row>
    <row r="4424" spans="1:19" x14ac:dyDescent="0.25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e">
        <f>VLOOKUP('Customer Info'!A4416,'Customer Info'!A4416:I4915,2,FALSE)</f>
        <v>#N/A</v>
      </c>
      <c r="H4424" s="6" t="e">
        <f>VLOOKUP('Customer Info'!A4416,'Customer Info'!A4416:I4916,3,FALSE)</f>
        <v>#N/A</v>
      </c>
      <c r="I4424" s="6" t="e">
        <f>VLOOKUP('Customer Info'!A4416,'Customer Info'!A4416:I4915,5,FALSE)</f>
        <v>#N/A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102</v>
      </c>
      <c r="R4424" s="2" t="s">
        <v>26</v>
      </c>
      <c r="S4424" s="9">
        <f t="shared" si="344"/>
        <v>0.02</v>
      </c>
    </row>
    <row r="4425" spans="1:19" x14ac:dyDescent="0.25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e">
        <f>VLOOKUP('Customer Info'!A4417,'Customer Info'!A4417:I4916,2,FALSE)</f>
        <v>#N/A</v>
      </c>
      <c r="H4425" s="6" t="e">
        <f>VLOOKUP('Customer Info'!A4417,'Customer Info'!A4417:I4917,3,FALSE)</f>
        <v>#N/A</v>
      </c>
      <c r="I4425" s="6" t="e">
        <f>VLOOKUP('Customer Info'!A4417,'Customer Info'!A4417:I4916,5,FALSE)</f>
        <v>#N/A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81</v>
      </c>
      <c r="R4425" s="2" t="s">
        <v>28</v>
      </c>
      <c r="S4425" s="9">
        <f t="shared" si="344"/>
        <v>0.02</v>
      </c>
    </row>
    <row r="4426" spans="1:19" x14ac:dyDescent="0.25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e">
        <f>VLOOKUP('Customer Info'!A4418,'Customer Info'!A4418:I4917,2,FALSE)</f>
        <v>#N/A</v>
      </c>
      <c r="H4426" s="6" t="e">
        <f>VLOOKUP('Customer Info'!A4418,'Customer Info'!A4418:I4918,3,FALSE)</f>
        <v>#N/A</v>
      </c>
      <c r="I4426" s="6" t="e">
        <f>VLOOKUP('Customer Info'!A4418,'Customer Info'!A4418:I4917,5,FALSE)</f>
        <v>#N/A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290</v>
      </c>
      <c r="R4426" s="2" t="s">
        <v>50</v>
      </c>
      <c r="S4426" s="9">
        <f t="shared" si="344"/>
        <v>0.02</v>
      </c>
    </row>
    <row r="4427" spans="1:19" x14ac:dyDescent="0.25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e">
        <f>VLOOKUP('Customer Info'!A4419,'Customer Info'!A4419:I4918,2,FALSE)</f>
        <v>#N/A</v>
      </c>
      <c r="H4427" s="6" t="e">
        <f>VLOOKUP('Customer Info'!A4419,'Customer Info'!A4419:I4919,3,FALSE)</f>
        <v>#N/A</v>
      </c>
      <c r="I4427" s="6" t="e">
        <f>VLOOKUP('Customer Info'!A4419,'Customer Info'!A4419:I4918,5,FALSE)</f>
        <v>#N/A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8">
        <f t="shared" ref="P4427:P4490" si="347">N4427+O4427</f>
        <v>6703</v>
      </c>
      <c r="Q4427" s="8">
        <f t="shared" ref="Q4427:Q4490" si="348">P4427-M4427</f>
        <v>658</v>
      </c>
      <c r="R4427" s="2" t="s">
        <v>28</v>
      </c>
      <c r="S4427" s="9">
        <f t="shared" ref="S4427:S4490" si="349">VLOOKUP(P4427,$T$2:$U$7,2,TRUE)</f>
        <v>0.05</v>
      </c>
    </row>
    <row r="4428" spans="1:19" x14ac:dyDescent="0.25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e">
        <f>VLOOKUP('Customer Info'!A4420,'Customer Info'!A4420:I4919,2,FALSE)</f>
        <v>#N/A</v>
      </c>
      <c r="H4428" s="6" t="e">
        <f>VLOOKUP('Customer Info'!A4420,'Customer Info'!A4420:I4920,3,FALSE)</f>
        <v>#N/A</v>
      </c>
      <c r="I4428" s="6" t="e">
        <f>VLOOKUP('Customer Info'!A4420,'Customer Info'!A4420:I4919,5,FALSE)</f>
        <v>#N/A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60</v>
      </c>
      <c r="R4428" s="2" t="s">
        <v>28</v>
      </c>
      <c r="S4428" s="9">
        <f t="shared" si="349"/>
        <v>0.02</v>
      </c>
    </row>
    <row r="4429" spans="1:19" x14ac:dyDescent="0.25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e">
        <f>VLOOKUP('Customer Info'!A4421,'Customer Info'!A4421:I4920,2,FALSE)</f>
        <v>#N/A</v>
      </c>
      <c r="H4429" s="6" t="e">
        <f>VLOOKUP('Customer Info'!A4421,'Customer Info'!A4421:I4921,3,FALSE)</f>
        <v>#N/A</v>
      </c>
      <c r="I4429" s="6" t="e">
        <f>VLOOKUP('Customer Info'!A4421,'Customer Info'!A4421:I4920,5,FALSE)</f>
        <v>#N/A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342</v>
      </c>
      <c r="R4429" s="2" t="s">
        <v>26</v>
      </c>
      <c r="S4429" s="9">
        <f t="shared" si="349"/>
        <v>0.02</v>
      </c>
    </row>
    <row r="4430" spans="1:19" x14ac:dyDescent="0.25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e">
        <f>VLOOKUP('Customer Info'!A4422,'Customer Info'!A4422:I4921,2,FALSE)</f>
        <v>#N/A</v>
      </c>
      <c r="H4430" s="6" t="e">
        <f>VLOOKUP('Customer Info'!A4422,'Customer Info'!A4422:I4922,3,FALSE)</f>
        <v>#N/A</v>
      </c>
      <c r="I4430" s="6" t="e">
        <f>VLOOKUP('Customer Info'!A4422,'Customer Info'!A4422:I4921,5,FALSE)</f>
        <v>#N/A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250</v>
      </c>
      <c r="R4430" s="2" t="s">
        <v>28</v>
      </c>
      <c r="S4430" s="9">
        <f t="shared" si="349"/>
        <v>0.05</v>
      </c>
    </row>
    <row r="4431" spans="1:19" x14ac:dyDescent="0.25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e">
        <f>VLOOKUP('Customer Info'!A4423,'Customer Info'!A4423:I4922,2,FALSE)</f>
        <v>#N/A</v>
      </c>
      <c r="H4431" s="6" t="e">
        <f>VLOOKUP('Customer Info'!A4423,'Customer Info'!A4423:I4923,3,FALSE)</f>
        <v>#N/A</v>
      </c>
      <c r="I4431" s="6" t="e">
        <f>VLOOKUP('Customer Info'!A4423,'Customer Info'!A4423:I4922,5,FALSE)</f>
        <v>#N/A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282</v>
      </c>
      <c r="R4431" s="2" t="s">
        <v>28</v>
      </c>
      <c r="S4431" s="9">
        <f t="shared" si="349"/>
        <v>0.02</v>
      </c>
    </row>
    <row r="4432" spans="1:19" x14ac:dyDescent="0.25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e">
        <f>VLOOKUP('Customer Info'!A4424,'Customer Info'!A4424:I4923,2,FALSE)</f>
        <v>#N/A</v>
      </c>
      <c r="H4432" s="6" t="e">
        <f>VLOOKUP('Customer Info'!A4424,'Customer Info'!A4424:I4924,3,FALSE)</f>
        <v>#N/A</v>
      </c>
      <c r="I4432" s="6" t="e">
        <f>VLOOKUP('Customer Info'!A4424,'Customer Info'!A4424:I4923,5,FALSE)</f>
        <v>#N/A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48</v>
      </c>
      <c r="R4432" s="2" t="s">
        <v>28</v>
      </c>
      <c r="S4432" s="9">
        <f t="shared" si="349"/>
        <v>0.02</v>
      </c>
    </row>
    <row r="4433" spans="1:19" x14ac:dyDescent="0.25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e">
        <f>VLOOKUP('Customer Info'!A4425,'Customer Info'!A4425:I4924,2,FALSE)</f>
        <v>#N/A</v>
      </c>
      <c r="H4433" s="6" t="e">
        <f>VLOOKUP('Customer Info'!A4425,'Customer Info'!A4425:I4925,3,FALSE)</f>
        <v>#N/A</v>
      </c>
      <c r="I4433" s="6" t="e">
        <f>VLOOKUP('Customer Info'!A4425,'Customer Info'!A4425:I4924,5,FALSE)</f>
        <v>#N/A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934</v>
      </c>
      <c r="R4433" s="2" t="s">
        <v>50</v>
      </c>
      <c r="S4433" s="9">
        <f t="shared" si="349"/>
        <v>0.05</v>
      </c>
    </row>
    <row r="4434" spans="1:19" x14ac:dyDescent="0.25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e">
        <f>VLOOKUP('Customer Info'!A4426,'Customer Info'!A4426:I4925,2,FALSE)</f>
        <v>#N/A</v>
      </c>
      <c r="H4434" s="6" t="e">
        <f>VLOOKUP('Customer Info'!A4426,'Customer Info'!A4426:I4926,3,FALSE)</f>
        <v>#N/A</v>
      </c>
      <c r="I4434" s="6" t="e">
        <f>VLOOKUP('Customer Info'!A4426,'Customer Info'!A4426:I4925,5,FALSE)</f>
        <v>#N/A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3696</v>
      </c>
      <c r="R4434" s="2" t="s">
        <v>28</v>
      </c>
      <c r="S4434" s="9">
        <f t="shared" si="349"/>
        <v>7.0000000000000007E-2</v>
      </c>
    </row>
    <row r="4435" spans="1:19" x14ac:dyDescent="0.25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e">
        <f>VLOOKUP('Customer Info'!A4427,'Customer Info'!A4427:I4926,2,FALSE)</f>
        <v>#N/A</v>
      </c>
      <c r="H4435" s="6" t="e">
        <f>VLOOKUP('Customer Info'!A4427,'Customer Info'!A4427:I4927,3,FALSE)</f>
        <v>#N/A</v>
      </c>
      <c r="I4435" s="6" t="e">
        <f>VLOOKUP('Customer Info'!A4427,'Customer Info'!A4427:I4926,5,FALSE)</f>
        <v>#N/A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215</v>
      </c>
      <c r="R4435" s="2" t="s">
        <v>50</v>
      </c>
      <c r="S4435" s="9">
        <f t="shared" si="349"/>
        <v>0.05</v>
      </c>
    </row>
    <row r="4436" spans="1:19" x14ac:dyDescent="0.25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e">
        <f>VLOOKUP('Customer Info'!A4428,'Customer Info'!A4428:I4927,2,FALSE)</f>
        <v>#N/A</v>
      </c>
      <c r="H4436" s="6" t="e">
        <f>VLOOKUP('Customer Info'!A4428,'Customer Info'!A4428:I4928,3,FALSE)</f>
        <v>#N/A</v>
      </c>
      <c r="I4436" s="6" t="e">
        <f>VLOOKUP('Customer Info'!A4428,'Customer Info'!A4428:I4927,5,FALSE)</f>
        <v>#N/A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88</v>
      </c>
      <c r="R4436" s="2" t="s">
        <v>28</v>
      </c>
      <c r="S4436" s="9">
        <f t="shared" si="349"/>
        <v>0.02</v>
      </c>
    </row>
    <row r="4437" spans="1:19" x14ac:dyDescent="0.25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e">
        <f>VLOOKUP('Customer Info'!A4429,'Customer Info'!A4429:I4928,2,FALSE)</f>
        <v>#N/A</v>
      </c>
      <c r="H4437" s="6" t="e">
        <f>VLOOKUP('Customer Info'!A4429,'Customer Info'!A4429:I4929,3,FALSE)</f>
        <v>#N/A</v>
      </c>
      <c r="I4437" s="6" t="e">
        <f>VLOOKUP('Customer Info'!A4429,'Customer Info'!A4429:I4928,5,FALSE)</f>
        <v>#N/A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504</v>
      </c>
      <c r="R4437" s="2" t="s">
        <v>26</v>
      </c>
      <c r="S4437" s="9">
        <f t="shared" si="349"/>
        <v>0.05</v>
      </c>
    </row>
    <row r="4438" spans="1:19" x14ac:dyDescent="0.25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e">
        <f>VLOOKUP('Customer Info'!A4430,'Customer Info'!A4430:I4929,2,FALSE)</f>
        <v>#N/A</v>
      </c>
      <c r="H4438" s="6" t="e">
        <f>VLOOKUP('Customer Info'!A4430,'Customer Info'!A4430:I4930,3,FALSE)</f>
        <v>#N/A</v>
      </c>
      <c r="I4438" s="6" t="e">
        <f>VLOOKUP('Customer Info'!A4430,'Customer Info'!A4430:I4929,5,FALSE)</f>
        <v>#N/A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1407</v>
      </c>
      <c r="R4438" s="2" t="s">
        <v>28</v>
      </c>
      <c r="S4438" s="9">
        <f t="shared" si="349"/>
        <v>0.05</v>
      </c>
    </row>
    <row r="4439" spans="1:19" x14ac:dyDescent="0.25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e">
        <f>VLOOKUP('Customer Info'!A4431,'Customer Info'!A4431:I4930,2,FALSE)</f>
        <v>#N/A</v>
      </c>
      <c r="H4439" s="6" t="e">
        <f>VLOOKUP('Customer Info'!A4431,'Customer Info'!A4431:I4931,3,FALSE)</f>
        <v>#N/A</v>
      </c>
      <c r="I4439" s="6" t="e">
        <f>VLOOKUP('Customer Info'!A4431,'Customer Info'!A4431:I4930,5,FALSE)</f>
        <v>#N/A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54</v>
      </c>
      <c r="R4439" s="2" t="s">
        <v>50</v>
      </c>
      <c r="S4439" s="9">
        <f t="shared" si="349"/>
        <v>0.02</v>
      </c>
    </row>
    <row r="4440" spans="1:19" x14ac:dyDescent="0.25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e">
        <f>VLOOKUP('Customer Info'!A4432,'Customer Info'!A4432:I4931,2,FALSE)</f>
        <v>#N/A</v>
      </c>
      <c r="H4440" s="6" t="e">
        <f>VLOOKUP('Customer Info'!A4432,'Customer Info'!A4432:I4932,3,FALSE)</f>
        <v>#N/A</v>
      </c>
      <c r="I4440" s="6" t="e">
        <f>VLOOKUP('Customer Info'!A4432,'Customer Info'!A4432:I4931,5,FALSE)</f>
        <v>#N/A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46</v>
      </c>
      <c r="R4440" s="2" t="s">
        <v>50</v>
      </c>
      <c r="S4440" s="9">
        <f t="shared" si="349"/>
        <v>0.02</v>
      </c>
    </row>
    <row r="4441" spans="1:19" x14ac:dyDescent="0.25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e">
        <f>VLOOKUP('Customer Info'!A4433,'Customer Info'!A4433:I4932,2,FALSE)</f>
        <v>#N/A</v>
      </c>
      <c r="H4441" s="6" t="e">
        <f>VLOOKUP('Customer Info'!A4433,'Customer Info'!A4433:I4933,3,FALSE)</f>
        <v>#N/A</v>
      </c>
      <c r="I4441" s="6" t="e">
        <f>VLOOKUP('Customer Info'!A4433,'Customer Info'!A4433:I4932,5,FALSE)</f>
        <v>#N/A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353</v>
      </c>
      <c r="R4441" s="2" t="s">
        <v>28</v>
      </c>
      <c r="S4441" s="9">
        <f t="shared" si="349"/>
        <v>0.05</v>
      </c>
    </row>
    <row r="4442" spans="1:19" x14ac:dyDescent="0.25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e">
        <f>VLOOKUP('Customer Info'!A4434,'Customer Info'!A4434:I4933,2,FALSE)</f>
        <v>#N/A</v>
      </c>
      <c r="H4442" s="6" t="e">
        <f>VLOOKUP('Customer Info'!A4434,'Customer Info'!A4434:I4934,3,FALSE)</f>
        <v>#N/A</v>
      </c>
      <c r="I4442" s="6" t="e">
        <f>VLOOKUP('Customer Info'!A4434,'Customer Info'!A4434:I4933,5,FALSE)</f>
        <v>#N/A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344</v>
      </c>
      <c r="R4442" s="2" t="s">
        <v>28</v>
      </c>
      <c r="S4442" s="9">
        <f t="shared" si="349"/>
        <v>0.05</v>
      </c>
    </row>
    <row r="4443" spans="1:19" x14ac:dyDescent="0.25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e">
        <f>VLOOKUP('Customer Info'!A4435,'Customer Info'!A4435:I4934,2,FALSE)</f>
        <v>#N/A</v>
      </c>
      <c r="H4443" s="6" t="e">
        <f>VLOOKUP('Customer Info'!A4435,'Customer Info'!A4435:I4935,3,FALSE)</f>
        <v>#N/A</v>
      </c>
      <c r="I4443" s="6" t="e">
        <f>VLOOKUP('Customer Info'!A4435,'Customer Info'!A4435:I4934,5,FALSE)</f>
        <v>#N/A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384</v>
      </c>
      <c r="R4443" s="2" t="s">
        <v>28</v>
      </c>
      <c r="S4443" s="9">
        <f t="shared" si="349"/>
        <v>0.05</v>
      </c>
    </row>
    <row r="4444" spans="1:19" x14ac:dyDescent="0.25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e">
        <f>VLOOKUP('Customer Info'!A4436,'Customer Info'!A4436:I4935,2,FALSE)</f>
        <v>#N/A</v>
      </c>
      <c r="H4444" s="6" t="e">
        <f>VLOOKUP('Customer Info'!A4436,'Customer Info'!A4436:I4936,3,FALSE)</f>
        <v>#N/A</v>
      </c>
      <c r="I4444" s="6" t="e">
        <f>VLOOKUP('Customer Info'!A4436,'Customer Info'!A4436:I4935,5,FALSE)</f>
        <v>#N/A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1950</v>
      </c>
      <c r="R4444" s="2" t="s">
        <v>50</v>
      </c>
      <c r="S4444" s="9">
        <f t="shared" si="349"/>
        <v>0.05</v>
      </c>
    </row>
    <row r="4445" spans="1:19" x14ac:dyDescent="0.25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e">
        <f>VLOOKUP('Customer Info'!A4437,'Customer Info'!A4437:I4936,2,FALSE)</f>
        <v>#N/A</v>
      </c>
      <c r="H4445" s="6" t="e">
        <f>VLOOKUP('Customer Info'!A4437,'Customer Info'!A4437:I4937,3,FALSE)</f>
        <v>#N/A</v>
      </c>
      <c r="I4445" s="6" t="e">
        <f>VLOOKUP('Customer Info'!A4437,'Customer Info'!A4437:I4936,5,FALSE)</f>
        <v>#N/A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249</v>
      </c>
      <c r="R4445" s="2" t="s">
        <v>28</v>
      </c>
      <c r="S4445" s="9">
        <f t="shared" si="349"/>
        <v>0.02</v>
      </c>
    </row>
    <row r="4446" spans="1:19" x14ac:dyDescent="0.25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e">
        <f>VLOOKUP('Customer Info'!A4438,'Customer Info'!A4438:I4937,2,FALSE)</f>
        <v>#N/A</v>
      </c>
      <c r="H4446" s="6" t="e">
        <f>VLOOKUP('Customer Info'!A4438,'Customer Info'!A4438:I4938,3,FALSE)</f>
        <v>#N/A</v>
      </c>
      <c r="I4446" s="6" t="e">
        <f>VLOOKUP('Customer Info'!A4438,'Customer Info'!A4438:I4937,5,FALSE)</f>
        <v>#N/A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695</v>
      </c>
      <c r="R4446" s="2" t="s">
        <v>50</v>
      </c>
      <c r="S4446" s="9">
        <f t="shared" si="349"/>
        <v>0.05</v>
      </c>
    </row>
    <row r="4447" spans="1:19" x14ac:dyDescent="0.25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e">
        <f>VLOOKUP('Customer Info'!A4439,'Customer Info'!A4439:I4938,2,FALSE)</f>
        <v>#N/A</v>
      </c>
      <c r="H4447" s="6" t="e">
        <f>VLOOKUP('Customer Info'!A4439,'Customer Info'!A4439:I4939,3,FALSE)</f>
        <v>#N/A</v>
      </c>
      <c r="I4447" s="6" t="e">
        <f>VLOOKUP('Customer Info'!A4439,'Customer Info'!A4439:I4938,5,FALSE)</f>
        <v>#N/A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4677</v>
      </c>
      <c r="R4447" s="2" t="s">
        <v>28</v>
      </c>
      <c r="S4447" s="9">
        <f t="shared" si="349"/>
        <v>0.09</v>
      </c>
    </row>
    <row r="4448" spans="1:19" x14ac:dyDescent="0.25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e">
        <f>VLOOKUP('Customer Info'!A4440,'Customer Info'!A4440:I4939,2,FALSE)</f>
        <v>#N/A</v>
      </c>
      <c r="H4448" s="6" t="e">
        <f>VLOOKUP('Customer Info'!A4440,'Customer Info'!A4440:I4940,3,FALSE)</f>
        <v>#N/A</v>
      </c>
      <c r="I4448" s="6" t="e">
        <f>VLOOKUP('Customer Info'!A4440,'Customer Info'!A4440:I4939,5,FALSE)</f>
        <v>#N/A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204</v>
      </c>
      <c r="R4448" s="2" t="s">
        <v>28</v>
      </c>
      <c r="S4448" s="9">
        <f t="shared" si="349"/>
        <v>0.02</v>
      </c>
    </row>
    <row r="4449" spans="1:19" x14ac:dyDescent="0.25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e">
        <f>VLOOKUP('Customer Info'!A4441,'Customer Info'!A4441:I4940,2,FALSE)</f>
        <v>#N/A</v>
      </c>
      <c r="H4449" s="6" t="e">
        <f>VLOOKUP('Customer Info'!A4441,'Customer Info'!A4441:I4941,3,FALSE)</f>
        <v>#N/A</v>
      </c>
      <c r="I4449" s="6" t="e">
        <f>VLOOKUP('Customer Info'!A4441,'Customer Info'!A4441:I4940,5,FALSE)</f>
        <v>#N/A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200</v>
      </c>
      <c r="R4449" s="2" t="s">
        <v>28</v>
      </c>
      <c r="S4449" s="9">
        <f t="shared" si="349"/>
        <v>0.02</v>
      </c>
    </row>
    <row r="4450" spans="1:19" x14ac:dyDescent="0.25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e">
        <f>VLOOKUP('Customer Info'!A4442,'Customer Info'!A4442:I4941,2,FALSE)</f>
        <v>#N/A</v>
      </c>
      <c r="H4450" s="6" t="e">
        <f>VLOOKUP('Customer Info'!A4442,'Customer Info'!A4442:I4942,3,FALSE)</f>
        <v>#N/A</v>
      </c>
      <c r="I4450" s="6" t="e">
        <f>VLOOKUP('Customer Info'!A4442,'Customer Info'!A4442:I4941,5,FALSE)</f>
        <v>#N/A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561</v>
      </c>
      <c r="R4450" s="2" t="s">
        <v>28</v>
      </c>
      <c r="S4450" s="9">
        <f t="shared" si="349"/>
        <v>0.05</v>
      </c>
    </row>
    <row r="4451" spans="1:19" x14ac:dyDescent="0.25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e">
        <f>VLOOKUP('Customer Info'!A4443,'Customer Info'!A4443:I4942,2,FALSE)</f>
        <v>#N/A</v>
      </c>
      <c r="H4451" s="6" t="e">
        <f>VLOOKUP('Customer Info'!A4443,'Customer Info'!A4443:I4943,3,FALSE)</f>
        <v>#N/A</v>
      </c>
      <c r="I4451" s="6" t="e">
        <f>VLOOKUP('Customer Info'!A4443,'Customer Info'!A4443:I4942,5,FALSE)</f>
        <v>#N/A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682</v>
      </c>
      <c r="R4451" s="2" t="s">
        <v>28</v>
      </c>
      <c r="S4451" s="9">
        <f t="shared" si="349"/>
        <v>0.05</v>
      </c>
    </row>
    <row r="4452" spans="1:19" x14ac:dyDescent="0.25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e">
        <f>VLOOKUP('Customer Info'!A4444,'Customer Info'!A4444:I4943,2,FALSE)</f>
        <v>#N/A</v>
      </c>
      <c r="H4452" s="6" t="e">
        <f>VLOOKUP('Customer Info'!A4444,'Customer Info'!A4444:I4944,3,FALSE)</f>
        <v>#N/A</v>
      </c>
      <c r="I4452" s="6" t="e">
        <f>VLOOKUP('Customer Info'!A4444,'Customer Info'!A4444:I4943,5,FALSE)</f>
        <v>#N/A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836</v>
      </c>
      <c r="R4452" s="2" t="s">
        <v>28</v>
      </c>
      <c r="S4452" s="9">
        <f t="shared" si="349"/>
        <v>0.05</v>
      </c>
    </row>
    <row r="4453" spans="1:19" x14ac:dyDescent="0.25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e">
        <f>VLOOKUP('Customer Info'!A4445,'Customer Info'!A4445:I4944,2,FALSE)</f>
        <v>#N/A</v>
      </c>
      <c r="H4453" s="6" t="e">
        <f>VLOOKUP('Customer Info'!A4445,'Customer Info'!A4445:I4945,3,FALSE)</f>
        <v>#N/A</v>
      </c>
      <c r="I4453" s="6" t="e">
        <f>VLOOKUP('Customer Info'!A4445,'Customer Info'!A4445:I4944,5,FALSE)</f>
        <v>#N/A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86</v>
      </c>
      <c r="R4453" s="2" t="s">
        <v>28</v>
      </c>
      <c r="S4453" s="9">
        <f t="shared" si="349"/>
        <v>0.02</v>
      </c>
    </row>
    <row r="4454" spans="1:19" x14ac:dyDescent="0.25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e">
        <f>VLOOKUP('Customer Info'!A4446,'Customer Info'!A4446:I4945,2,FALSE)</f>
        <v>#N/A</v>
      </c>
      <c r="H4454" s="6" t="e">
        <f>VLOOKUP('Customer Info'!A4446,'Customer Info'!A4446:I4946,3,FALSE)</f>
        <v>#N/A</v>
      </c>
      <c r="I4454" s="6" t="e">
        <f>VLOOKUP('Customer Info'!A4446,'Customer Info'!A4446:I4945,5,FALSE)</f>
        <v>#N/A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2089</v>
      </c>
      <c r="R4454" s="2" t="s">
        <v>56</v>
      </c>
      <c r="S4454" s="9">
        <f t="shared" si="349"/>
        <v>7.0000000000000007E-2</v>
      </c>
    </row>
    <row r="4455" spans="1:19" x14ac:dyDescent="0.25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e">
        <f>VLOOKUP('Customer Info'!A4447,'Customer Info'!A4447:I4946,2,FALSE)</f>
        <v>#N/A</v>
      </c>
      <c r="H4455" s="6" t="e">
        <f>VLOOKUP('Customer Info'!A4447,'Customer Info'!A4447:I4947,3,FALSE)</f>
        <v>#N/A</v>
      </c>
      <c r="I4455" s="6" t="e">
        <f>VLOOKUP('Customer Info'!A4447,'Customer Info'!A4447:I4946,5,FALSE)</f>
        <v>#N/A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463</v>
      </c>
      <c r="R4455" s="2" t="s">
        <v>26</v>
      </c>
      <c r="S4455" s="9">
        <f t="shared" si="349"/>
        <v>0.02</v>
      </c>
    </row>
    <row r="4456" spans="1:19" x14ac:dyDescent="0.25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e">
        <f>VLOOKUP('Customer Info'!A4448,'Customer Info'!A4448:I4947,2,FALSE)</f>
        <v>#N/A</v>
      </c>
      <c r="H4456" s="6" t="e">
        <f>VLOOKUP('Customer Info'!A4448,'Customer Info'!A4448:I4948,3,FALSE)</f>
        <v>#N/A</v>
      </c>
      <c r="I4456" s="6" t="e">
        <f>VLOOKUP('Customer Info'!A4448,'Customer Info'!A4448:I4947,5,FALSE)</f>
        <v>#N/A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351</v>
      </c>
      <c r="R4456" s="2" t="s">
        <v>28</v>
      </c>
      <c r="S4456" s="9">
        <f t="shared" si="349"/>
        <v>0.02</v>
      </c>
    </row>
    <row r="4457" spans="1:19" x14ac:dyDescent="0.25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e">
        <f>VLOOKUP('Customer Info'!A4449,'Customer Info'!A4449:I4948,2,FALSE)</f>
        <v>#N/A</v>
      </c>
      <c r="H4457" s="6" t="e">
        <f>VLOOKUP('Customer Info'!A4449,'Customer Info'!A4449:I4949,3,FALSE)</f>
        <v>#N/A</v>
      </c>
      <c r="I4457" s="6" t="e">
        <f>VLOOKUP('Customer Info'!A4449,'Customer Info'!A4449:I4948,5,FALSE)</f>
        <v>#N/A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231</v>
      </c>
      <c r="R4457" s="2" t="s">
        <v>28</v>
      </c>
      <c r="S4457" s="9">
        <f t="shared" si="349"/>
        <v>0.02</v>
      </c>
    </row>
    <row r="4458" spans="1:19" x14ac:dyDescent="0.25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e">
        <f>VLOOKUP('Customer Info'!A4450,'Customer Info'!A4450:I4949,2,FALSE)</f>
        <v>#N/A</v>
      </c>
      <c r="H4458" s="6" t="e">
        <f>VLOOKUP('Customer Info'!A4450,'Customer Info'!A4450:I4950,3,FALSE)</f>
        <v>#N/A</v>
      </c>
      <c r="I4458" s="6" t="e">
        <f>VLOOKUP('Customer Info'!A4450,'Customer Info'!A4450:I4949,5,FALSE)</f>
        <v>#N/A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1740</v>
      </c>
      <c r="R4458" s="2" t="s">
        <v>28</v>
      </c>
      <c r="S4458" s="9">
        <f t="shared" si="349"/>
        <v>0.05</v>
      </c>
    </row>
    <row r="4459" spans="1:19" x14ac:dyDescent="0.25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e">
        <f>VLOOKUP('Customer Info'!A4451,'Customer Info'!A4451:I4950,2,FALSE)</f>
        <v>#N/A</v>
      </c>
      <c r="H4459" s="6" t="e">
        <f>VLOOKUP('Customer Info'!A4451,'Customer Info'!A4451:I4951,3,FALSE)</f>
        <v>#N/A</v>
      </c>
      <c r="I4459" s="6" t="e">
        <f>VLOOKUP('Customer Info'!A4451,'Customer Info'!A4451:I4950,5,FALSE)</f>
        <v>#N/A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1087</v>
      </c>
      <c r="R4459" s="2" t="s">
        <v>28</v>
      </c>
      <c r="S4459" s="9">
        <f t="shared" si="349"/>
        <v>7.0000000000000007E-2</v>
      </c>
    </row>
    <row r="4460" spans="1:19" x14ac:dyDescent="0.25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e">
        <f>VLOOKUP('Customer Info'!A4452,'Customer Info'!A4452:I4951,2,FALSE)</f>
        <v>#N/A</v>
      </c>
      <c r="H4460" s="6" t="e">
        <f>VLOOKUP('Customer Info'!A4452,'Customer Info'!A4452:I4952,3,FALSE)</f>
        <v>#N/A</v>
      </c>
      <c r="I4460" s="6" t="e">
        <f>VLOOKUP('Customer Info'!A4452,'Customer Info'!A4452:I4951,5,FALSE)</f>
        <v>#N/A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136</v>
      </c>
      <c r="R4460" s="2" t="s">
        <v>28</v>
      </c>
      <c r="S4460" s="9">
        <f t="shared" si="349"/>
        <v>0.02</v>
      </c>
    </row>
    <row r="4461" spans="1:19" x14ac:dyDescent="0.25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e">
        <f>VLOOKUP('Customer Info'!A4453,'Customer Info'!A4453:I4952,2,FALSE)</f>
        <v>#N/A</v>
      </c>
      <c r="H4461" s="6" t="e">
        <f>VLOOKUP('Customer Info'!A4453,'Customer Info'!A4453:I4953,3,FALSE)</f>
        <v>#N/A</v>
      </c>
      <c r="I4461" s="6" t="e">
        <f>VLOOKUP('Customer Info'!A4453,'Customer Info'!A4453:I4952,5,FALSE)</f>
        <v>#N/A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676</v>
      </c>
      <c r="R4461" s="2" t="s">
        <v>28</v>
      </c>
      <c r="S4461" s="9">
        <f t="shared" si="349"/>
        <v>0.05</v>
      </c>
    </row>
    <row r="4462" spans="1:19" x14ac:dyDescent="0.25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e">
        <f>VLOOKUP('Customer Info'!A4454,'Customer Info'!A4454:I4953,2,FALSE)</f>
        <v>#N/A</v>
      </c>
      <c r="H4462" s="6" t="e">
        <f>VLOOKUP('Customer Info'!A4454,'Customer Info'!A4454:I4954,3,FALSE)</f>
        <v>#N/A</v>
      </c>
      <c r="I4462" s="6" t="e">
        <f>VLOOKUP('Customer Info'!A4454,'Customer Info'!A4454:I4953,5,FALSE)</f>
        <v>#N/A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1850</v>
      </c>
      <c r="R4462" s="2" t="s">
        <v>26</v>
      </c>
      <c r="S4462" s="9">
        <f t="shared" si="349"/>
        <v>0.05</v>
      </c>
    </row>
    <row r="4463" spans="1:19" x14ac:dyDescent="0.25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e">
        <f>VLOOKUP('Customer Info'!A4455,'Customer Info'!A4455:I4954,2,FALSE)</f>
        <v>#N/A</v>
      </c>
      <c r="H4463" s="6" t="e">
        <f>VLOOKUP('Customer Info'!A4455,'Customer Info'!A4455:I4955,3,FALSE)</f>
        <v>#N/A</v>
      </c>
      <c r="I4463" s="6" t="e">
        <f>VLOOKUP('Customer Info'!A4455,'Customer Info'!A4455:I4954,5,FALSE)</f>
        <v>#N/A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1051</v>
      </c>
      <c r="R4463" s="2" t="s">
        <v>50</v>
      </c>
      <c r="S4463" s="9">
        <f t="shared" si="349"/>
        <v>7.0000000000000007E-2</v>
      </c>
    </row>
    <row r="4464" spans="1:19" x14ac:dyDescent="0.25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e">
        <f>VLOOKUP('Customer Info'!A4456,'Customer Info'!A4456:I4955,2,FALSE)</f>
        <v>#N/A</v>
      </c>
      <c r="H4464" s="6" t="e">
        <f>VLOOKUP('Customer Info'!A4456,'Customer Info'!A4456:I4956,3,FALSE)</f>
        <v>#N/A</v>
      </c>
      <c r="I4464" s="6" t="e">
        <f>VLOOKUP('Customer Info'!A4456,'Customer Info'!A4456:I4955,5,FALSE)</f>
        <v>#N/A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343</v>
      </c>
      <c r="R4464" s="2" t="s">
        <v>56</v>
      </c>
      <c r="S4464" s="9">
        <f t="shared" si="349"/>
        <v>0.02</v>
      </c>
    </row>
    <row r="4465" spans="1:19" x14ac:dyDescent="0.25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e">
        <f>VLOOKUP('Customer Info'!A4457,'Customer Info'!A4457:I4956,2,FALSE)</f>
        <v>#N/A</v>
      </c>
      <c r="H4465" s="6" t="e">
        <f>VLOOKUP('Customer Info'!A4457,'Customer Info'!A4457:I4957,3,FALSE)</f>
        <v>#N/A</v>
      </c>
      <c r="I4465" s="6" t="e">
        <f>VLOOKUP('Customer Info'!A4457,'Customer Info'!A4457:I4956,5,FALSE)</f>
        <v>#N/A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20</v>
      </c>
      <c r="R4465" s="2" t="s">
        <v>28</v>
      </c>
      <c r="S4465" s="9">
        <f t="shared" si="349"/>
        <v>0.02</v>
      </c>
    </row>
    <row r="4466" spans="1:19" x14ac:dyDescent="0.25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e">
        <f>VLOOKUP('Customer Info'!A4458,'Customer Info'!A4458:I4957,2,FALSE)</f>
        <v>#N/A</v>
      </c>
      <c r="H4466" s="6" t="e">
        <f>VLOOKUP('Customer Info'!A4458,'Customer Info'!A4458:I4958,3,FALSE)</f>
        <v>#N/A</v>
      </c>
      <c r="I4466" s="6" t="e">
        <f>VLOOKUP('Customer Info'!A4458,'Customer Info'!A4458:I4957,5,FALSE)</f>
        <v>#N/A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588</v>
      </c>
      <c r="R4466" s="2" t="s">
        <v>28</v>
      </c>
      <c r="S4466" s="9">
        <f t="shared" si="349"/>
        <v>0.05</v>
      </c>
    </row>
    <row r="4467" spans="1:19" x14ac:dyDescent="0.25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e">
        <f>VLOOKUP('Customer Info'!A4459,'Customer Info'!A4459:I4958,2,FALSE)</f>
        <v>#N/A</v>
      </c>
      <c r="H4467" s="6" t="e">
        <f>VLOOKUP('Customer Info'!A4459,'Customer Info'!A4459:I4959,3,FALSE)</f>
        <v>#N/A</v>
      </c>
      <c r="I4467" s="6" t="e">
        <f>VLOOKUP('Customer Info'!A4459,'Customer Info'!A4459:I4958,5,FALSE)</f>
        <v>#N/A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802</v>
      </c>
      <c r="R4467" s="2" t="s">
        <v>56</v>
      </c>
      <c r="S4467" s="9">
        <f t="shared" si="349"/>
        <v>7.0000000000000007E-2</v>
      </c>
    </row>
    <row r="4468" spans="1:19" x14ac:dyDescent="0.25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e">
        <f>VLOOKUP('Customer Info'!A4460,'Customer Info'!A4460:I4959,2,FALSE)</f>
        <v>#N/A</v>
      </c>
      <c r="H4468" s="6" t="e">
        <f>VLOOKUP('Customer Info'!A4460,'Customer Info'!A4460:I4960,3,FALSE)</f>
        <v>#N/A</v>
      </c>
      <c r="I4468" s="6" t="e">
        <f>VLOOKUP('Customer Info'!A4460,'Customer Info'!A4460:I4959,5,FALSE)</f>
        <v>#N/A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136</v>
      </c>
      <c r="R4468" s="2" t="s">
        <v>50</v>
      </c>
      <c r="S4468" s="9">
        <f t="shared" si="349"/>
        <v>0.02</v>
      </c>
    </row>
    <row r="4469" spans="1:19" x14ac:dyDescent="0.25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e">
        <f>VLOOKUP('Customer Info'!A4461,'Customer Info'!A4461:I4960,2,FALSE)</f>
        <v>#N/A</v>
      </c>
      <c r="H4469" s="6" t="e">
        <f>VLOOKUP('Customer Info'!A4461,'Customer Info'!A4461:I4961,3,FALSE)</f>
        <v>#N/A</v>
      </c>
      <c r="I4469" s="6" t="e">
        <f>VLOOKUP('Customer Info'!A4461,'Customer Info'!A4461:I4960,5,FALSE)</f>
        <v>#N/A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1664</v>
      </c>
      <c r="R4469" s="2" t="s">
        <v>28</v>
      </c>
      <c r="S4469" s="9">
        <f t="shared" si="349"/>
        <v>7.0000000000000007E-2</v>
      </c>
    </row>
    <row r="4470" spans="1:19" x14ac:dyDescent="0.25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e">
        <f>VLOOKUP('Customer Info'!A4462,'Customer Info'!A4462:I4961,2,FALSE)</f>
        <v>#N/A</v>
      </c>
      <c r="H4470" s="6" t="e">
        <f>VLOOKUP('Customer Info'!A4462,'Customer Info'!A4462:I4962,3,FALSE)</f>
        <v>#N/A</v>
      </c>
      <c r="I4470" s="6" t="e">
        <f>VLOOKUP('Customer Info'!A4462,'Customer Info'!A4462:I4961,5,FALSE)</f>
        <v>#N/A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271</v>
      </c>
      <c r="R4470" s="2" t="s">
        <v>28</v>
      </c>
      <c r="S4470" s="9">
        <f t="shared" si="349"/>
        <v>0.02</v>
      </c>
    </row>
    <row r="4471" spans="1:19" x14ac:dyDescent="0.25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e">
        <f>VLOOKUP('Customer Info'!A4463,'Customer Info'!A4463:I4962,2,FALSE)</f>
        <v>#N/A</v>
      </c>
      <c r="H4471" s="6" t="e">
        <f>VLOOKUP('Customer Info'!A4463,'Customer Info'!A4463:I4963,3,FALSE)</f>
        <v>#N/A</v>
      </c>
      <c r="I4471" s="6" t="e">
        <f>VLOOKUP('Customer Info'!A4463,'Customer Info'!A4463:I4962,5,FALSE)</f>
        <v>#N/A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2488</v>
      </c>
      <c r="R4471" s="2" t="s">
        <v>28</v>
      </c>
      <c r="S4471" s="9">
        <f t="shared" si="349"/>
        <v>7.0000000000000007E-2</v>
      </c>
    </row>
    <row r="4472" spans="1:19" x14ac:dyDescent="0.25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e">
        <f>VLOOKUP('Customer Info'!A4464,'Customer Info'!A4464:I4963,2,FALSE)</f>
        <v>#N/A</v>
      </c>
      <c r="H4472" s="6" t="e">
        <f>VLOOKUP('Customer Info'!A4464,'Customer Info'!A4464:I4964,3,FALSE)</f>
        <v>#N/A</v>
      </c>
      <c r="I4472" s="6" t="e">
        <f>VLOOKUP('Customer Info'!A4464,'Customer Info'!A4464:I4963,5,FALSE)</f>
        <v>#N/A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625</v>
      </c>
      <c r="R4472" s="2" t="s">
        <v>28</v>
      </c>
      <c r="S4472" s="9">
        <f t="shared" si="349"/>
        <v>0.05</v>
      </c>
    </row>
    <row r="4473" spans="1:19" x14ac:dyDescent="0.25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e">
        <f>VLOOKUP('Customer Info'!A4465,'Customer Info'!A4465:I4964,2,FALSE)</f>
        <v>#N/A</v>
      </c>
      <c r="H4473" s="6" t="e">
        <f>VLOOKUP('Customer Info'!A4465,'Customer Info'!A4465:I4965,3,FALSE)</f>
        <v>#N/A</v>
      </c>
      <c r="I4473" s="6" t="e">
        <f>VLOOKUP('Customer Info'!A4465,'Customer Info'!A4465:I4964,5,FALSE)</f>
        <v>#N/A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123</v>
      </c>
      <c r="R4473" s="2" t="s">
        <v>28</v>
      </c>
      <c r="S4473" s="9">
        <f t="shared" si="349"/>
        <v>0.02</v>
      </c>
    </row>
    <row r="4474" spans="1:19" x14ac:dyDescent="0.25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e">
        <f>VLOOKUP('Customer Info'!A4466,'Customer Info'!A4466:I4965,2,FALSE)</f>
        <v>#N/A</v>
      </c>
      <c r="H4474" s="6" t="e">
        <f>VLOOKUP('Customer Info'!A4466,'Customer Info'!A4466:I4966,3,FALSE)</f>
        <v>#N/A</v>
      </c>
      <c r="I4474" s="6" t="e">
        <f>VLOOKUP('Customer Info'!A4466,'Customer Info'!A4466:I4965,5,FALSE)</f>
        <v>#N/A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261</v>
      </c>
      <c r="R4474" s="2" t="s">
        <v>28</v>
      </c>
      <c r="S4474" s="9">
        <f t="shared" si="349"/>
        <v>0.02</v>
      </c>
    </row>
    <row r="4475" spans="1:19" x14ac:dyDescent="0.25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e">
        <f>VLOOKUP('Customer Info'!A4467,'Customer Info'!A4467:I4966,2,FALSE)</f>
        <v>#N/A</v>
      </c>
      <c r="H4475" s="6" t="e">
        <f>VLOOKUP('Customer Info'!A4467,'Customer Info'!A4467:I4967,3,FALSE)</f>
        <v>#N/A</v>
      </c>
      <c r="I4475" s="6" t="e">
        <f>VLOOKUP('Customer Info'!A4467,'Customer Info'!A4467:I4966,5,FALSE)</f>
        <v>#N/A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275</v>
      </c>
      <c r="R4475" s="2" t="s">
        <v>28</v>
      </c>
      <c r="S4475" s="9">
        <f t="shared" si="349"/>
        <v>0.02</v>
      </c>
    </row>
    <row r="4476" spans="1:19" x14ac:dyDescent="0.25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e">
        <f>VLOOKUP('Customer Info'!A4468,'Customer Info'!A4468:I4967,2,FALSE)</f>
        <v>#N/A</v>
      </c>
      <c r="H4476" s="6" t="e">
        <f>VLOOKUP('Customer Info'!A4468,'Customer Info'!A4468:I4968,3,FALSE)</f>
        <v>#N/A</v>
      </c>
      <c r="I4476" s="6" t="e">
        <f>VLOOKUP('Customer Info'!A4468,'Customer Info'!A4468:I4967,5,FALSE)</f>
        <v>#N/A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45</v>
      </c>
      <c r="R4476" s="2" t="s">
        <v>28</v>
      </c>
      <c r="S4476" s="9">
        <f t="shared" si="349"/>
        <v>0.02</v>
      </c>
    </row>
    <row r="4477" spans="1:19" x14ac:dyDescent="0.25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e">
        <f>VLOOKUP('Customer Info'!A4469,'Customer Info'!A4469:I4968,2,FALSE)</f>
        <v>#N/A</v>
      </c>
      <c r="H4477" s="6" t="e">
        <f>VLOOKUP('Customer Info'!A4469,'Customer Info'!A4469:I4969,3,FALSE)</f>
        <v>#N/A</v>
      </c>
      <c r="I4477" s="6" t="e">
        <f>VLOOKUP('Customer Info'!A4469,'Customer Info'!A4469:I4968,5,FALSE)</f>
        <v>#N/A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44</v>
      </c>
      <c r="R4477" s="2" t="s">
        <v>28</v>
      </c>
      <c r="S4477" s="9">
        <f t="shared" si="349"/>
        <v>0.02</v>
      </c>
    </row>
    <row r="4478" spans="1:19" x14ac:dyDescent="0.25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e">
        <f>VLOOKUP('Customer Info'!A4470,'Customer Info'!A4470:I4969,2,FALSE)</f>
        <v>#N/A</v>
      </c>
      <c r="H4478" s="6" t="e">
        <f>VLOOKUP('Customer Info'!A4470,'Customer Info'!A4470:I4970,3,FALSE)</f>
        <v>#N/A</v>
      </c>
      <c r="I4478" s="6" t="e">
        <f>VLOOKUP('Customer Info'!A4470,'Customer Info'!A4470:I4969,5,FALSE)</f>
        <v>#N/A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3840</v>
      </c>
      <c r="R4478" s="2" t="s">
        <v>28</v>
      </c>
      <c r="S4478" s="9">
        <f t="shared" si="349"/>
        <v>7.0000000000000007E-2</v>
      </c>
    </row>
    <row r="4479" spans="1:19" x14ac:dyDescent="0.25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e">
        <f>VLOOKUP('Customer Info'!A4471,'Customer Info'!A4471:I4970,2,FALSE)</f>
        <v>#N/A</v>
      </c>
      <c r="H4479" s="6" t="e">
        <f>VLOOKUP('Customer Info'!A4471,'Customer Info'!A4471:I4971,3,FALSE)</f>
        <v>#N/A</v>
      </c>
      <c r="I4479" s="6" t="e">
        <f>VLOOKUP('Customer Info'!A4471,'Customer Info'!A4471:I4970,5,FALSE)</f>
        <v>#N/A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591</v>
      </c>
      <c r="R4479" s="2" t="s">
        <v>28</v>
      </c>
      <c r="S4479" s="9">
        <f t="shared" si="349"/>
        <v>0.05</v>
      </c>
    </row>
    <row r="4480" spans="1:19" x14ac:dyDescent="0.25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e">
        <f>VLOOKUP('Customer Info'!A4472,'Customer Info'!A4472:I4971,2,FALSE)</f>
        <v>#N/A</v>
      </c>
      <c r="H4480" s="6" t="e">
        <f>VLOOKUP('Customer Info'!A4472,'Customer Info'!A4472:I4972,3,FALSE)</f>
        <v>#N/A</v>
      </c>
      <c r="I4480" s="6" t="e">
        <f>VLOOKUP('Customer Info'!A4472,'Customer Info'!A4472:I4971,5,FALSE)</f>
        <v>#N/A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391</v>
      </c>
      <c r="R4480" s="2" t="s">
        <v>50</v>
      </c>
      <c r="S4480" s="9">
        <f t="shared" si="349"/>
        <v>0.02</v>
      </c>
    </row>
    <row r="4481" spans="1:19" x14ac:dyDescent="0.25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e">
        <f>VLOOKUP('Customer Info'!A4473,'Customer Info'!A4473:I4972,2,FALSE)</f>
        <v>#N/A</v>
      </c>
      <c r="H4481" s="6" t="e">
        <f>VLOOKUP('Customer Info'!A4473,'Customer Info'!A4473:I4973,3,FALSE)</f>
        <v>#N/A</v>
      </c>
      <c r="I4481" s="6" t="e">
        <f>VLOOKUP('Customer Info'!A4473,'Customer Info'!A4473:I4972,5,FALSE)</f>
        <v>#N/A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541</v>
      </c>
      <c r="R4481" s="2" t="s">
        <v>28</v>
      </c>
      <c r="S4481" s="9">
        <f t="shared" si="349"/>
        <v>0.05</v>
      </c>
    </row>
    <row r="4482" spans="1:19" x14ac:dyDescent="0.25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e">
        <f>VLOOKUP('Customer Info'!A4474,'Customer Info'!A4474:I4973,2,FALSE)</f>
        <v>#N/A</v>
      </c>
      <c r="H4482" s="6" t="e">
        <f>VLOOKUP('Customer Info'!A4474,'Customer Info'!A4474:I4974,3,FALSE)</f>
        <v>#N/A</v>
      </c>
      <c r="I4482" s="6" t="e">
        <f>VLOOKUP('Customer Info'!A4474,'Customer Info'!A4474:I4973,5,FALSE)</f>
        <v>#N/A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1221</v>
      </c>
      <c r="R4482" s="2" t="s">
        <v>50</v>
      </c>
      <c r="S4482" s="9">
        <f t="shared" si="349"/>
        <v>0.05</v>
      </c>
    </row>
    <row r="4483" spans="1:19" x14ac:dyDescent="0.25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e">
        <f>VLOOKUP('Customer Info'!A4475,'Customer Info'!A4475:I4974,2,FALSE)</f>
        <v>#N/A</v>
      </c>
      <c r="H4483" s="6" t="e">
        <f>VLOOKUP('Customer Info'!A4475,'Customer Info'!A4475:I4975,3,FALSE)</f>
        <v>#N/A</v>
      </c>
      <c r="I4483" s="6" t="e">
        <f>VLOOKUP('Customer Info'!A4475,'Customer Info'!A4475:I4974,5,FALSE)</f>
        <v>#N/A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486</v>
      </c>
      <c r="R4483" s="2" t="s">
        <v>26</v>
      </c>
      <c r="S4483" s="9">
        <f t="shared" si="349"/>
        <v>0.05</v>
      </c>
    </row>
    <row r="4484" spans="1:19" x14ac:dyDescent="0.25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e">
        <f>VLOOKUP('Customer Info'!A4476,'Customer Info'!A4476:I4975,2,FALSE)</f>
        <v>#N/A</v>
      </c>
      <c r="H4484" s="6" t="e">
        <f>VLOOKUP('Customer Info'!A4476,'Customer Info'!A4476:I4976,3,FALSE)</f>
        <v>#N/A</v>
      </c>
      <c r="I4484" s="6" t="e">
        <f>VLOOKUP('Customer Info'!A4476,'Customer Info'!A4476:I4975,5,FALSE)</f>
        <v>#N/A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357</v>
      </c>
      <c r="R4484" s="2" t="s">
        <v>50</v>
      </c>
      <c r="S4484" s="9">
        <f t="shared" si="349"/>
        <v>0.02</v>
      </c>
    </row>
    <row r="4485" spans="1:19" x14ac:dyDescent="0.25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e">
        <f>VLOOKUP('Customer Info'!A4477,'Customer Info'!A4477:I4976,2,FALSE)</f>
        <v>#N/A</v>
      </c>
      <c r="H4485" s="6" t="e">
        <f>VLOOKUP('Customer Info'!A4477,'Customer Info'!A4477:I4977,3,FALSE)</f>
        <v>#N/A</v>
      </c>
      <c r="I4485" s="6" t="e">
        <f>VLOOKUP('Customer Info'!A4477,'Customer Info'!A4477:I4976,5,FALSE)</f>
        <v>#N/A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686</v>
      </c>
      <c r="R4485" s="2" t="s">
        <v>28</v>
      </c>
      <c r="S4485" s="9">
        <f t="shared" si="349"/>
        <v>0.05</v>
      </c>
    </row>
    <row r="4486" spans="1:19" x14ac:dyDescent="0.25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e">
        <f>VLOOKUP('Customer Info'!A4478,'Customer Info'!A4478:I4977,2,FALSE)</f>
        <v>#N/A</v>
      </c>
      <c r="H4486" s="6" t="e">
        <f>VLOOKUP('Customer Info'!A4478,'Customer Info'!A4478:I4978,3,FALSE)</f>
        <v>#N/A</v>
      </c>
      <c r="I4486" s="6" t="e">
        <f>VLOOKUP('Customer Info'!A4478,'Customer Info'!A4478:I4977,5,FALSE)</f>
        <v>#N/A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72</v>
      </c>
      <c r="R4486" s="2" t="s">
        <v>28</v>
      </c>
      <c r="S4486" s="9">
        <f t="shared" si="349"/>
        <v>0.02</v>
      </c>
    </row>
    <row r="4487" spans="1:19" x14ac:dyDescent="0.25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e">
        <f>VLOOKUP('Customer Info'!A4479,'Customer Info'!A4479:I4978,2,FALSE)</f>
        <v>#N/A</v>
      </c>
      <c r="H4487" s="6" t="e">
        <f>VLOOKUP('Customer Info'!A4479,'Customer Info'!A4479:I4979,3,FALSE)</f>
        <v>#N/A</v>
      </c>
      <c r="I4487" s="6" t="e">
        <f>VLOOKUP('Customer Info'!A4479,'Customer Info'!A4479:I4978,5,FALSE)</f>
        <v>#N/A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75</v>
      </c>
      <c r="R4487" s="2" t="s">
        <v>50</v>
      </c>
      <c r="S4487" s="9">
        <f t="shared" si="349"/>
        <v>0.02</v>
      </c>
    </row>
    <row r="4488" spans="1:19" x14ac:dyDescent="0.25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e">
        <f>VLOOKUP('Customer Info'!A4480,'Customer Info'!A4480:I4979,2,FALSE)</f>
        <v>#N/A</v>
      </c>
      <c r="H4488" s="6" t="e">
        <f>VLOOKUP('Customer Info'!A4480,'Customer Info'!A4480:I4980,3,FALSE)</f>
        <v>#N/A</v>
      </c>
      <c r="I4488" s="6" t="e">
        <f>VLOOKUP('Customer Info'!A4480,'Customer Info'!A4480:I4979,5,FALSE)</f>
        <v>#N/A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1669</v>
      </c>
      <c r="R4488" s="2" t="s">
        <v>50</v>
      </c>
      <c r="S4488" s="9">
        <f t="shared" si="349"/>
        <v>0.05</v>
      </c>
    </row>
    <row r="4489" spans="1:19" x14ac:dyDescent="0.25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e">
        <f>VLOOKUP('Customer Info'!A4481,'Customer Info'!A4481:I4980,2,FALSE)</f>
        <v>#N/A</v>
      </c>
      <c r="H4489" s="6" t="e">
        <f>VLOOKUP('Customer Info'!A4481,'Customer Info'!A4481:I4981,3,FALSE)</f>
        <v>#N/A</v>
      </c>
      <c r="I4489" s="6" t="e">
        <f>VLOOKUP('Customer Info'!A4481,'Customer Info'!A4481:I4980,5,FALSE)</f>
        <v>#N/A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2207</v>
      </c>
      <c r="R4489" s="2" t="s">
        <v>28</v>
      </c>
      <c r="S4489" s="9">
        <f t="shared" si="349"/>
        <v>7.0000000000000007E-2</v>
      </c>
    </row>
    <row r="4490" spans="1:19" x14ac:dyDescent="0.25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e">
        <f>VLOOKUP('Customer Info'!A4482,'Customer Info'!A4482:I4981,2,FALSE)</f>
        <v>#N/A</v>
      </c>
      <c r="H4490" s="6" t="e">
        <f>VLOOKUP('Customer Info'!A4482,'Customer Info'!A4482:I4982,3,FALSE)</f>
        <v>#N/A</v>
      </c>
      <c r="I4490" s="6" t="e">
        <f>VLOOKUP('Customer Info'!A4482,'Customer Info'!A4482:I4981,5,FALSE)</f>
        <v>#N/A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30</v>
      </c>
      <c r="R4490" s="2" t="s">
        <v>50</v>
      </c>
      <c r="S4490" s="9">
        <f t="shared" si="349"/>
        <v>0.02</v>
      </c>
    </row>
    <row r="4491" spans="1:19" x14ac:dyDescent="0.25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e">
        <f>VLOOKUP('Customer Info'!A4483,'Customer Info'!A4483:I4982,2,FALSE)</f>
        <v>#N/A</v>
      </c>
      <c r="H4491" s="6" t="e">
        <f>VLOOKUP('Customer Info'!A4483,'Customer Info'!A4483:I4983,3,FALSE)</f>
        <v>#N/A</v>
      </c>
      <c r="I4491" s="6" t="e">
        <f>VLOOKUP('Customer Info'!A4483,'Customer Info'!A4483:I4982,5,FALSE)</f>
        <v>#N/A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8">
        <f t="shared" ref="P4491:P4554" si="352">N4491+O4491</f>
        <v>5285</v>
      </c>
      <c r="Q4491" s="8">
        <f t="shared" ref="Q4491:Q4554" si="353">P4491-M4491</f>
        <v>515</v>
      </c>
      <c r="R4491" s="2" t="s">
        <v>28</v>
      </c>
      <c r="S4491" s="9">
        <f t="shared" ref="S4491:S4554" si="354">VLOOKUP(P4491,$T$2:$U$7,2,TRUE)</f>
        <v>0.05</v>
      </c>
    </row>
    <row r="4492" spans="1:19" x14ac:dyDescent="0.25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e">
        <f>VLOOKUP('Customer Info'!A4484,'Customer Info'!A4484:I4983,2,FALSE)</f>
        <v>#N/A</v>
      </c>
      <c r="H4492" s="6" t="e">
        <f>VLOOKUP('Customer Info'!A4484,'Customer Info'!A4484:I4984,3,FALSE)</f>
        <v>#N/A</v>
      </c>
      <c r="I4492" s="6" t="e">
        <f>VLOOKUP('Customer Info'!A4484,'Customer Info'!A4484:I4983,5,FALSE)</f>
        <v>#N/A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22</v>
      </c>
      <c r="R4492" s="2" t="s">
        <v>26</v>
      </c>
      <c r="S4492" s="9">
        <f t="shared" si="354"/>
        <v>0.02</v>
      </c>
    </row>
    <row r="4493" spans="1:19" x14ac:dyDescent="0.25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e">
        <f>VLOOKUP('Customer Info'!A4485,'Customer Info'!A4485:I4984,2,FALSE)</f>
        <v>#N/A</v>
      </c>
      <c r="H4493" s="6" t="e">
        <f>VLOOKUP('Customer Info'!A4485,'Customer Info'!A4485:I4985,3,FALSE)</f>
        <v>#N/A</v>
      </c>
      <c r="I4493" s="6" t="e">
        <f>VLOOKUP('Customer Info'!A4485,'Customer Info'!A4485:I4984,5,FALSE)</f>
        <v>#N/A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708</v>
      </c>
      <c r="R4493" s="2" t="s">
        <v>28</v>
      </c>
      <c r="S4493" s="9">
        <f t="shared" si="354"/>
        <v>0.05</v>
      </c>
    </row>
    <row r="4494" spans="1:19" x14ac:dyDescent="0.25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e">
        <f>VLOOKUP('Customer Info'!A4486,'Customer Info'!A4486:I4985,2,FALSE)</f>
        <v>#N/A</v>
      </c>
      <c r="H4494" s="6" t="e">
        <f>VLOOKUP('Customer Info'!A4486,'Customer Info'!A4486:I4986,3,FALSE)</f>
        <v>#N/A</v>
      </c>
      <c r="I4494" s="6" t="e">
        <f>VLOOKUP('Customer Info'!A4486,'Customer Info'!A4486:I4985,5,FALSE)</f>
        <v>#N/A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120</v>
      </c>
      <c r="R4494" s="2" t="s">
        <v>28</v>
      </c>
      <c r="S4494" s="9">
        <f t="shared" si="354"/>
        <v>0.02</v>
      </c>
    </row>
    <row r="4495" spans="1:19" x14ac:dyDescent="0.25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e">
        <f>VLOOKUP('Customer Info'!A4487,'Customer Info'!A4487:I4986,2,FALSE)</f>
        <v>#N/A</v>
      </c>
      <c r="H4495" s="6" t="e">
        <f>VLOOKUP('Customer Info'!A4487,'Customer Info'!A4487:I4987,3,FALSE)</f>
        <v>#N/A</v>
      </c>
      <c r="I4495" s="6" t="e">
        <f>VLOOKUP('Customer Info'!A4487,'Customer Info'!A4487:I4986,5,FALSE)</f>
        <v>#N/A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7037</v>
      </c>
      <c r="R4495" s="2" t="s">
        <v>28</v>
      </c>
      <c r="S4495" s="9">
        <f t="shared" si="354"/>
        <v>0.12</v>
      </c>
    </row>
    <row r="4496" spans="1:19" x14ac:dyDescent="0.25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e">
        <f>VLOOKUP('Customer Info'!A4488,'Customer Info'!A4488:I4987,2,FALSE)</f>
        <v>#N/A</v>
      </c>
      <c r="H4496" s="6" t="e">
        <f>VLOOKUP('Customer Info'!A4488,'Customer Info'!A4488:I4988,3,FALSE)</f>
        <v>#N/A</v>
      </c>
      <c r="I4496" s="6" t="e">
        <f>VLOOKUP('Customer Info'!A4488,'Customer Info'!A4488:I4987,5,FALSE)</f>
        <v>#N/A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324</v>
      </c>
      <c r="R4496" s="2" t="s">
        <v>50</v>
      </c>
      <c r="S4496" s="9">
        <f t="shared" si="354"/>
        <v>0.02</v>
      </c>
    </row>
    <row r="4497" spans="1:19" x14ac:dyDescent="0.25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e">
        <f>VLOOKUP('Customer Info'!A4489,'Customer Info'!A4489:I4988,2,FALSE)</f>
        <v>#N/A</v>
      </c>
      <c r="H4497" s="6" t="e">
        <f>VLOOKUP('Customer Info'!A4489,'Customer Info'!A4489:I4989,3,FALSE)</f>
        <v>#N/A</v>
      </c>
      <c r="I4497" s="6" t="e">
        <f>VLOOKUP('Customer Info'!A4489,'Customer Info'!A4489:I4988,5,FALSE)</f>
        <v>#N/A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3250</v>
      </c>
      <c r="R4497" s="2" t="s">
        <v>28</v>
      </c>
      <c r="S4497" s="9">
        <f t="shared" si="354"/>
        <v>7.0000000000000007E-2</v>
      </c>
    </row>
    <row r="4498" spans="1:19" x14ac:dyDescent="0.25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e">
        <f>VLOOKUP('Customer Info'!A4490,'Customer Info'!A4490:I4989,2,FALSE)</f>
        <v>#N/A</v>
      </c>
      <c r="H4498" s="6" t="e">
        <f>VLOOKUP('Customer Info'!A4490,'Customer Info'!A4490:I4990,3,FALSE)</f>
        <v>#N/A</v>
      </c>
      <c r="I4498" s="6" t="e">
        <f>VLOOKUP('Customer Info'!A4490,'Customer Info'!A4490:I4989,5,FALSE)</f>
        <v>#N/A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46</v>
      </c>
      <c r="R4498" s="2" t="s">
        <v>28</v>
      </c>
      <c r="S4498" s="9">
        <f t="shared" si="354"/>
        <v>0.02</v>
      </c>
    </row>
    <row r="4499" spans="1:19" x14ac:dyDescent="0.25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e">
        <f>VLOOKUP('Customer Info'!A4491,'Customer Info'!A4491:I4990,2,FALSE)</f>
        <v>#N/A</v>
      </c>
      <c r="H4499" s="6" t="e">
        <f>VLOOKUP('Customer Info'!A4491,'Customer Info'!A4491:I4991,3,FALSE)</f>
        <v>#N/A</v>
      </c>
      <c r="I4499" s="6" t="e">
        <f>VLOOKUP('Customer Info'!A4491,'Customer Info'!A4491:I4990,5,FALSE)</f>
        <v>#N/A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83</v>
      </c>
      <c r="R4499" s="2" t="s">
        <v>28</v>
      </c>
      <c r="S4499" s="9">
        <f t="shared" si="354"/>
        <v>0.02</v>
      </c>
    </row>
    <row r="4500" spans="1:19" x14ac:dyDescent="0.25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e">
        <f>VLOOKUP('Customer Info'!A4492,'Customer Info'!A4492:I4991,2,FALSE)</f>
        <v>#N/A</v>
      </c>
      <c r="H4500" s="6" t="e">
        <f>VLOOKUP('Customer Info'!A4492,'Customer Info'!A4492:I4992,3,FALSE)</f>
        <v>#N/A</v>
      </c>
      <c r="I4500" s="6" t="e">
        <f>VLOOKUP('Customer Info'!A4492,'Customer Info'!A4492:I4991,5,FALSE)</f>
        <v>#N/A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14829</v>
      </c>
      <c r="R4500" s="2" t="s">
        <v>50</v>
      </c>
      <c r="S4500" s="9">
        <f t="shared" si="354"/>
        <v>0.12</v>
      </c>
    </row>
    <row r="4501" spans="1:19" x14ac:dyDescent="0.25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e">
        <f>VLOOKUP('Customer Info'!A4493,'Customer Info'!A4493:I4992,2,FALSE)</f>
        <v>#N/A</v>
      </c>
      <c r="H4501" s="6" t="e">
        <f>VLOOKUP('Customer Info'!A4493,'Customer Info'!A4493:I4993,3,FALSE)</f>
        <v>#N/A</v>
      </c>
      <c r="I4501" s="6" t="e">
        <f>VLOOKUP('Customer Info'!A4493,'Customer Info'!A4493:I4992,5,FALSE)</f>
        <v>#N/A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4309</v>
      </c>
      <c r="R4501" s="2" t="s">
        <v>50</v>
      </c>
      <c r="S4501" s="9">
        <f t="shared" si="354"/>
        <v>7.0000000000000007E-2</v>
      </c>
    </row>
    <row r="4502" spans="1:19" x14ac:dyDescent="0.25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e">
        <f>VLOOKUP('Customer Info'!A4494,'Customer Info'!A4494:I4993,2,FALSE)</f>
        <v>#N/A</v>
      </c>
      <c r="H4502" s="6" t="e">
        <f>VLOOKUP('Customer Info'!A4494,'Customer Info'!A4494:I4994,3,FALSE)</f>
        <v>#N/A</v>
      </c>
      <c r="I4502" s="6" t="e">
        <f>VLOOKUP('Customer Info'!A4494,'Customer Info'!A4494:I4993,5,FALSE)</f>
        <v>#N/A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250</v>
      </c>
      <c r="R4502" s="2" t="s">
        <v>56</v>
      </c>
      <c r="S4502" s="9">
        <f t="shared" si="354"/>
        <v>0.02</v>
      </c>
    </row>
    <row r="4503" spans="1:19" x14ac:dyDescent="0.25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e">
        <f>VLOOKUP('Customer Info'!A4495,'Customer Info'!A4495:I4994,2,FALSE)</f>
        <v>#N/A</v>
      </c>
      <c r="H4503" s="6" t="e">
        <f>VLOOKUP('Customer Info'!A4495,'Customer Info'!A4495:I4995,3,FALSE)</f>
        <v>#N/A</v>
      </c>
      <c r="I4503" s="6" t="e">
        <f>VLOOKUP('Customer Info'!A4495,'Customer Info'!A4495:I4994,5,FALSE)</f>
        <v>#N/A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526</v>
      </c>
      <c r="R4503" s="2" t="s">
        <v>50</v>
      </c>
      <c r="S4503" s="9">
        <f t="shared" si="354"/>
        <v>0.05</v>
      </c>
    </row>
    <row r="4504" spans="1:19" x14ac:dyDescent="0.25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e">
        <f>VLOOKUP('Customer Info'!A4496,'Customer Info'!A4496:I4995,2,FALSE)</f>
        <v>#N/A</v>
      </c>
      <c r="H4504" s="6" t="e">
        <f>VLOOKUP('Customer Info'!A4496,'Customer Info'!A4496:I4996,3,FALSE)</f>
        <v>#N/A</v>
      </c>
      <c r="I4504" s="6" t="e">
        <f>VLOOKUP('Customer Info'!A4496,'Customer Info'!A4496:I4995,5,FALSE)</f>
        <v>#N/A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1088</v>
      </c>
      <c r="R4504" s="2" t="s">
        <v>50</v>
      </c>
      <c r="S4504" s="9">
        <f t="shared" si="354"/>
        <v>0.09</v>
      </c>
    </row>
    <row r="4505" spans="1:19" x14ac:dyDescent="0.25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e">
        <f>VLOOKUP('Customer Info'!A4497,'Customer Info'!A4497:I4996,2,FALSE)</f>
        <v>#N/A</v>
      </c>
      <c r="H4505" s="6" t="e">
        <f>VLOOKUP('Customer Info'!A4497,'Customer Info'!A4497:I4997,3,FALSE)</f>
        <v>#N/A</v>
      </c>
      <c r="I4505" s="6" t="e">
        <f>VLOOKUP('Customer Info'!A4497,'Customer Info'!A4497:I4996,5,FALSE)</f>
        <v>#N/A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606</v>
      </c>
      <c r="R4505" s="2" t="s">
        <v>28</v>
      </c>
      <c r="S4505" s="9">
        <f t="shared" si="354"/>
        <v>0.05</v>
      </c>
    </row>
    <row r="4506" spans="1:19" x14ac:dyDescent="0.25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e">
        <f>VLOOKUP('Customer Info'!A4498,'Customer Info'!A4498:I4997,2,FALSE)</f>
        <v>#N/A</v>
      </c>
      <c r="H4506" s="6" t="e">
        <f>VLOOKUP('Customer Info'!A4498,'Customer Info'!A4498:I4998,3,FALSE)</f>
        <v>#N/A</v>
      </c>
      <c r="I4506" s="6" t="e">
        <f>VLOOKUP('Customer Info'!A4498,'Customer Info'!A4498:I4997,5,FALSE)</f>
        <v>#N/A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413</v>
      </c>
      <c r="R4506" s="2" t="s">
        <v>50</v>
      </c>
      <c r="S4506" s="9">
        <f t="shared" si="354"/>
        <v>0.02</v>
      </c>
    </row>
    <row r="4507" spans="1:19" x14ac:dyDescent="0.25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e">
        <f>VLOOKUP('Customer Info'!A4499,'Customer Info'!A4499:I4998,2,FALSE)</f>
        <v>#N/A</v>
      </c>
      <c r="H4507" s="6" t="e">
        <f>VLOOKUP('Customer Info'!A4499,'Customer Info'!A4499:I4999,3,FALSE)</f>
        <v>#N/A</v>
      </c>
      <c r="I4507" s="6" t="e">
        <f>VLOOKUP('Customer Info'!A4499,'Customer Info'!A4499:I4998,5,FALSE)</f>
        <v>#N/A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575</v>
      </c>
      <c r="R4507" s="2" t="s">
        <v>28</v>
      </c>
      <c r="S4507" s="9">
        <f t="shared" si="354"/>
        <v>0.05</v>
      </c>
    </row>
    <row r="4508" spans="1:19" x14ac:dyDescent="0.25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e">
        <f>VLOOKUP('Customer Info'!A4500,'Customer Info'!A4500:I4999,2,FALSE)</f>
        <v>#N/A</v>
      </c>
      <c r="H4508" s="6" t="e">
        <f>VLOOKUP('Customer Info'!A4500,'Customer Info'!A4500:I5000,3,FALSE)</f>
        <v>#N/A</v>
      </c>
      <c r="I4508" s="6" t="e">
        <f>VLOOKUP('Customer Info'!A4500,'Customer Info'!A4500:I4999,5,FALSE)</f>
        <v>#N/A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69</v>
      </c>
      <c r="R4508" s="2" t="s">
        <v>28</v>
      </c>
      <c r="S4508" s="9">
        <f t="shared" si="354"/>
        <v>0.02</v>
      </c>
    </row>
    <row r="4509" spans="1:19" x14ac:dyDescent="0.25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e">
        <f>VLOOKUP('Customer Info'!A4501,'Customer Info'!A4501:I5000,2,FALSE)</f>
        <v>#N/A</v>
      </c>
      <c r="H4509" s="6" t="e">
        <f>VLOOKUP('Customer Info'!A4501,'Customer Info'!A4501:I5001,3,FALSE)</f>
        <v>#N/A</v>
      </c>
      <c r="I4509" s="6" t="e">
        <f>VLOOKUP('Customer Info'!A4501,'Customer Info'!A4501:I5000,5,FALSE)</f>
        <v>#N/A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60</v>
      </c>
      <c r="R4509" s="2" t="s">
        <v>28</v>
      </c>
      <c r="S4509" s="9">
        <f t="shared" si="354"/>
        <v>0.02</v>
      </c>
    </row>
    <row r="4510" spans="1:19" x14ac:dyDescent="0.25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e">
        <f>VLOOKUP('Customer Info'!A4502,'Customer Info'!A4502:I5001,2,FALSE)</f>
        <v>#N/A</v>
      </c>
      <c r="H4510" s="6" t="e">
        <f>VLOOKUP('Customer Info'!A4502,'Customer Info'!A4502:I5002,3,FALSE)</f>
        <v>#N/A</v>
      </c>
      <c r="I4510" s="6" t="e">
        <f>VLOOKUP('Customer Info'!A4502,'Customer Info'!A4502:I5001,5,FALSE)</f>
        <v>#N/A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627</v>
      </c>
      <c r="R4510" s="2" t="s">
        <v>50</v>
      </c>
      <c r="S4510" s="9">
        <f t="shared" si="354"/>
        <v>0.05</v>
      </c>
    </row>
    <row r="4511" spans="1:19" x14ac:dyDescent="0.25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e">
        <f>VLOOKUP('Customer Info'!A4503,'Customer Info'!A4503:I5002,2,FALSE)</f>
        <v>#N/A</v>
      </c>
      <c r="H4511" s="6" t="e">
        <f>VLOOKUP('Customer Info'!A4503,'Customer Info'!A4503:I5003,3,FALSE)</f>
        <v>#N/A</v>
      </c>
      <c r="I4511" s="6" t="e">
        <f>VLOOKUP('Customer Info'!A4503,'Customer Info'!A4503:I5002,5,FALSE)</f>
        <v>#N/A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63</v>
      </c>
      <c r="R4511" s="2" t="s">
        <v>28</v>
      </c>
      <c r="S4511" s="9">
        <f t="shared" si="354"/>
        <v>0.02</v>
      </c>
    </row>
    <row r="4512" spans="1:19" x14ac:dyDescent="0.25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e">
        <f>VLOOKUP('Customer Info'!A4504,'Customer Info'!A4504:I5003,2,FALSE)</f>
        <v>#N/A</v>
      </c>
      <c r="H4512" s="6" t="e">
        <f>VLOOKUP('Customer Info'!A4504,'Customer Info'!A4504:I5004,3,FALSE)</f>
        <v>#N/A</v>
      </c>
      <c r="I4512" s="6" t="e">
        <f>VLOOKUP('Customer Info'!A4504,'Customer Info'!A4504:I5003,5,FALSE)</f>
        <v>#N/A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432</v>
      </c>
      <c r="R4512" s="2" t="s">
        <v>28</v>
      </c>
      <c r="S4512" s="9">
        <f t="shared" si="354"/>
        <v>0.05</v>
      </c>
    </row>
    <row r="4513" spans="1:19" x14ac:dyDescent="0.25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e">
        <f>VLOOKUP('Customer Info'!A4505,'Customer Info'!A4505:I5004,2,FALSE)</f>
        <v>#N/A</v>
      </c>
      <c r="H4513" s="6" t="e">
        <f>VLOOKUP('Customer Info'!A4505,'Customer Info'!A4505:I5005,3,FALSE)</f>
        <v>#N/A</v>
      </c>
      <c r="I4513" s="6" t="e">
        <f>VLOOKUP('Customer Info'!A4505,'Customer Info'!A4505:I5004,5,FALSE)</f>
        <v>#N/A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2015</v>
      </c>
      <c r="R4513" s="2" t="s">
        <v>28</v>
      </c>
      <c r="S4513" s="9">
        <f t="shared" si="354"/>
        <v>7.0000000000000007E-2</v>
      </c>
    </row>
    <row r="4514" spans="1:19" x14ac:dyDescent="0.25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e">
        <f>VLOOKUP('Customer Info'!A4506,'Customer Info'!A4506:I5005,2,FALSE)</f>
        <v>#N/A</v>
      </c>
      <c r="H4514" s="6" t="e">
        <f>VLOOKUP('Customer Info'!A4506,'Customer Info'!A4506:I5006,3,FALSE)</f>
        <v>#N/A</v>
      </c>
      <c r="I4514" s="6" t="e">
        <f>VLOOKUP('Customer Info'!A4506,'Customer Info'!A4506:I5005,5,FALSE)</f>
        <v>#N/A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1014</v>
      </c>
      <c r="R4514" s="2" t="s">
        <v>28</v>
      </c>
      <c r="S4514" s="9">
        <f t="shared" si="354"/>
        <v>0.05</v>
      </c>
    </row>
    <row r="4515" spans="1:19" x14ac:dyDescent="0.25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e">
        <f>VLOOKUP('Customer Info'!A4507,'Customer Info'!A4507:I5006,2,FALSE)</f>
        <v>#N/A</v>
      </c>
      <c r="H4515" s="6" t="e">
        <f>VLOOKUP('Customer Info'!A4507,'Customer Info'!A4507:I5007,3,FALSE)</f>
        <v>#N/A</v>
      </c>
      <c r="I4515" s="6" t="e">
        <f>VLOOKUP('Customer Info'!A4507,'Customer Info'!A4507:I5006,5,FALSE)</f>
        <v>#N/A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1292</v>
      </c>
      <c r="R4515" s="2" t="s">
        <v>50</v>
      </c>
      <c r="S4515" s="9">
        <f t="shared" si="354"/>
        <v>0.05</v>
      </c>
    </row>
    <row r="4516" spans="1:19" x14ac:dyDescent="0.25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e">
        <f>VLOOKUP('Customer Info'!A4508,'Customer Info'!A4508:I5007,2,FALSE)</f>
        <v>#N/A</v>
      </c>
      <c r="H4516" s="6" t="e">
        <f>VLOOKUP('Customer Info'!A4508,'Customer Info'!A4508:I5008,3,FALSE)</f>
        <v>#N/A</v>
      </c>
      <c r="I4516" s="6" t="e">
        <f>VLOOKUP('Customer Info'!A4508,'Customer Info'!A4508:I5007,5,FALSE)</f>
        <v>#N/A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464</v>
      </c>
      <c r="R4516" s="2" t="s">
        <v>50</v>
      </c>
      <c r="S4516" s="9">
        <f t="shared" si="354"/>
        <v>0.05</v>
      </c>
    </row>
    <row r="4517" spans="1:19" x14ac:dyDescent="0.25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e">
        <f>VLOOKUP('Customer Info'!A4509,'Customer Info'!A4509:I5008,2,FALSE)</f>
        <v>#N/A</v>
      </c>
      <c r="H4517" s="6" t="e">
        <f>VLOOKUP('Customer Info'!A4509,'Customer Info'!A4509:I5009,3,FALSE)</f>
        <v>#N/A</v>
      </c>
      <c r="I4517" s="6" t="e">
        <f>VLOOKUP('Customer Info'!A4509,'Customer Info'!A4509:I5008,5,FALSE)</f>
        <v>#N/A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514</v>
      </c>
      <c r="R4517" s="2" t="s">
        <v>50</v>
      </c>
      <c r="S4517" s="9">
        <f t="shared" si="354"/>
        <v>0.05</v>
      </c>
    </row>
    <row r="4518" spans="1:19" x14ac:dyDescent="0.25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e">
        <f>VLOOKUP('Customer Info'!A4510,'Customer Info'!A4510:I5009,2,FALSE)</f>
        <v>#N/A</v>
      </c>
      <c r="H4518" s="6" t="e">
        <f>VLOOKUP('Customer Info'!A4510,'Customer Info'!A4510:I5010,3,FALSE)</f>
        <v>#N/A</v>
      </c>
      <c r="I4518" s="6" t="e">
        <f>VLOOKUP('Customer Info'!A4510,'Customer Info'!A4510:I5009,5,FALSE)</f>
        <v>#N/A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40</v>
      </c>
      <c r="R4518" s="2" t="s">
        <v>28</v>
      </c>
      <c r="S4518" s="9">
        <f t="shared" si="354"/>
        <v>0.02</v>
      </c>
    </row>
    <row r="4519" spans="1:19" x14ac:dyDescent="0.25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e">
        <f>VLOOKUP('Customer Info'!A4511,'Customer Info'!A4511:I5010,2,FALSE)</f>
        <v>#N/A</v>
      </c>
      <c r="H4519" s="6" t="e">
        <f>VLOOKUP('Customer Info'!A4511,'Customer Info'!A4511:I5011,3,FALSE)</f>
        <v>#N/A</v>
      </c>
      <c r="I4519" s="6" t="e">
        <f>VLOOKUP('Customer Info'!A4511,'Customer Info'!A4511:I5010,5,FALSE)</f>
        <v>#N/A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500</v>
      </c>
      <c r="R4519" s="2" t="s">
        <v>28</v>
      </c>
      <c r="S4519" s="9">
        <f t="shared" si="354"/>
        <v>0.05</v>
      </c>
    </row>
    <row r="4520" spans="1:19" x14ac:dyDescent="0.25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e">
        <f>VLOOKUP('Customer Info'!A4512,'Customer Info'!A4512:I5011,2,FALSE)</f>
        <v>#N/A</v>
      </c>
      <c r="H4520" s="6" t="e">
        <f>VLOOKUP('Customer Info'!A4512,'Customer Info'!A4512:I5012,3,FALSE)</f>
        <v>#N/A</v>
      </c>
      <c r="I4520" s="6" t="e">
        <f>VLOOKUP('Customer Info'!A4512,'Customer Info'!A4512:I5011,5,FALSE)</f>
        <v>#N/A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348</v>
      </c>
      <c r="R4520" s="2" t="s">
        <v>56</v>
      </c>
      <c r="S4520" s="9">
        <f t="shared" si="354"/>
        <v>0.05</v>
      </c>
    </row>
    <row r="4521" spans="1:19" x14ac:dyDescent="0.25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e">
        <f>VLOOKUP('Customer Info'!A4513,'Customer Info'!A4513:I5012,2,FALSE)</f>
        <v>#N/A</v>
      </c>
      <c r="H4521" s="6" t="e">
        <f>VLOOKUP('Customer Info'!A4513,'Customer Info'!A4513:I5013,3,FALSE)</f>
        <v>#N/A</v>
      </c>
      <c r="I4521" s="6" t="e">
        <f>VLOOKUP('Customer Info'!A4513,'Customer Info'!A4513:I5012,5,FALSE)</f>
        <v>#N/A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1883</v>
      </c>
      <c r="R4521" s="2" t="s">
        <v>50</v>
      </c>
      <c r="S4521" s="9">
        <f t="shared" si="354"/>
        <v>0.05</v>
      </c>
    </row>
    <row r="4522" spans="1:19" x14ac:dyDescent="0.25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e">
        <f>VLOOKUP('Customer Info'!A4514,'Customer Info'!A4514:I5013,2,FALSE)</f>
        <v>#N/A</v>
      </c>
      <c r="H4522" s="6" t="e">
        <f>VLOOKUP('Customer Info'!A4514,'Customer Info'!A4514:I5014,3,FALSE)</f>
        <v>#N/A</v>
      </c>
      <c r="I4522" s="6" t="e">
        <f>VLOOKUP('Customer Info'!A4514,'Customer Info'!A4514:I5013,5,FALSE)</f>
        <v>#N/A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257</v>
      </c>
      <c r="R4522" s="2" t="s">
        <v>28</v>
      </c>
      <c r="S4522" s="9">
        <f t="shared" si="354"/>
        <v>0.02</v>
      </c>
    </row>
    <row r="4523" spans="1:19" x14ac:dyDescent="0.25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e">
        <f>VLOOKUP('Customer Info'!A4515,'Customer Info'!A4515:I5014,2,FALSE)</f>
        <v>#N/A</v>
      </c>
      <c r="H4523" s="6" t="e">
        <f>VLOOKUP('Customer Info'!A4515,'Customer Info'!A4515:I5015,3,FALSE)</f>
        <v>#N/A</v>
      </c>
      <c r="I4523" s="6" t="e">
        <f>VLOOKUP('Customer Info'!A4515,'Customer Info'!A4515:I5014,5,FALSE)</f>
        <v>#N/A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26</v>
      </c>
      <c r="R4523" s="2" t="s">
        <v>28</v>
      </c>
      <c r="S4523" s="9">
        <f t="shared" si="354"/>
        <v>0.02</v>
      </c>
    </row>
    <row r="4524" spans="1:19" x14ac:dyDescent="0.25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e">
        <f>VLOOKUP('Customer Info'!A4516,'Customer Info'!A4516:I5015,2,FALSE)</f>
        <v>#N/A</v>
      </c>
      <c r="H4524" s="6" t="e">
        <f>VLOOKUP('Customer Info'!A4516,'Customer Info'!A4516:I5016,3,FALSE)</f>
        <v>#N/A</v>
      </c>
      <c r="I4524" s="6" t="e">
        <f>VLOOKUP('Customer Info'!A4516,'Customer Info'!A4516:I5015,5,FALSE)</f>
        <v>#N/A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735</v>
      </c>
      <c r="R4524" s="2" t="s">
        <v>28</v>
      </c>
      <c r="S4524" s="9">
        <f t="shared" si="354"/>
        <v>0.05</v>
      </c>
    </row>
    <row r="4525" spans="1:19" x14ac:dyDescent="0.25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e">
        <f>VLOOKUP('Customer Info'!A4517,'Customer Info'!A4517:I5016,2,FALSE)</f>
        <v>#N/A</v>
      </c>
      <c r="H4525" s="6" t="e">
        <f>VLOOKUP('Customer Info'!A4517,'Customer Info'!A4517:I5017,3,FALSE)</f>
        <v>#N/A</v>
      </c>
      <c r="I4525" s="6" t="e">
        <f>VLOOKUP('Customer Info'!A4517,'Customer Info'!A4517:I5016,5,FALSE)</f>
        <v>#N/A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719</v>
      </c>
      <c r="R4525" s="2" t="s">
        <v>28</v>
      </c>
      <c r="S4525" s="9">
        <f t="shared" si="354"/>
        <v>0.05</v>
      </c>
    </row>
    <row r="4526" spans="1:19" x14ac:dyDescent="0.25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e">
        <f>VLOOKUP('Customer Info'!A4518,'Customer Info'!A4518:I5017,2,FALSE)</f>
        <v>#N/A</v>
      </c>
      <c r="H4526" s="6" t="e">
        <f>VLOOKUP('Customer Info'!A4518,'Customer Info'!A4518:I5018,3,FALSE)</f>
        <v>#N/A</v>
      </c>
      <c r="I4526" s="6" t="e">
        <f>VLOOKUP('Customer Info'!A4518,'Customer Info'!A4518:I5017,5,FALSE)</f>
        <v>#N/A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465</v>
      </c>
      <c r="R4526" s="2" t="s">
        <v>28</v>
      </c>
      <c r="S4526" s="9">
        <f t="shared" si="354"/>
        <v>0.05</v>
      </c>
    </row>
    <row r="4527" spans="1:19" x14ac:dyDescent="0.25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e">
        <f>VLOOKUP('Customer Info'!A4519,'Customer Info'!A4519:I5018,2,FALSE)</f>
        <v>#N/A</v>
      </c>
      <c r="H4527" s="6" t="e">
        <f>VLOOKUP('Customer Info'!A4519,'Customer Info'!A4519:I5019,3,FALSE)</f>
        <v>#N/A</v>
      </c>
      <c r="I4527" s="6" t="e">
        <f>VLOOKUP('Customer Info'!A4519,'Customer Info'!A4519:I5018,5,FALSE)</f>
        <v>#N/A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658</v>
      </c>
      <c r="R4527" s="2" t="s">
        <v>28</v>
      </c>
      <c r="S4527" s="9">
        <f t="shared" si="354"/>
        <v>0.05</v>
      </c>
    </row>
    <row r="4528" spans="1:19" x14ac:dyDescent="0.25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e">
        <f>VLOOKUP('Customer Info'!A4520,'Customer Info'!A4520:I5019,2,FALSE)</f>
        <v>#N/A</v>
      </c>
      <c r="H4528" s="6" t="e">
        <f>VLOOKUP('Customer Info'!A4520,'Customer Info'!A4520:I5020,3,FALSE)</f>
        <v>#N/A</v>
      </c>
      <c r="I4528" s="6" t="e">
        <f>VLOOKUP('Customer Info'!A4520,'Customer Info'!A4520:I5019,5,FALSE)</f>
        <v>#N/A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9285</v>
      </c>
      <c r="R4528" s="2" t="s">
        <v>26</v>
      </c>
      <c r="S4528" s="9">
        <f t="shared" si="354"/>
        <v>0.12</v>
      </c>
    </row>
    <row r="4529" spans="1:19" x14ac:dyDescent="0.25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e">
        <f>VLOOKUP('Customer Info'!A4521,'Customer Info'!A4521:I5020,2,FALSE)</f>
        <v>#N/A</v>
      </c>
      <c r="H4529" s="6" t="e">
        <f>VLOOKUP('Customer Info'!A4521,'Customer Info'!A4521:I5021,3,FALSE)</f>
        <v>#N/A</v>
      </c>
      <c r="I4529" s="6" t="e">
        <f>VLOOKUP('Customer Info'!A4521,'Customer Info'!A4521:I5020,5,FALSE)</f>
        <v>#N/A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744</v>
      </c>
      <c r="R4529" s="2" t="s">
        <v>28</v>
      </c>
      <c r="S4529" s="9">
        <f t="shared" si="354"/>
        <v>0.05</v>
      </c>
    </row>
    <row r="4530" spans="1:19" x14ac:dyDescent="0.25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e">
        <f>VLOOKUP('Customer Info'!A4522,'Customer Info'!A4522:I5021,2,FALSE)</f>
        <v>#N/A</v>
      </c>
      <c r="H4530" s="6" t="e">
        <f>VLOOKUP('Customer Info'!A4522,'Customer Info'!A4522:I5022,3,FALSE)</f>
        <v>#N/A</v>
      </c>
      <c r="I4530" s="6" t="e">
        <f>VLOOKUP('Customer Info'!A4522,'Customer Info'!A4522:I5021,5,FALSE)</f>
        <v>#N/A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82</v>
      </c>
      <c r="R4530" s="2" t="s">
        <v>50</v>
      </c>
      <c r="S4530" s="9">
        <f t="shared" si="354"/>
        <v>0.02</v>
      </c>
    </row>
    <row r="4531" spans="1:19" x14ac:dyDescent="0.25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e">
        <f>VLOOKUP('Customer Info'!A4523,'Customer Info'!A4523:I5022,2,FALSE)</f>
        <v>#N/A</v>
      </c>
      <c r="H4531" s="6" t="e">
        <f>VLOOKUP('Customer Info'!A4523,'Customer Info'!A4523:I5023,3,FALSE)</f>
        <v>#N/A</v>
      </c>
      <c r="I4531" s="6" t="e">
        <f>VLOOKUP('Customer Info'!A4523,'Customer Info'!A4523:I5022,5,FALSE)</f>
        <v>#N/A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217</v>
      </c>
      <c r="R4531" s="2" t="s">
        <v>50</v>
      </c>
      <c r="S4531" s="9">
        <f t="shared" si="354"/>
        <v>0.02</v>
      </c>
    </row>
    <row r="4532" spans="1:19" x14ac:dyDescent="0.25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e">
        <f>VLOOKUP('Customer Info'!A4524,'Customer Info'!A4524:I5023,2,FALSE)</f>
        <v>#N/A</v>
      </c>
      <c r="H4532" s="6" t="e">
        <f>VLOOKUP('Customer Info'!A4524,'Customer Info'!A4524:I5024,3,FALSE)</f>
        <v>#N/A</v>
      </c>
      <c r="I4532" s="6" t="e">
        <f>VLOOKUP('Customer Info'!A4524,'Customer Info'!A4524:I5023,5,FALSE)</f>
        <v>#N/A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194</v>
      </c>
      <c r="R4532" s="2" t="s">
        <v>28</v>
      </c>
      <c r="S4532" s="9">
        <f t="shared" si="354"/>
        <v>0.02</v>
      </c>
    </row>
    <row r="4533" spans="1:19" x14ac:dyDescent="0.25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e">
        <f>VLOOKUP('Customer Info'!A4525,'Customer Info'!A4525:I5024,2,FALSE)</f>
        <v>#N/A</v>
      </c>
      <c r="H4533" s="6" t="e">
        <f>VLOOKUP('Customer Info'!A4525,'Customer Info'!A4525:I5025,3,FALSE)</f>
        <v>#N/A</v>
      </c>
      <c r="I4533" s="6" t="e">
        <f>VLOOKUP('Customer Info'!A4525,'Customer Info'!A4525:I5024,5,FALSE)</f>
        <v>#N/A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917</v>
      </c>
      <c r="R4533" s="2" t="s">
        <v>50</v>
      </c>
      <c r="S4533" s="9">
        <f t="shared" si="354"/>
        <v>0.05</v>
      </c>
    </row>
    <row r="4534" spans="1:19" x14ac:dyDescent="0.25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e">
        <f>VLOOKUP('Customer Info'!A4526,'Customer Info'!A4526:I5025,2,FALSE)</f>
        <v>#N/A</v>
      </c>
      <c r="H4534" s="6" t="e">
        <f>VLOOKUP('Customer Info'!A4526,'Customer Info'!A4526:I5026,3,FALSE)</f>
        <v>#N/A</v>
      </c>
      <c r="I4534" s="6" t="e">
        <f>VLOOKUP('Customer Info'!A4526,'Customer Info'!A4526:I5025,5,FALSE)</f>
        <v>#N/A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463</v>
      </c>
      <c r="R4534" s="2" t="s">
        <v>50</v>
      </c>
      <c r="S4534" s="9">
        <f t="shared" si="354"/>
        <v>0.05</v>
      </c>
    </row>
    <row r="4535" spans="1:19" x14ac:dyDescent="0.25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e">
        <f>VLOOKUP('Customer Info'!A4527,'Customer Info'!A4527:I5026,2,FALSE)</f>
        <v>#N/A</v>
      </c>
      <c r="H4535" s="6" t="e">
        <f>VLOOKUP('Customer Info'!A4527,'Customer Info'!A4527:I5027,3,FALSE)</f>
        <v>#N/A</v>
      </c>
      <c r="I4535" s="6" t="e">
        <f>VLOOKUP('Customer Info'!A4527,'Customer Info'!A4527:I5026,5,FALSE)</f>
        <v>#N/A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19312</v>
      </c>
      <c r="R4535" s="2" t="s">
        <v>50</v>
      </c>
      <c r="S4535" s="9">
        <f t="shared" si="354"/>
        <v>0.15</v>
      </c>
    </row>
    <row r="4536" spans="1:19" x14ac:dyDescent="0.25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e">
        <f>VLOOKUP('Customer Info'!A4528,'Customer Info'!A4528:I5027,2,FALSE)</f>
        <v>#N/A</v>
      </c>
      <c r="H4536" s="6" t="e">
        <f>VLOOKUP('Customer Info'!A4528,'Customer Info'!A4528:I5028,3,FALSE)</f>
        <v>#N/A</v>
      </c>
      <c r="I4536" s="6" t="e">
        <f>VLOOKUP('Customer Info'!A4528,'Customer Info'!A4528:I5027,5,FALSE)</f>
        <v>#N/A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344</v>
      </c>
      <c r="R4536" s="2" t="s">
        <v>50</v>
      </c>
      <c r="S4536" s="9">
        <f t="shared" si="354"/>
        <v>0.02</v>
      </c>
    </row>
    <row r="4537" spans="1:19" x14ac:dyDescent="0.25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e">
        <f>VLOOKUP('Customer Info'!A4529,'Customer Info'!A4529:I5028,2,FALSE)</f>
        <v>#N/A</v>
      </c>
      <c r="H4537" s="6" t="e">
        <f>VLOOKUP('Customer Info'!A4529,'Customer Info'!A4529:I5029,3,FALSE)</f>
        <v>#N/A</v>
      </c>
      <c r="I4537" s="6" t="e">
        <f>VLOOKUP('Customer Info'!A4529,'Customer Info'!A4529:I5028,5,FALSE)</f>
        <v>#N/A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6931</v>
      </c>
      <c r="R4537" s="2" t="s">
        <v>26</v>
      </c>
      <c r="S4537" s="9">
        <f t="shared" si="354"/>
        <v>0.12</v>
      </c>
    </row>
    <row r="4538" spans="1:19" x14ac:dyDescent="0.25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e">
        <f>VLOOKUP('Customer Info'!A4530,'Customer Info'!A4530:I5029,2,FALSE)</f>
        <v>#N/A</v>
      </c>
      <c r="H4538" s="6" t="e">
        <f>VLOOKUP('Customer Info'!A4530,'Customer Info'!A4530:I5030,3,FALSE)</f>
        <v>#N/A</v>
      </c>
      <c r="I4538" s="6" t="e">
        <f>VLOOKUP('Customer Info'!A4530,'Customer Info'!A4530:I5029,5,FALSE)</f>
        <v>#N/A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190</v>
      </c>
      <c r="R4538" s="2" t="s">
        <v>28</v>
      </c>
      <c r="S4538" s="9">
        <f t="shared" si="354"/>
        <v>0.02</v>
      </c>
    </row>
    <row r="4539" spans="1:19" x14ac:dyDescent="0.25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e">
        <f>VLOOKUP('Customer Info'!A4531,'Customer Info'!A4531:I5030,2,FALSE)</f>
        <v>#N/A</v>
      </c>
      <c r="H4539" s="6" t="e">
        <f>VLOOKUP('Customer Info'!A4531,'Customer Info'!A4531:I5031,3,FALSE)</f>
        <v>#N/A</v>
      </c>
      <c r="I4539" s="6" t="e">
        <f>VLOOKUP('Customer Info'!A4531,'Customer Info'!A4531:I5030,5,FALSE)</f>
        <v>#N/A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30</v>
      </c>
      <c r="R4539" s="2" t="s">
        <v>50</v>
      </c>
      <c r="S4539" s="9">
        <f t="shared" si="354"/>
        <v>0.02</v>
      </c>
    </row>
    <row r="4540" spans="1:19" x14ac:dyDescent="0.25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e">
        <f>VLOOKUP('Customer Info'!A4532,'Customer Info'!A4532:I5031,2,FALSE)</f>
        <v>#N/A</v>
      </c>
      <c r="H4540" s="6" t="e">
        <f>VLOOKUP('Customer Info'!A4532,'Customer Info'!A4532:I5032,3,FALSE)</f>
        <v>#N/A</v>
      </c>
      <c r="I4540" s="6" t="e">
        <f>VLOOKUP('Customer Info'!A4532,'Customer Info'!A4532:I5031,5,FALSE)</f>
        <v>#N/A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655</v>
      </c>
      <c r="R4540" s="2" t="s">
        <v>28</v>
      </c>
      <c r="S4540" s="9">
        <f t="shared" si="354"/>
        <v>0.05</v>
      </c>
    </row>
    <row r="4541" spans="1:19" x14ac:dyDescent="0.25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e">
        <f>VLOOKUP('Customer Info'!A4533,'Customer Info'!A4533:I5032,2,FALSE)</f>
        <v>#N/A</v>
      </c>
      <c r="H4541" s="6" t="e">
        <f>VLOOKUP('Customer Info'!A4533,'Customer Info'!A4533:I5033,3,FALSE)</f>
        <v>#N/A</v>
      </c>
      <c r="I4541" s="6" t="e">
        <f>VLOOKUP('Customer Info'!A4533,'Customer Info'!A4533:I5032,5,FALSE)</f>
        <v>#N/A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38</v>
      </c>
      <c r="R4541" s="2" t="s">
        <v>26</v>
      </c>
      <c r="S4541" s="9">
        <f t="shared" si="354"/>
        <v>0.02</v>
      </c>
    </row>
    <row r="4542" spans="1:19" x14ac:dyDescent="0.25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e">
        <f>VLOOKUP('Customer Info'!A4534,'Customer Info'!A4534:I5033,2,FALSE)</f>
        <v>#N/A</v>
      </c>
      <c r="H4542" s="6" t="e">
        <f>VLOOKUP('Customer Info'!A4534,'Customer Info'!A4534:I5034,3,FALSE)</f>
        <v>#N/A</v>
      </c>
      <c r="I4542" s="6" t="e">
        <f>VLOOKUP('Customer Info'!A4534,'Customer Info'!A4534:I5033,5,FALSE)</f>
        <v>#N/A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846</v>
      </c>
      <c r="R4542" s="2" t="s">
        <v>50</v>
      </c>
      <c r="S4542" s="9">
        <f t="shared" si="354"/>
        <v>0.05</v>
      </c>
    </row>
    <row r="4543" spans="1:19" x14ac:dyDescent="0.25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e">
        <f>VLOOKUP('Customer Info'!A4535,'Customer Info'!A4535:I5034,2,FALSE)</f>
        <v>#N/A</v>
      </c>
      <c r="H4543" s="6" t="e">
        <f>VLOOKUP('Customer Info'!A4535,'Customer Info'!A4535:I5035,3,FALSE)</f>
        <v>#N/A</v>
      </c>
      <c r="I4543" s="6" t="e">
        <f>VLOOKUP('Customer Info'!A4535,'Customer Info'!A4535:I5034,5,FALSE)</f>
        <v>#N/A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1742</v>
      </c>
      <c r="R4543" s="2" t="s">
        <v>50</v>
      </c>
      <c r="S4543" s="9">
        <f t="shared" si="354"/>
        <v>7.0000000000000007E-2</v>
      </c>
    </row>
    <row r="4544" spans="1:19" x14ac:dyDescent="0.25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e">
        <f>VLOOKUP('Customer Info'!A4536,'Customer Info'!A4536:I5035,2,FALSE)</f>
        <v>#N/A</v>
      </c>
      <c r="H4544" s="6" t="e">
        <f>VLOOKUP('Customer Info'!A4536,'Customer Info'!A4536:I5036,3,FALSE)</f>
        <v>#N/A</v>
      </c>
      <c r="I4544" s="6" t="e">
        <f>VLOOKUP('Customer Info'!A4536,'Customer Info'!A4536:I5035,5,FALSE)</f>
        <v>#N/A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204</v>
      </c>
      <c r="R4544" s="2" t="s">
        <v>28</v>
      </c>
      <c r="S4544" s="9">
        <f t="shared" si="354"/>
        <v>0.02</v>
      </c>
    </row>
    <row r="4545" spans="1:19" x14ac:dyDescent="0.25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e">
        <f>VLOOKUP('Customer Info'!A4537,'Customer Info'!A4537:I5036,2,FALSE)</f>
        <v>#N/A</v>
      </c>
      <c r="H4545" s="6" t="e">
        <f>VLOOKUP('Customer Info'!A4537,'Customer Info'!A4537:I5037,3,FALSE)</f>
        <v>#N/A</v>
      </c>
      <c r="I4545" s="6" t="e">
        <f>VLOOKUP('Customer Info'!A4537,'Customer Info'!A4537:I5036,5,FALSE)</f>
        <v>#N/A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354</v>
      </c>
      <c r="R4545" s="2" t="s">
        <v>50</v>
      </c>
      <c r="S4545" s="9">
        <f t="shared" si="354"/>
        <v>0.05</v>
      </c>
    </row>
    <row r="4546" spans="1:19" x14ac:dyDescent="0.25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e">
        <f>VLOOKUP('Customer Info'!A4538,'Customer Info'!A4538:I5037,2,FALSE)</f>
        <v>#N/A</v>
      </c>
      <c r="H4546" s="6" t="e">
        <f>VLOOKUP('Customer Info'!A4538,'Customer Info'!A4538:I5038,3,FALSE)</f>
        <v>#N/A</v>
      </c>
      <c r="I4546" s="6" t="e">
        <f>VLOOKUP('Customer Info'!A4538,'Customer Info'!A4538:I5037,5,FALSE)</f>
        <v>#N/A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355</v>
      </c>
      <c r="R4546" s="2" t="s">
        <v>50</v>
      </c>
      <c r="S4546" s="9">
        <f t="shared" si="354"/>
        <v>0.02</v>
      </c>
    </row>
    <row r="4547" spans="1:19" x14ac:dyDescent="0.25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e">
        <f>VLOOKUP('Customer Info'!A4539,'Customer Info'!A4539:I5038,2,FALSE)</f>
        <v>#N/A</v>
      </c>
      <c r="H4547" s="6" t="e">
        <f>VLOOKUP('Customer Info'!A4539,'Customer Info'!A4539:I5039,3,FALSE)</f>
        <v>#N/A</v>
      </c>
      <c r="I4547" s="6" t="e">
        <f>VLOOKUP('Customer Info'!A4539,'Customer Info'!A4539:I5038,5,FALSE)</f>
        <v>#N/A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236</v>
      </c>
      <c r="R4547" s="2" t="s">
        <v>50</v>
      </c>
      <c r="S4547" s="9">
        <f t="shared" si="354"/>
        <v>0.02</v>
      </c>
    </row>
    <row r="4548" spans="1:19" x14ac:dyDescent="0.25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e">
        <f>VLOOKUP('Customer Info'!A4540,'Customer Info'!A4540:I5039,2,FALSE)</f>
        <v>#N/A</v>
      </c>
      <c r="H4548" s="6" t="e">
        <f>VLOOKUP('Customer Info'!A4540,'Customer Info'!A4540:I5040,3,FALSE)</f>
        <v>#N/A</v>
      </c>
      <c r="I4548" s="6" t="e">
        <f>VLOOKUP('Customer Info'!A4540,'Customer Info'!A4540:I5039,5,FALSE)</f>
        <v>#N/A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84</v>
      </c>
      <c r="R4548" s="2" t="s">
        <v>26</v>
      </c>
      <c r="S4548" s="9">
        <f t="shared" si="354"/>
        <v>0.02</v>
      </c>
    </row>
    <row r="4549" spans="1:19" x14ac:dyDescent="0.25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e">
        <f>VLOOKUP('Customer Info'!A4541,'Customer Info'!A4541:I5040,2,FALSE)</f>
        <v>#N/A</v>
      </c>
      <c r="H4549" s="6" t="e">
        <f>VLOOKUP('Customer Info'!A4541,'Customer Info'!A4541:I5041,3,FALSE)</f>
        <v>#N/A</v>
      </c>
      <c r="I4549" s="6" t="e">
        <f>VLOOKUP('Customer Info'!A4541,'Customer Info'!A4541:I5040,5,FALSE)</f>
        <v>#N/A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20</v>
      </c>
      <c r="R4549" s="2" t="s">
        <v>28</v>
      </c>
      <c r="S4549" s="9">
        <f t="shared" si="354"/>
        <v>0.02</v>
      </c>
    </row>
    <row r="4550" spans="1:19" x14ac:dyDescent="0.25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e">
        <f>VLOOKUP('Customer Info'!A4542,'Customer Info'!A4542:I5041,2,FALSE)</f>
        <v>#N/A</v>
      </c>
      <c r="H4550" s="6" t="e">
        <f>VLOOKUP('Customer Info'!A4542,'Customer Info'!A4542:I5042,3,FALSE)</f>
        <v>#N/A</v>
      </c>
      <c r="I4550" s="6" t="e">
        <f>VLOOKUP('Customer Info'!A4542,'Customer Info'!A4542:I5041,5,FALSE)</f>
        <v>#N/A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66</v>
      </c>
      <c r="R4550" s="2" t="s">
        <v>50</v>
      </c>
      <c r="S4550" s="9">
        <f t="shared" si="354"/>
        <v>0.02</v>
      </c>
    </row>
    <row r="4551" spans="1:19" x14ac:dyDescent="0.25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e">
        <f>VLOOKUP('Customer Info'!A4543,'Customer Info'!A4543:I5042,2,FALSE)</f>
        <v>#N/A</v>
      </c>
      <c r="H4551" s="6" t="e">
        <f>VLOOKUP('Customer Info'!A4543,'Customer Info'!A4543:I5043,3,FALSE)</f>
        <v>#N/A</v>
      </c>
      <c r="I4551" s="6" t="e">
        <f>VLOOKUP('Customer Info'!A4543,'Customer Info'!A4543:I5042,5,FALSE)</f>
        <v>#N/A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2568</v>
      </c>
      <c r="R4551" s="2" t="s">
        <v>50</v>
      </c>
      <c r="S4551" s="9">
        <f t="shared" si="354"/>
        <v>0.05</v>
      </c>
    </row>
    <row r="4552" spans="1:19" x14ac:dyDescent="0.25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e">
        <f>VLOOKUP('Customer Info'!A4544,'Customer Info'!A4544:I5043,2,FALSE)</f>
        <v>#N/A</v>
      </c>
      <c r="H4552" s="6" t="e">
        <f>VLOOKUP('Customer Info'!A4544,'Customer Info'!A4544:I5044,3,FALSE)</f>
        <v>#N/A</v>
      </c>
      <c r="I4552" s="6" t="e">
        <f>VLOOKUP('Customer Info'!A4544,'Customer Info'!A4544:I5043,5,FALSE)</f>
        <v>#N/A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388</v>
      </c>
      <c r="R4552" s="2" t="s">
        <v>28</v>
      </c>
      <c r="S4552" s="9">
        <f t="shared" si="354"/>
        <v>0.05</v>
      </c>
    </row>
    <row r="4553" spans="1:19" x14ac:dyDescent="0.25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e">
        <f>VLOOKUP('Customer Info'!A4545,'Customer Info'!A4545:I5044,2,FALSE)</f>
        <v>#N/A</v>
      </c>
      <c r="H4553" s="6" t="e">
        <f>VLOOKUP('Customer Info'!A4545,'Customer Info'!A4545:I5045,3,FALSE)</f>
        <v>#N/A</v>
      </c>
      <c r="I4553" s="6" t="e">
        <f>VLOOKUP('Customer Info'!A4545,'Customer Info'!A4545:I5044,5,FALSE)</f>
        <v>#N/A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835</v>
      </c>
      <c r="R4553" s="2" t="s">
        <v>56</v>
      </c>
      <c r="S4553" s="9">
        <f t="shared" si="354"/>
        <v>0.05</v>
      </c>
    </row>
    <row r="4554" spans="1:19" x14ac:dyDescent="0.25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e">
        <f>VLOOKUP('Customer Info'!A4546,'Customer Info'!A4546:I5045,2,FALSE)</f>
        <v>#N/A</v>
      </c>
      <c r="H4554" s="6" t="e">
        <f>VLOOKUP('Customer Info'!A4546,'Customer Info'!A4546:I5046,3,FALSE)</f>
        <v>#N/A</v>
      </c>
      <c r="I4554" s="6" t="e">
        <f>VLOOKUP('Customer Info'!A4546,'Customer Info'!A4546:I5045,5,FALSE)</f>
        <v>#N/A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15</v>
      </c>
      <c r="R4554" s="2" t="s">
        <v>50</v>
      </c>
      <c r="S4554" s="9">
        <f t="shared" si="354"/>
        <v>0.02</v>
      </c>
    </row>
    <row r="4555" spans="1:19" x14ac:dyDescent="0.25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e">
        <f>VLOOKUP('Customer Info'!A4547,'Customer Info'!A4547:I5046,2,FALSE)</f>
        <v>#N/A</v>
      </c>
      <c r="H4555" s="6" t="e">
        <f>VLOOKUP('Customer Info'!A4547,'Customer Info'!A4547:I5047,3,FALSE)</f>
        <v>#N/A</v>
      </c>
      <c r="I4555" s="6" t="e">
        <f>VLOOKUP('Customer Info'!A4547,'Customer Info'!A4547:I5046,5,FALSE)</f>
        <v>#N/A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8">
        <f t="shared" ref="P4555:P4618" si="357">N4555+O4555</f>
        <v>25718</v>
      </c>
      <c r="Q4555" s="8">
        <f t="shared" ref="Q4555:Q4618" si="358">P4555-M4555</f>
        <v>1252</v>
      </c>
      <c r="R4555" s="2" t="s">
        <v>28</v>
      </c>
      <c r="S4555" s="9">
        <f t="shared" ref="S4555:S4618" si="359">VLOOKUP(P4555,$T$2:$U$7,2,TRUE)</f>
        <v>7.0000000000000007E-2</v>
      </c>
    </row>
    <row r="4556" spans="1:19" x14ac:dyDescent="0.25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e">
        <f>VLOOKUP('Customer Info'!A4548,'Customer Info'!A4548:I5047,2,FALSE)</f>
        <v>#N/A</v>
      </c>
      <c r="H4556" s="6" t="e">
        <f>VLOOKUP('Customer Info'!A4548,'Customer Info'!A4548:I5048,3,FALSE)</f>
        <v>#N/A</v>
      </c>
      <c r="I4556" s="6" t="e">
        <f>VLOOKUP('Customer Info'!A4548,'Customer Info'!A4548:I5047,5,FALSE)</f>
        <v>#N/A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348</v>
      </c>
      <c r="R4556" s="2" t="s">
        <v>28</v>
      </c>
      <c r="S4556" s="9">
        <f t="shared" si="359"/>
        <v>0.05</v>
      </c>
    </row>
    <row r="4557" spans="1:19" x14ac:dyDescent="0.25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e">
        <f>VLOOKUP('Customer Info'!A4549,'Customer Info'!A4549:I5048,2,FALSE)</f>
        <v>#N/A</v>
      </c>
      <c r="H4557" s="6" t="e">
        <f>VLOOKUP('Customer Info'!A4549,'Customer Info'!A4549:I5049,3,FALSE)</f>
        <v>#N/A</v>
      </c>
      <c r="I4557" s="6" t="e">
        <f>VLOOKUP('Customer Info'!A4549,'Customer Info'!A4549:I5048,5,FALSE)</f>
        <v>#N/A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201</v>
      </c>
      <c r="R4557" s="2" t="s">
        <v>28</v>
      </c>
      <c r="S4557" s="9">
        <f t="shared" si="359"/>
        <v>0.05</v>
      </c>
    </row>
    <row r="4558" spans="1:19" x14ac:dyDescent="0.25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e">
        <f>VLOOKUP('Customer Info'!A4550,'Customer Info'!A4550:I5049,2,FALSE)</f>
        <v>#N/A</v>
      </c>
      <c r="H4558" s="6" t="e">
        <f>VLOOKUP('Customer Info'!A4550,'Customer Info'!A4550:I5050,3,FALSE)</f>
        <v>#N/A</v>
      </c>
      <c r="I4558" s="6" t="e">
        <f>VLOOKUP('Customer Info'!A4550,'Customer Info'!A4550:I5049,5,FALSE)</f>
        <v>#N/A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1339</v>
      </c>
      <c r="R4558" s="2" t="s">
        <v>56</v>
      </c>
      <c r="S4558" s="9">
        <f t="shared" si="359"/>
        <v>0.05</v>
      </c>
    </row>
    <row r="4559" spans="1:19" x14ac:dyDescent="0.25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e">
        <f>VLOOKUP('Customer Info'!A4551,'Customer Info'!A4551:I5050,2,FALSE)</f>
        <v>#N/A</v>
      </c>
      <c r="H4559" s="6" t="e">
        <f>VLOOKUP('Customer Info'!A4551,'Customer Info'!A4551:I5051,3,FALSE)</f>
        <v>#N/A</v>
      </c>
      <c r="I4559" s="6" t="e">
        <f>VLOOKUP('Customer Info'!A4551,'Customer Info'!A4551:I5050,5,FALSE)</f>
        <v>#N/A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1954</v>
      </c>
      <c r="R4559" s="2" t="s">
        <v>50</v>
      </c>
      <c r="S4559" s="9">
        <f t="shared" si="359"/>
        <v>0.05</v>
      </c>
    </row>
    <row r="4560" spans="1:19" x14ac:dyDescent="0.25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e">
        <f>VLOOKUP('Customer Info'!A4552,'Customer Info'!A4552:I5051,2,FALSE)</f>
        <v>#N/A</v>
      </c>
      <c r="H4560" s="6" t="e">
        <f>VLOOKUP('Customer Info'!A4552,'Customer Info'!A4552:I5052,3,FALSE)</f>
        <v>#N/A</v>
      </c>
      <c r="I4560" s="6" t="e">
        <f>VLOOKUP('Customer Info'!A4552,'Customer Info'!A4552:I5051,5,FALSE)</f>
        <v>#N/A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3784</v>
      </c>
      <c r="R4560" s="2" t="s">
        <v>28</v>
      </c>
      <c r="S4560" s="9">
        <f t="shared" si="359"/>
        <v>0.09</v>
      </c>
    </row>
    <row r="4561" spans="1:19" x14ac:dyDescent="0.25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e">
        <f>VLOOKUP('Customer Info'!A4553,'Customer Info'!A4553:I5052,2,FALSE)</f>
        <v>#N/A</v>
      </c>
      <c r="H4561" s="6" t="e">
        <f>VLOOKUP('Customer Info'!A4553,'Customer Info'!A4553:I5053,3,FALSE)</f>
        <v>#N/A</v>
      </c>
      <c r="I4561" s="6" t="e">
        <f>VLOOKUP('Customer Info'!A4553,'Customer Info'!A4553:I5052,5,FALSE)</f>
        <v>#N/A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384</v>
      </c>
      <c r="R4561" s="2" t="s">
        <v>50</v>
      </c>
      <c r="S4561" s="9">
        <f t="shared" si="359"/>
        <v>0.05</v>
      </c>
    </row>
    <row r="4562" spans="1:19" x14ac:dyDescent="0.25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e">
        <f>VLOOKUP('Customer Info'!A4554,'Customer Info'!A4554:I5053,2,FALSE)</f>
        <v>#N/A</v>
      </c>
      <c r="H4562" s="6" t="e">
        <f>VLOOKUP('Customer Info'!A4554,'Customer Info'!A4554:I5054,3,FALSE)</f>
        <v>#N/A</v>
      </c>
      <c r="I4562" s="6" t="e">
        <f>VLOOKUP('Customer Info'!A4554,'Customer Info'!A4554:I5053,5,FALSE)</f>
        <v>#N/A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1448</v>
      </c>
      <c r="R4562" s="2" t="s">
        <v>28</v>
      </c>
      <c r="S4562" s="9">
        <f t="shared" si="359"/>
        <v>0.05</v>
      </c>
    </row>
    <row r="4563" spans="1:19" x14ac:dyDescent="0.25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e">
        <f>VLOOKUP('Customer Info'!A4555,'Customer Info'!A4555:I5054,2,FALSE)</f>
        <v>#N/A</v>
      </c>
      <c r="H4563" s="6" t="e">
        <f>VLOOKUP('Customer Info'!A4555,'Customer Info'!A4555:I5055,3,FALSE)</f>
        <v>#N/A</v>
      </c>
      <c r="I4563" s="6" t="e">
        <f>VLOOKUP('Customer Info'!A4555,'Customer Info'!A4555:I5054,5,FALSE)</f>
        <v>#N/A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330</v>
      </c>
      <c r="R4563" s="2" t="s">
        <v>50</v>
      </c>
      <c r="S4563" s="9">
        <f t="shared" si="359"/>
        <v>0.05</v>
      </c>
    </row>
    <row r="4564" spans="1:19" x14ac:dyDescent="0.25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e">
        <f>VLOOKUP('Customer Info'!A4556,'Customer Info'!A4556:I5055,2,FALSE)</f>
        <v>#N/A</v>
      </c>
      <c r="H4564" s="6" t="e">
        <f>VLOOKUP('Customer Info'!A4556,'Customer Info'!A4556:I5056,3,FALSE)</f>
        <v>#N/A</v>
      </c>
      <c r="I4564" s="6" t="e">
        <f>VLOOKUP('Customer Info'!A4556,'Customer Info'!A4556:I5055,5,FALSE)</f>
        <v>#N/A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22</v>
      </c>
      <c r="R4564" s="2" t="s">
        <v>50</v>
      </c>
      <c r="S4564" s="9">
        <f t="shared" si="359"/>
        <v>0.02</v>
      </c>
    </row>
    <row r="4565" spans="1:19" x14ac:dyDescent="0.25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e">
        <f>VLOOKUP('Customer Info'!A4557,'Customer Info'!A4557:I5056,2,FALSE)</f>
        <v>#N/A</v>
      </c>
      <c r="H4565" s="6" t="e">
        <f>VLOOKUP('Customer Info'!A4557,'Customer Info'!A4557:I5057,3,FALSE)</f>
        <v>#N/A</v>
      </c>
      <c r="I4565" s="6" t="e">
        <f>VLOOKUP('Customer Info'!A4557,'Customer Info'!A4557:I5056,5,FALSE)</f>
        <v>#N/A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3045</v>
      </c>
      <c r="R4565" s="2" t="s">
        <v>28</v>
      </c>
      <c r="S4565" s="9">
        <f t="shared" si="359"/>
        <v>7.0000000000000007E-2</v>
      </c>
    </row>
    <row r="4566" spans="1:19" x14ac:dyDescent="0.25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e">
        <f>VLOOKUP('Customer Info'!A4558,'Customer Info'!A4558:I5057,2,FALSE)</f>
        <v>#N/A</v>
      </c>
      <c r="H4566" s="6" t="e">
        <f>VLOOKUP('Customer Info'!A4558,'Customer Info'!A4558:I5058,3,FALSE)</f>
        <v>#N/A</v>
      </c>
      <c r="I4566" s="6" t="e">
        <f>VLOOKUP('Customer Info'!A4558,'Customer Info'!A4558:I5057,5,FALSE)</f>
        <v>#N/A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221</v>
      </c>
      <c r="R4566" s="2" t="s">
        <v>50</v>
      </c>
      <c r="S4566" s="9">
        <f t="shared" si="359"/>
        <v>0.05</v>
      </c>
    </row>
    <row r="4567" spans="1:19" x14ac:dyDescent="0.25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e">
        <f>VLOOKUP('Customer Info'!A4559,'Customer Info'!A4559:I5058,2,FALSE)</f>
        <v>#N/A</v>
      </c>
      <c r="H4567" s="6" t="e">
        <f>VLOOKUP('Customer Info'!A4559,'Customer Info'!A4559:I5059,3,FALSE)</f>
        <v>#N/A</v>
      </c>
      <c r="I4567" s="6" t="e">
        <f>VLOOKUP('Customer Info'!A4559,'Customer Info'!A4559:I5058,5,FALSE)</f>
        <v>#N/A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101</v>
      </c>
      <c r="R4567" s="2" t="s">
        <v>28</v>
      </c>
      <c r="S4567" s="9">
        <f t="shared" si="359"/>
        <v>0.02</v>
      </c>
    </row>
    <row r="4568" spans="1:19" x14ac:dyDescent="0.25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e">
        <f>VLOOKUP('Customer Info'!A4560,'Customer Info'!A4560:I5059,2,FALSE)</f>
        <v>#N/A</v>
      </c>
      <c r="H4568" s="6" t="e">
        <f>VLOOKUP('Customer Info'!A4560,'Customer Info'!A4560:I5060,3,FALSE)</f>
        <v>#N/A</v>
      </c>
      <c r="I4568" s="6" t="e">
        <f>VLOOKUP('Customer Info'!A4560,'Customer Info'!A4560:I5059,5,FALSE)</f>
        <v>#N/A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1819</v>
      </c>
      <c r="R4568" s="2" t="s">
        <v>28</v>
      </c>
      <c r="S4568" s="9">
        <f t="shared" si="359"/>
        <v>0.05</v>
      </c>
    </row>
    <row r="4569" spans="1:19" x14ac:dyDescent="0.25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e">
        <f>VLOOKUP('Customer Info'!A4561,'Customer Info'!A4561:I5060,2,FALSE)</f>
        <v>#N/A</v>
      </c>
      <c r="H4569" s="6" t="e">
        <f>VLOOKUP('Customer Info'!A4561,'Customer Info'!A4561:I5061,3,FALSE)</f>
        <v>#N/A</v>
      </c>
      <c r="I4569" s="6" t="e">
        <f>VLOOKUP('Customer Info'!A4561,'Customer Info'!A4561:I5060,5,FALSE)</f>
        <v>#N/A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1993</v>
      </c>
      <c r="R4569" s="2" t="s">
        <v>28</v>
      </c>
      <c r="S4569" s="9">
        <f t="shared" si="359"/>
        <v>7.0000000000000007E-2</v>
      </c>
    </row>
    <row r="4570" spans="1:19" x14ac:dyDescent="0.25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e">
        <f>VLOOKUP('Customer Info'!A4562,'Customer Info'!A4562:I5061,2,FALSE)</f>
        <v>#N/A</v>
      </c>
      <c r="H4570" s="6" t="e">
        <f>VLOOKUP('Customer Info'!A4562,'Customer Info'!A4562:I5062,3,FALSE)</f>
        <v>#N/A</v>
      </c>
      <c r="I4570" s="6" t="e">
        <f>VLOOKUP('Customer Info'!A4562,'Customer Info'!A4562:I5061,5,FALSE)</f>
        <v>#N/A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35</v>
      </c>
      <c r="R4570" s="2" t="s">
        <v>28</v>
      </c>
      <c r="S4570" s="9">
        <f t="shared" si="359"/>
        <v>0.02</v>
      </c>
    </row>
    <row r="4571" spans="1:19" x14ac:dyDescent="0.25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e">
        <f>VLOOKUP('Customer Info'!A4563,'Customer Info'!A4563:I5062,2,FALSE)</f>
        <v>#N/A</v>
      </c>
      <c r="H4571" s="6" t="e">
        <f>VLOOKUP('Customer Info'!A4563,'Customer Info'!A4563:I5063,3,FALSE)</f>
        <v>#N/A</v>
      </c>
      <c r="I4571" s="6" t="e">
        <f>VLOOKUP('Customer Info'!A4563,'Customer Info'!A4563:I5062,5,FALSE)</f>
        <v>#N/A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176</v>
      </c>
      <c r="R4571" s="2" t="s">
        <v>28</v>
      </c>
      <c r="S4571" s="9">
        <f t="shared" si="359"/>
        <v>0.02</v>
      </c>
    </row>
    <row r="4572" spans="1:19" x14ac:dyDescent="0.25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e">
        <f>VLOOKUP('Customer Info'!A4564,'Customer Info'!A4564:I5063,2,FALSE)</f>
        <v>#N/A</v>
      </c>
      <c r="H4572" s="6" t="e">
        <f>VLOOKUP('Customer Info'!A4564,'Customer Info'!A4564:I5064,3,FALSE)</f>
        <v>#N/A</v>
      </c>
      <c r="I4572" s="6" t="e">
        <f>VLOOKUP('Customer Info'!A4564,'Customer Info'!A4564:I5063,5,FALSE)</f>
        <v>#N/A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343</v>
      </c>
      <c r="R4572" s="2" t="s">
        <v>50</v>
      </c>
      <c r="S4572" s="9">
        <f t="shared" si="359"/>
        <v>0.02</v>
      </c>
    </row>
    <row r="4573" spans="1:19" x14ac:dyDescent="0.25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e">
        <f>VLOOKUP('Customer Info'!A4565,'Customer Info'!A4565:I5064,2,FALSE)</f>
        <v>#N/A</v>
      </c>
      <c r="H4573" s="6" t="e">
        <f>VLOOKUP('Customer Info'!A4565,'Customer Info'!A4565:I5065,3,FALSE)</f>
        <v>#N/A</v>
      </c>
      <c r="I4573" s="6" t="e">
        <f>VLOOKUP('Customer Info'!A4565,'Customer Info'!A4565:I5064,5,FALSE)</f>
        <v>#N/A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45</v>
      </c>
      <c r="R4573" s="2" t="s">
        <v>28</v>
      </c>
      <c r="S4573" s="9">
        <f t="shared" si="359"/>
        <v>0.02</v>
      </c>
    </row>
    <row r="4574" spans="1:19" x14ac:dyDescent="0.25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e">
        <f>VLOOKUP('Customer Info'!A4566,'Customer Info'!A4566:I5065,2,FALSE)</f>
        <v>#N/A</v>
      </c>
      <c r="H4574" s="6" t="e">
        <f>VLOOKUP('Customer Info'!A4566,'Customer Info'!A4566:I5066,3,FALSE)</f>
        <v>#N/A</v>
      </c>
      <c r="I4574" s="6" t="e">
        <f>VLOOKUP('Customer Info'!A4566,'Customer Info'!A4566:I5065,5,FALSE)</f>
        <v>#N/A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319</v>
      </c>
      <c r="R4574" s="2" t="s">
        <v>50</v>
      </c>
      <c r="S4574" s="9">
        <f t="shared" si="359"/>
        <v>0.02</v>
      </c>
    </row>
    <row r="4575" spans="1:19" x14ac:dyDescent="0.25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e">
        <f>VLOOKUP('Customer Info'!A4567,'Customer Info'!A4567:I5066,2,FALSE)</f>
        <v>#N/A</v>
      </c>
      <c r="H4575" s="6" t="e">
        <f>VLOOKUP('Customer Info'!A4567,'Customer Info'!A4567:I5067,3,FALSE)</f>
        <v>#N/A</v>
      </c>
      <c r="I4575" s="6" t="e">
        <f>VLOOKUP('Customer Info'!A4567,'Customer Info'!A4567:I5066,5,FALSE)</f>
        <v>#N/A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987</v>
      </c>
      <c r="R4575" s="2" t="s">
        <v>28</v>
      </c>
      <c r="S4575" s="9">
        <f t="shared" si="359"/>
        <v>0.05</v>
      </c>
    </row>
    <row r="4576" spans="1:19" x14ac:dyDescent="0.25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e">
        <f>VLOOKUP('Customer Info'!A4568,'Customer Info'!A4568:I5067,2,FALSE)</f>
        <v>#N/A</v>
      </c>
      <c r="H4576" s="6" t="e">
        <f>VLOOKUP('Customer Info'!A4568,'Customer Info'!A4568:I5068,3,FALSE)</f>
        <v>#N/A</v>
      </c>
      <c r="I4576" s="6" t="e">
        <f>VLOOKUP('Customer Info'!A4568,'Customer Info'!A4568:I5067,5,FALSE)</f>
        <v>#N/A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123</v>
      </c>
      <c r="R4576" s="2" t="s">
        <v>28</v>
      </c>
      <c r="S4576" s="9">
        <f t="shared" si="359"/>
        <v>0.02</v>
      </c>
    </row>
    <row r="4577" spans="1:19" x14ac:dyDescent="0.25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e">
        <f>VLOOKUP('Customer Info'!A4569,'Customer Info'!A4569:I5068,2,FALSE)</f>
        <v>#N/A</v>
      </c>
      <c r="H4577" s="6" t="e">
        <f>VLOOKUP('Customer Info'!A4569,'Customer Info'!A4569:I5069,3,FALSE)</f>
        <v>#N/A</v>
      </c>
      <c r="I4577" s="6" t="e">
        <f>VLOOKUP('Customer Info'!A4569,'Customer Info'!A4569:I5068,5,FALSE)</f>
        <v>#N/A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737</v>
      </c>
      <c r="R4577" s="2" t="s">
        <v>28</v>
      </c>
      <c r="S4577" s="9">
        <f t="shared" si="359"/>
        <v>0.05</v>
      </c>
    </row>
    <row r="4578" spans="1:19" x14ac:dyDescent="0.25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e">
        <f>VLOOKUP('Customer Info'!A4570,'Customer Info'!A4570:I5069,2,FALSE)</f>
        <v>#N/A</v>
      </c>
      <c r="H4578" s="6" t="e">
        <f>VLOOKUP('Customer Info'!A4570,'Customer Info'!A4570:I5070,3,FALSE)</f>
        <v>#N/A</v>
      </c>
      <c r="I4578" s="6" t="e">
        <f>VLOOKUP('Customer Info'!A4570,'Customer Info'!A4570:I5069,5,FALSE)</f>
        <v>#N/A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1590</v>
      </c>
      <c r="R4578" s="2" t="s">
        <v>50</v>
      </c>
      <c r="S4578" s="9">
        <f t="shared" si="359"/>
        <v>0.09</v>
      </c>
    </row>
    <row r="4579" spans="1:19" x14ac:dyDescent="0.25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e">
        <f>VLOOKUP('Customer Info'!A4571,'Customer Info'!A4571:I5070,2,FALSE)</f>
        <v>#N/A</v>
      </c>
      <c r="H4579" s="6" t="e">
        <f>VLOOKUP('Customer Info'!A4571,'Customer Info'!A4571:I5071,3,FALSE)</f>
        <v>#N/A</v>
      </c>
      <c r="I4579" s="6" t="e">
        <f>VLOOKUP('Customer Info'!A4571,'Customer Info'!A4571:I5070,5,FALSE)</f>
        <v>#N/A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1226</v>
      </c>
      <c r="R4579" s="2" t="s">
        <v>28</v>
      </c>
      <c r="S4579" s="9">
        <f t="shared" si="359"/>
        <v>7.0000000000000007E-2</v>
      </c>
    </row>
    <row r="4580" spans="1:19" x14ac:dyDescent="0.25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e">
        <f>VLOOKUP('Customer Info'!A4572,'Customer Info'!A4572:I5071,2,FALSE)</f>
        <v>#N/A</v>
      </c>
      <c r="H4580" s="6" t="e">
        <f>VLOOKUP('Customer Info'!A4572,'Customer Info'!A4572:I5072,3,FALSE)</f>
        <v>#N/A</v>
      </c>
      <c r="I4580" s="6" t="e">
        <f>VLOOKUP('Customer Info'!A4572,'Customer Info'!A4572:I5071,5,FALSE)</f>
        <v>#N/A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2177</v>
      </c>
      <c r="R4580" s="2" t="s">
        <v>28</v>
      </c>
      <c r="S4580" s="9">
        <f t="shared" si="359"/>
        <v>7.0000000000000007E-2</v>
      </c>
    </row>
    <row r="4581" spans="1:19" x14ac:dyDescent="0.25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e">
        <f>VLOOKUP('Customer Info'!A4573,'Customer Info'!A4573:I5072,2,FALSE)</f>
        <v>#N/A</v>
      </c>
      <c r="H4581" s="6" t="e">
        <f>VLOOKUP('Customer Info'!A4573,'Customer Info'!A4573:I5073,3,FALSE)</f>
        <v>#N/A</v>
      </c>
      <c r="I4581" s="6" t="e">
        <f>VLOOKUP('Customer Info'!A4573,'Customer Info'!A4573:I5072,5,FALSE)</f>
        <v>#N/A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14</v>
      </c>
      <c r="R4581" s="2" t="s">
        <v>28</v>
      </c>
      <c r="S4581" s="9">
        <f t="shared" si="359"/>
        <v>0.02</v>
      </c>
    </row>
    <row r="4582" spans="1:19" x14ac:dyDescent="0.25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e">
        <f>VLOOKUP('Customer Info'!A4574,'Customer Info'!A4574:I5073,2,FALSE)</f>
        <v>#N/A</v>
      </c>
      <c r="H4582" s="6" t="e">
        <f>VLOOKUP('Customer Info'!A4574,'Customer Info'!A4574:I5074,3,FALSE)</f>
        <v>#N/A</v>
      </c>
      <c r="I4582" s="6" t="e">
        <f>VLOOKUP('Customer Info'!A4574,'Customer Info'!A4574:I5073,5,FALSE)</f>
        <v>#N/A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325</v>
      </c>
      <c r="R4582" s="2" t="s">
        <v>50</v>
      </c>
      <c r="S4582" s="9">
        <f t="shared" si="359"/>
        <v>0.02</v>
      </c>
    </row>
    <row r="4583" spans="1:19" x14ac:dyDescent="0.25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e">
        <f>VLOOKUP('Customer Info'!A4575,'Customer Info'!A4575:I5074,2,FALSE)</f>
        <v>#N/A</v>
      </c>
      <c r="H4583" s="6" t="e">
        <f>VLOOKUP('Customer Info'!A4575,'Customer Info'!A4575:I5075,3,FALSE)</f>
        <v>#N/A</v>
      </c>
      <c r="I4583" s="6" t="e">
        <f>VLOOKUP('Customer Info'!A4575,'Customer Info'!A4575:I5074,5,FALSE)</f>
        <v>#N/A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204</v>
      </c>
      <c r="R4583" s="2" t="s">
        <v>28</v>
      </c>
      <c r="S4583" s="9">
        <f t="shared" si="359"/>
        <v>0.02</v>
      </c>
    </row>
    <row r="4584" spans="1:19" x14ac:dyDescent="0.25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e">
        <f>VLOOKUP('Customer Info'!A4576,'Customer Info'!A4576:I5075,2,FALSE)</f>
        <v>#N/A</v>
      </c>
      <c r="H4584" s="6" t="e">
        <f>VLOOKUP('Customer Info'!A4576,'Customer Info'!A4576:I5076,3,FALSE)</f>
        <v>#N/A</v>
      </c>
      <c r="I4584" s="6" t="e">
        <f>VLOOKUP('Customer Info'!A4576,'Customer Info'!A4576:I5075,5,FALSE)</f>
        <v>#N/A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60</v>
      </c>
      <c r="R4584" s="2" t="s">
        <v>50</v>
      </c>
      <c r="S4584" s="9">
        <f t="shared" si="359"/>
        <v>0.02</v>
      </c>
    </row>
    <row r="4585" spans="1:19" x14ac:dyDescent="0.25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e">
        <f>VLOOKUP('Customer Info'!A4577,'Customer Info'!A4577:I5076,2,FALSE)</f>
        <v>#N/A</v>
      </c>
      <c r="H4585" s="6" t="e">
        <f>VLOOKUP('Customer Info'!A4577,'Customer Info'!A4577:I5077,3,FALSE)</f>
        <v>#N/A</v>
      </c>
      <c r="I4585" s="6" t="e">
        <f>VLOOKUP('Customer Info'!A4577,'Customer Info'!A4577:I5076,5,FALSE)</f>
        <v>#N/A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104</v>
      </c>
      <c r="R4585" s="2" t="s">
        <v>28</v>
      </c>
      <c r="S4585" s="9">
        <f t="shared" si="359"/>
        <v>0.02</v>
      </c>
    </row>
    <row r="4586" spans="1:19" x14ac:dyDescent="0.25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e">
        <f>VLOOKUP('Customer Info'!A4578,'Customer Info'!A4578:I5077,2,FALSE)</f>
        <v>#N/A</v>
      </c>
      <c r="H4586" s="6" t="e">
        <f>VLOOKUP('Customer Info'!A4578,'Customer Info'!A4578:I5078,3,FALSE)</f>
        <v>#N/A</v>
      </c>
      <c r="I4586" s="6" t="e">
        <f>VLOOKUP('Customer Info'!A4578,'Customer Info'!A4578:I5077,5,FALSE)</f>
        <v>#N/A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96</v>
      </c>
      <c r="R4586" s="2" t="s">
        <v>50</v>
      </c>
      <c r="S4586" s="9">
        <f t="shared" si="359"/>
        <v>0.02</v>
      </c>
    </row>
    <row r="4587" spans="1:19" x14ac:dyDescent="0.25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e">
        <f>VLOOKUP('Customer Info'!A4579,'Customer Info'!A4579:I5078,2,FALSE)</f>
        <v>#N/A</v>
      </c>
      <c r="H4587" s="6" t="e">
        <f>VLOOKUP('Customer Info'!A4579,'Customer Info'!A4579:I5079,3,FALSE)</f>
        <v>#N/A</v>
      </c>
      <c r="I4587" s="6" t="e">
        <f>VLOOKUP('Customer Info'!A4579,'Customer Info'!A4579:I5078,5,FALSE)</f>
        <v>#N/A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1249</v>
      </c>
      <c r="R4587" s="2" t="s">
        <v>28</v>
      </c>
      <c r="S4587" s="9">
        <f t="shared" si="359"/>
        <v>0.05</v>
      </c>
    </row>
    <row r="4588" spans="1:19" x14ac:dyDescent="0.25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e">
        <f>VLOOKUP('Customer Info'!A4580,'Customer Info'!A4580:I5079,2,FALSE)</f>
        <v>#N/A</v>
      </c>
      <c r="H4588" s="6" t="e">
        <f>VLOOKUP('Customer Info'!A4580,'Customer Info'!A4580:I5080,3,FALSE)</f>
        <v>#N/A</v>
      </c>
      <c r="I4588" s="6" t="e">
        <f>VLOOKUP('Customer Info'!A4580,'Customer Info'!A4580:I5079,5,FALSE)</f>
        <v>#N/A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3103</v>
      </c>
      <c r="R4588" s="2" t="s">
        <v>28</v>
      </c>
      <c r="S4588" s="9">
        <f t="shared" si="359"/>
        <v>7.0000000000000007E-2</v>
      </c>
    </row>
    <row r="4589" spans="1:19" x14ac:dyDescent="0.25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e">
        <f>VLOOKUP('Customer Info'!A4581,'Customer Info'!A4581:I5080,2,FALSE)</f>
        <v>#N/A</v>
      </c>
      <c r="H4589" s="6" t="e">
        <f>VLOOKUP('Customer Info'!A4581,'Customer Info'!A4581:I5081,3,FALSE)</f>
        <v>#N/A</v>
      </c>
      <c r="I4589" s="6" t="e">
        <f>VLOOKUP('Customer Info'!A4581,'Customer Info'!A4581:I5080,5,FALSE)</f>
        <v>#N/A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201</v>
      </c>
      <c r="R4589" s="2" t="s">
        <v>28</v>
      </c>
      <c r="S4589" s="9">
        <f t="shared" si="359"/>
        <v>0.05</v>
      </c>
    </row>
    <row r="4590" spans="1:19" x14ac:dyDescent="0.25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e">
        <f>VLOOKUP('Customer Info'!A4582,'Customer Info'!A4582:I5081,2,FALSE)</f>
        <v>#N/A</v>
      </c>
      <c r="H4590" s="6" t="e">
        <f>VLOOKUP('Customer Info'!A4582,'Customer Info'!A4582:I5082,3,FALSE)</f>
        <v>#N/A</v>
      </c>
      <c r="I4590" s="6" t="e">
        <f>VLOOKUP('Customer Info'!A4582,'Customer Info'!A4582:I5081,5,FALSE)</f>
        <v>#N/A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216</v>
      </c>
      <c r="R4590" s="2" t="s">
        <v>28</v>
      </c>
      <c r="S4590" s="9">
        <f t="shared" si="359"/>
        <v>0.02</v>
      </c>
    </row>
    <row r="4591" spans="1:19" x14ac:dyDescent="0.25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e">
        <f>VLOOKUP('Customer Info'!A4583,'Customer Info'!A4583:I5082,2,FALSE)</f>
        <v>#N/A</v>
      </c>
      <c r="H4591" s="6" t="e">
        <f>VLOOKUP('Customer Info'!A4583,'Customer Info'!A4583:I5083,3,FALSE)</f>
        <v>#N/A</v>
      </c>
      <c r="I4591" s="6" t="e">
        <f>VLOOKUP('Customer Info'!A4583,'Customer Info'!A4583:I5082,5,FALSE)</f>
        <v>#N/A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454</v>
      </c>
      <c r="R4591" s="2" t="s">
        <v>28</v>
      </c>
      <c r="S4591" s="9">
        <f t="shared" si="359"/>
        <v>0.05</v>
      </c>
    </row>
    <row r="4592" spans="1:19" x14ac:dyDescent="0.25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e">
        <f>VLOOKUP('Customer Info'!A4584,'Customer Info'!A4584:I5083,2,FALSE)</f>
        <v>#N/A</v>
      </c>
      <c r="H4592" s="6" t="e">
        <f>VLOOKUP('Customer Info'!A4584,'Customer Info'!A4584:I5084,3,FALSE)</f>
        <v>#N/A</v>
      </c>
      <c r="I4592" s="6" t="e">
        <f>VLOOKUP('Customer Info'!A4584,'Customer Info'!A4584:I5083,5,FALSE)</f>
        <v>#N/A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205</v>
      </c>
      <c r="R4592" s="2" t="s">
        <v>28</v>
      </c>
      <c r="S4592" s="9">
        <f t="shared" si="359"/>
        <v>0.02</v>
      </c>
    </row>
    <row r="4593" spans="1:19" x14ac:dyDescent="0.25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e">
        <f>VLOOKUP('Customer Info'!A4585,'Customer Info'!A4585:I5084,2,FALSE)</f>
        <v>#N/A</v>
      </c>
      <c r="H4593" s="6" t="e">
        <f>VLOOKUP('Customer Info'!A4585,'Customer Info'!A4585:I5085,3,FALSE)</f>
        <v>#N/A</v>
      </c>
      <c r="I4593" s="6" t="e">
        <f>VLOOKUP('Customer Info'!A4585,'Customer Info'!A4585:I5084,5,FALSE)</f>
        <v>#N/A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787</v>
      </c>
      <c r="R4593" s="2" t="s">
        <v>28</v>
      </c>
      <c r="S4593" s="9">
        <f t="shared" si="359"/>
        <v>0.05</v>
      </c>
    </row>
    <row r="4594" spans="1:19" x14ac:dyDescent="0.25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e">
        <f>VLOOKUP('Customer Info'!A4586,'Customer Info'!A4586:I5085,2,FALSE)</f>
        <v>#N/A</v>
      </c>
      <c r="H4594" s="6" t="e">
        <f>VLOOKUP('Customer Info'!A4586,'Customer Info'!A4586:I5086,3,FALSE)</f>
        <v>#N/A</v>
      </c>
      <c r="I4594" s="6" t="e">
        <f>VLOOKUP('Customer Info'!A4586,'Customer Info'!A4586:I5085,5,FALSE)</f>
        <v>#N/A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189</v>
      </c>
      <c r="R4594" s="2" t="s">
        <v>28</v>
      </c>
      <c r="S4594" s="9">
        <f t="shared" si="359"/>
        <v>0.02</v>
      </c>
    </row>
    <row r="4595" spans="1:19" x14ac:dyDescent="0.25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e">
        <f>VLOOKUP('Customer Info'!A4587,'Customer Info'!A4587:I5086,2,FALSE)</f>
        <v>#N/A</v>
      </c>
      <c r="H4595" s="6" t="e">
        <f>VLOOKUP('Customer Info'!A4587,'Customer Info'!A4587:I5087,3,FALSE)</f>
        <v>#N/A</v>
      </c>
      <c r="I4595" s="6" t="e">
        <f>VLOOKUP('Customer Info'!A4587,'Customer Info'!A4587:I5086,5,FALSE)</f>
        <v>#N/A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1242</v>
      </c>
      <c r="R4595" s="2" t="s">
        <v>28</v>
      </c>
      <c r="S4595" s="9">
        <f t="shared" si="359"/>
        <v>0.05</v>
      </c>
    </row>
    <row r="4596" spans="1:19" x14ac:dyDescent="0.25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e">
        <f>VLOOKUP('Customer Info'!A4588,'Customer Info'!A4588:I5087,2,FALSE)</f>
        <v>#N/A</v>
      </c>
      <c r="H4596" s="6" t="e">
        <f>VLOOKUP('Customer Info'!A4588,'Customer Info'!A4588:I5088,3,FALSE)</f>
        <v>#N/A</v>
      </c>
      <c r="I4596" s="6" t="e">
        <f>VLOOKUP('Customer Info'!A4588,'Customer Info'!A4588:I5087,5,FALSE)</f>
        <v>#N/A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146</v>
      </c>
      <c r="R4596" s="2" t="s">
        <v>56</v>
      </c>
      <c r="S4596" s="9">
        <f t="shared" si="359"/>
        <v>0.02</v>
      </c>
    </row>
    <row r="4597" spans="1:19" x14ac:dyDescent="0.25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e">
        <f>VLOOKUP('Customer Info'!A4589,'Customer Info'!A4589:I5088,2,FALSE)</f>
        <v>#N/A</v>
      </c>
      <c r="H4597" s="6" t="e">
        <f>VLOOKUP('Customer Info'!A4589,'Customer Info'!A4589:I5089,3,FALSE)</f>
        <v>#N/A</v>
      </c>
      <c r="I4597" s="6" t="e">
        <f>VLOOKUP('Customer Info'!A4589,'Customer Info'!A4589:I5088,5,FALSE)</f>
        <v>#N/A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83</v>
      </c>
      <c r="R4597" s="2" t="s">
        <v>28</v>
      </c>
      <c r="S4597" s="9">
        <f t="shared" si="359"/>
        <v>0.02</v>
      </c>
    </row>
    <row r="4598" spans="1:19" x14ac:dyDescent="0.25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e">
        <f>VLOOKUP('Customer Info'!A4590,'Customer Info'!A4590:I5089,2,FALSE)</f>
        <v>#N/A</v>
      </c>
      <c r="H4598" s="6" t="e">
        <f>VLOOKUP('Customer Info'!A4590,'Customer Info'!A4590:I5090,3,FALSE)</f>
        <v>#N/A</v>
      </c>
      <c r="I4598" s="6" t="e">
        <f>VLOOKUP('Customer Info'!A4590,'Customer Info'!A4590:I5089,5,FALSE)</f>
        <v>#N/A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134</v>
      </c>
      <c r="R4598" s="2" t="s">
        <v>26</v>
      </c>
      <c r="S4598" s="9">
        <f t="shared" si="359"/>
        <v>0.02</v>
      </c>
    </row>
    <row r="4599" spans="1:19" x14ac:dyDescent="0.25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e">
        <f>VLOOKUP('Customer Info'!A4591,'Customer Info'!A4591:I5090,2,FALSE)</f>
        <v>#N/A</v>
      </c>
      <c r="H4599" s="6" t="e">
        <f>VLOOKUP('Customer Info'!A4591,'Customer Info'!A4591:I5091,3,FALSE)</f>
        <v>#N/A</v>
      </c>
      <c r="I4599" s="6" t="e">
        <f>VLOOKUP('Customer Info'!A4591,'Customer Info'!A4591:I5090,5,FALSE)</f>
        <v>#N/A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112</v>
      </c>
      <c r="R4599" s="2" t="s">
        <v>28</v>
      </c>
      <c r="S4599" s="9">
        <f t="shared" si="359"/>
        <v>0.02</v>
      </c>
    </row>
    <row r="4600" spans="1:19" x14ac:dyDescent="0.25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e">
        <f>VLOOKUP('Customer Info'!A4592,'Customer Info'!A4592:I5091,2,FALSE)</f>
        <v>#N/A</v>
      </c>
      <c r="H4600" s="6" t="e">
        <f>VLOOKUP('Customer Info'!A4592,'Customer Info'!A4592:I5092,3,FALSE)</f>
        <v>#N/A</v>
      </c>
      <c r="I4600" s="6" t="e">
        <f>VLOOKUP('Customer Info'!A4592,'Customer Info'!A4592:I5091,5,FALSE)</f>
        <v>#N/A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128</v>
      </c>
      <c r="R4600" s="2" t="s">
        <v>28</v>
      </c>
      <c r="S4600" s="9">
        <f t="shared" si="359"/>
        <v>0.02</v>
      </c>
    </row>
    <row r="4601" spans="1:19" x14ac:dyDescent="0.25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e">
        <f>VLOOKUP('Customer Info'!A4593,'Customer Info'!A4593:I5092,2,FALSE)</f>
        <v>#N/A</v>
      </c>
      <c r="H4601" s="6" t="e">
        <f>VLOOKUP('Customer Info'!A4593,'Customer Info'!A4593:I5093,3,FALSE)</f>
        <v>#N/A</v>
      </c>
      <c r="I4601" s="6" t="e">
        <f>VLOOKUP('Customer Info'!A4593,'Customer Info'!A4593:I5092,5,FALSE)</f>
        <v>#N/A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110</v>
      </c>
      <c r="R4601" s="2" t="s">
        <v>50</v>
      </c>
      <c r="S4601" s="9">
        <f t="shared" si="359"/>
        <v>0.02</v>
      </c>
    </row>
    <row r="4602" spans="1:19" x14ac:dyDescent="0.25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e">
        <f>VLOOKUP('Customer Info'!A4594,'Customer Info'!A4594:I5093,2,FALSE)</f>
        <v>#N/A</v>
      </c>
      <c r="H4602" s="6" t="e">
        <f>VLOOKUP('Customer Info'!A4594,'Customer Info'!A4594:I5094,3,FALSE)</f>
        <v>#N/A</v>
      </c>
      <c r="I4602" s="6" t="e">
        <f>VLOOKUP('Customer Info'!A4594,'Customer Info'!A4594:I5093,5,FALSE)</f>
        <v>#N/A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1176</v>
      </c>
      <c r="R4602" s="2" t="s">
        <v>28</v>
      </c>
      <c r="S4602" s="9">
        <f t="shared" si="359"/>
        <v>0.05</v>
      </c>
    </row>
    <row r="4603" spans="1:19" x14ac:dyDescent="0.25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e">
        <f>VLOOKUP('Customer Info'!A4595,'Customer Info'!A4595:I5094,2,FALSE)</f>
        <v>#N/A</v>
      </c>
      <c r="H4603" s="6" t="e">
        <f>VLOOKUP('Customer Info'!A4595,'Customer Info'!A4595:I5095,3,FALSE)</f>
        <v>#N/A</v>
      </c>
      <c r="I4603" s="6" t="e">
        <f>VLOOKUP('Customer Info'!A4595,'Customer Info'!A4595:I5094,5,FALSE)</f>
        <v>#N/A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3291</v>
      </c>
      <c r="R4603" s="2" t="s">
        <v>26</v>
      </c>
      <c r="S4603" s="9">
        <f t="shared" si="359"/>
        <v>7.0000000000000007E-2</v>
      </c>
    </row>
    <row r="4604" spans="1:19" x14ac:dyDescent="0.25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e">
        <f>VLOOKUP('Customer Info'!A4596,'Customer Info'!A4596:I5095,2,FALSE)</f>
        <v>#N/A</v>
      </c>
      <c r="H4604" s="6" t="e">
        <f>VLOOKUP('Customer Info'!A4596,'Customer Info'!A4596:I5096,3,FALSE)</f>
        <v>#N/A</v>
      </c>
      <c r="I4604" s="6" t="e">
        <f>VLOOKUP('Customer Info'!A4596,'Customer Info'!A4596:I5095,5,FALSE)</f>
        <v>#N/A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944</v>
      </c>
      <c r="R4604" s="2" t="s">
        <v>28</v>
      </c>
      <c r="S4604" s="9">
        <f t="shared" si="359"/>
        <v>0.05</v>
      </c>
    </row>
    <row r="4605" spans="1:19" x14ac:dyDescent="0.25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e">
        <f>VLOOKUP('Customer Info'!A4597,'Customer Info'!A4597:I5096,2,FALSE)</f>
        <v>#N/A</v>
      </c>
      <c r="H4605" s="6" t="e">
        <f>VLOOKUP('Customer Info'!A4597,'Customer Info'!A4597:I5097,3,FALSE)</f>
        <v>#N/A</v>
      </c>
      <c r="I4605" s="6" t="e">
        <f>VLOOKUP('Customer Info'!A4597,'Customer Info'!A4597:I5096,5,FALSE)</f>
        <v>#N/A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415</v>
      </c>
      <c r="R4605" s="2" t="s">
        <v>28</v>
      </c>
      <c r="S4605" s="9">
        <f t="shared" si="359"/>
        <v>0.05</v>
      </c>
    </row>
    <row r="4606" spans="1:19" x14ac:dyDescent="0.25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e">
        <f>VLOOKUP('Customer Info'!A4598,'Customer Info'!A4598:I5097,2,FALSE)</f>
        <v>#N/A</v>
      </c>
      <c r="H4606" s="6" t="e">
        <f>VLOOKUP('Customer Info'!A4598,'Customer Info'!A4598:I5098,3,FALSE)</f>
        <v>#N/A</v>
      </c>
      <c r="I4606" s="6" t="e">
        <f>VLOOKUP('Customer Info'!A4598,'Customer Info'!A4598:I5097,5,FALSE)</f>
        <v>#N/A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8618</v>
      </c>
      <c r="R4606" s="2" t="s">
        <v>50</v>
      </c>
      <c r="S4606" s="9">
        <f t="shared" si="359"/>
        <v>0.09</v>
      </c>
    </row>
    <row r="4607" spans="1:19" x14ac:dyDescent="0.25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e">
        <f>VLOOKUP('Customer Info'!A4599,'Customer Info'!A4599:I5098,2,FALSE)</f>
        <v>#N/A</v>
      </c>
      <c r="H4607" s="6" t="e">
        <f>VLOOKUP('Customer Info'!A4599,'Customer Info'!A4599:I5099,3,FALSE)</f>
        <v>#N/A</v>
      </c>
      <c r="I4607" s="6" t="e">
        <f>VLOOKUP('Customer Info'!A4599,'Customer Info'!A4599:I5098,5,FALSE)</f>
        <v>#N/A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50</v>
      </c>
      <c r="R4607" s="2" t="s">
        <v>50</v>
      </c>
      <c r="S4607" s="9">
        <f t="shared" si="359"/>
        <v>0.02</v>
      </c>
    </row>
    <row r="4608" spans="1:19" x14ac:dyDescent="0.25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e">
        <f>VLOOKUP('Customer Info'!A4600,'Customer Info'!A4600:I5099,2,FALSE)</f>
        <v>#N/A</v>
      </c>
      <c r="H4608" s="6" t="e">
        <f>VLOOKUP('Customer Info'!A4600,'Customer Info'!A4600:I5100,3,FALSE)</f>
        <v>#N/A</v>
      </c>
      <c r="I4608" s="6" t="e">
        <f>VLOOKUP('Customer Info'!A4600,'Customer Info'!A4600:I5099,5,FALSE)</f>
        <v>#N/A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425</v>
      </c>
      <c r="R4608" s="2" t="s">
        <v>28</v>
      </c>
      <c r="S4608" s="9">
        <f t="shared" si="359"/>
        <v>0.05</v>
      </c>
    </row>
    <row r="4609" spans="1:19" x14ac:dyDescent="0.25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e">
        <f>VLOOKUP('Customer Info'!A4601,'Customer Info'!A4601:I5100,2,FALSE)</f>
        <v>#N/A</v>
      </c>
      <c r="H4609" s="6" t="e">
        <f>VLOOKUP('Customer Info'!A4601,'Customer Info'!A4601:I5101,3,FALSE)</f>
        <v>#N/A</v>
      </c>
      <c r="I4609" s="6" t="e">
        <f>VLOOKUP('Customer Info'!A4601,'Customer Info'!A4601:I5100,5,FALSE)</f>
        <v>#N/A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20</v>
      </c>
      <c r="R4609" s="2" t="s">
        <v>50</v>
      </c>
      <c r="S4609" s="9">
        <f t="shared" si="359"/>
        <v>0.02</v>
      </c>
    </row>
    <row r="4610" spans="1:19" x14ac:dyDescent="0.25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e">
        <f>VLOOKUP('Customer Info'!A4602,'Customer Info'!A4602:I5101,2,FALSE)</f>
        <v>#N/A</v>
      </c>
      <c r="H4610" s="6" t="e">
        <f>VLOOKUP('Customer Info'!A4602,'Customer Info'!A4602:I5102,3,FALSE)</f>
        <v>#N/A</v>
      </c>
      <c r="I4610" s="6" t="e">
        <f>VLOOKUP('Customer Info'!A4602,'Customer Info'!A4602:I5101,5,FALSE)</f>
        <v>#N/A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9204</v>
      </c>
      <c r="R4610" s="2" t="s">
        <v>28</v>
      </c>
      <c r="S4610" s="9">
        <f t="shared" si="359"/>
        <v>0.09</v>
      </c>
    </row>
    <row r="4611" spans="1:19" x14ac:dyDescent="0.25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e">
        <f>VLOOKUP('Customer Info'!A4603,'Customer Info'!A4603:I5102,2,FALSE)</f>
        <v>#N/A</v>
      </c>
      <c r="H4611" s="6" t="e">
        <f>VLOOKUP('Customer Info'!A4603,'Customer Info'!A4603:I5103,3,FALSE)</f>
        <v>#N/A</v>
      </c>
      <c r="I4611" s="6" t="e">
        <f>VLOOKUP('Customer Info'!A4603,'Customer Info'!A4603:I5102,5,FALSE)</f>
        <v>#N/A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49</v>
      </c>
      <c r="R4611" s="2" t="s">
        <v>50</v>
      </c>
      <c r="S4611" s="9">
        <f t="shared" si="359"/>
        <v>0.02</v>
      </c>
    </row>
    <row r="4612" spans="1:19" x14ac:dyDescent="0.25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e">
        <f>VLOOKUP('Customer Info'!A4604,'Customer Info'!A4604:I5103,2,FALSE)</f>
        <v>#N/A</v>
      </c>
      <c r="H4612" s="6" t="e">
        <f>VLOOKUP('Customer Info'!A4604,'Customer Info'!A4604:I5104,3,FALSE)</f>
        <v>#N/A</v>
      </c>
      <c r="I4612" s="6" t="e">
        <f>VLOOKUP('Customer Info'!A4604,'Customer Info'!A4604:I5103,5,FALSE)</f>
        <v>#N/A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310</v>
      </c>
      <c r="R4612" s="2" t="s">
        <v>28</v>
      </c>
      <c r="S4612" s="9">
        <f t="shared" si="359"/>
        <v>0.05</v>
      </c>
    </row>
    <row r="4613" spans="1:19" x14ac:dyDescent="0.25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e">
        <f>VLOOKUP('Customer Info'!A4605,'Customer Info'!A4605:I5104,2,FALSE)</f>
        <v>#N/A</v>
      </c>
      <c r="H4613" s="6" t="e">
        <f>VLOOKUP('Customer Info'!A4605,'Customer Info'!A4605:I5105,3,FALSE)</f>
        <v>#N/A</v>
      </c>
      <c r="I4613" s="6" t="e">
        <f>VLOOKUP('Customer Info'!A4605,'Customer Info'!A4605:I5104,5,FALSE)</f>
        <v>#N/A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719</v>
      </c>
      <c r="R4613" s="2" t="s">
        <v>28</v>
      </c>
      <c r="S4613" s="9">
        <f t="shared" si="359"/>
        <v>0.05</v>
      </c>
    </row>
    <row r="4614" spans="1:19" x14ac:dyDescent="0.25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e">
        <f>VLOOKUP('Customer Info'!A4606,'Customer Info'!A4606:I5105,2,FALSE)</f>
        <v>#N/A</v>
      </c>
      <c r="H4614" s="6" t="e">
        <f>VLOOKUP('Customer Info'!A4606,'Customer Info'!A4606:I5106,3,FALSE)</f>
        <v>#N/A</v>
      </c>
      <c r="I4614" s="6" t="e">
        <f>VLOOKUP('Customer Info'!A4606,'Customer Info'!A4606:I5105,5,FALSE)</f>
        <v>#N/A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767</v>
      </c>
      <c r="R4614" s="2" t="s">
        <v>28</v>
      </c>
      <c r="S4614" s="9">
        <f t="shared" si="359"/>
        <v>0.05</v>
      </c>
    </row>
    <row r="4615" spans="1:19" x14ac:dyDescent="0.25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e">
        <f>VLOOKUP('Customer Info'!A4607,'Customer Info'!A4607:I5106,2,FALSE)</f>
        <v>#N/A</v>
      </c>
      <c r="H4615" s="6" t="e">
        <f>VLOOKUP('Customer Info'!A4607,'Customer Info'!A4607:I5107,3,FALSE)</f>
        <v>#N/A</v>
      </c>
      <c r="I4615" s="6" t="e">
        <f>VLOOKUP('Customer Info'!A4607,'Customer Info'!A4607:I5106,5,FALSE)</f>
        <v>#N/A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385</v>
      </c>
      <c r="R4615" s="2" t="s">
        <v>28</v>
      </c>
      <c r="S4615" s="9">
        <f t="shared" si="359"/>
        <v>0.05</v>
      </c>
    </row>
    <row r="4616" spans="1:19" x14ac:dyDescent="0.25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e">
        <f>VLOOKUP('Customer Info'!A4608,'Customer Info'!A4608:I5107,2,FALSE)</f>
        <v>#N/A</v>
      </c>
      <c r="H4616" s="6" t="e">
        <f>VLOOKUP('Customer Info'!A4608,'Customer Info'!A4608:I5108,3,FALSE)</f>
        <v>#N/A</v>
      </c>
      <c r="I4616" s="6" t="e">
        <f>VLOOKUP('Customer Info'!A4608,'Customer Info'!A4608:I5107,5,FALSE)</f>
        <v>#N/A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174</v>
      </c>
      <c r="R4616" s="2" t="s">
        <v>50</v>
      </c>
      <c r="S4616" s="9">
        <f t="shared" si="359"/>
        <v>0.02</v>
      </c>
    </row>
    <row r="4617" spans="1:19" x14ac:dyDescent="0.25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e">
        <f>VLOOKUP('Customer Info'!A4609,'Customer Info'!A4609:I5108,2,FALSE)</f>
        <v>#N/A</v>
      </c>
      <c r="H4617" s="6" t="e">
        <f>VLOOKUP('Customer Info'!A4609,'Customer Info'!A4609:I5109,3,FALSE)</f>
        <v>#N/A</v>
      </c>
      <c r="I4617" s="6" t="e">
        <f>VLOOKUP('Customer Info'!A4609,'Customer Info'!A4609:I5108,5,FALSE)</f>
        <v>#N/A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90</v>
      </c>
      <c r="R4617" s="2" t="s">
        <v>50</v>
      </c>
      <c r="S4617" s="9">
        <f t="shared" si="359"/>
        <v>0.02</v>
      </c>
    </row>
    <row r="4618" spans="1:19" x14ac:dyDescent="0.25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e">
        <f>VLOOKUP('Customer Info'!A4610,'Customer Info'!A4610:I5109,2,FALSE)</f>
        <v>#N/A</v>
      </c>
      <c r="H4618" s="6" t="e">
        <f>VLOOKUP('Customer Info'!A4610,'Customer Info'!A4610:I5110,3,FALSE)</f>
        <v>#N/A</v>
      </c>
      <c r="I4618" s="6" t="e">
        <f>VLOOKUP('Customer Info'!A4610,'Customer Info'!A4610:I5109,5,FALSE)</f>
        <v>#N/A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25</v>
      </c>
      <c r="R4618" s="2" t="s">
        <v>50</v>
      </c>
      <c r="S4618" s="9">
        <f t="shared" si="359"/>
        <v>0.02</v>
      </c>
    </row>
    <row r="4619" spans="1:19" x14ac:dyDescent="0.25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e">
        <f>VLOOKUP('Customer Info'!A4611,'Customer Info'!A4611:I5110,2,FALSE)</f>
        <v>#N/A</v>
      </c>
      <c r="H4619" s="6" t="e">
        <f>VLOOKUP('Customer Info'!A4611,'Customer Info'!A4611:I5111,3,FALSE)</f>
        <v>#N/A</v>
      </c>
      <c r="I4619" s="6" t="e">
        <f>VLOOKUP('Customer Info'!A4611,'Customer Info'!A4611:I5110,5,FALSE)</f>
        <v>#N/A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8">
        <f t="shared" ref="P4619:P4682" si="362">N4619+O4619</f>
        <v>3282</v>
      </c>
      <c r="Q4619" s="8">
        <f t="shared" ref="Q4619:Q4682" si="363">P4619-M4619</f>
        <v>232</v>
      </c>
      <c r="R4619" s="2" t="s">
        <v>50</v>
      </c>
      <c r="S4619" s="9">
        <f t="shared" ref="S4619:S4682" si="364">VLOOKUP(P4619,$T$2:$U$7,2,TRUE)</f>
        <v>0.02</v>
      </c>
    </row>
    <row r="4620" spans="1:19" x14ac:dyDescent="0.25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e">
        <f>VLOOKUP('Customer Info'!A4612,'Customer Info'!A4612:I5111,2,FALSE)</f>
        <v>#N/A</v>
      </c>
      <c r="H4620" s="6" t="e">
        <f>VLOOKUP('Customer Info'!A4612,'Customer Info'!A4612:I5112,3,FALSE)</f>
        <v>#N/A</v>
      </c>
      <c r="I4620" s="6" t="e">
        <f>VLOOKUP('Customer Info'!A4612,'Customer Info'!A4612:I5111,5,FALSE)</f>
        <v>#N/A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69</v>
      </c>
      <c r="R4620" s="2" t="s">
        <v>28</v>
      </c>
      <c r="S4620" s="9">
        <f t="shared" si="364"/>
        <v>0.02</v>
      </c>
    </row>
    <row r="4621" spans="1:19" x14ac:dyDescent="0.25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e">
        <f>VLOOKUP('Customer Info'!A4613,'Customer Info'!A4613:I5112,2,FALSE)</f>
        <v>#N/A</v>
      </c>
      <c r="H4621" s="6" t="e">
        <f>VLOOKUP('Customer Info'!A4613,'Customer Info'!A4613:I5113,3,FALSE)</f>
        <v>#N/A</v>
      </c>
      <c r="I4621" s="6" t="e">
        <f>VLOOKUP('Customer Info'!A4613,'Customer Info'!A4613:I5112,5,FALSE)</f>
        <v>#N/A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373</v>
      </c>
      <c r="R4621" s="2" t="s">
        <v>50</v>
      </c>
      <c r="S4621" s="9">
        <f t="shared" si="364"/>
        <v>0.02</v>
      </c>
    </row>
    <row r="4622" spans="1:19" x14ac:dyDescent="0.25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e">
        <f>VLOOKUP('Customer Info'!A4614,'Customer Info'!A4614:I5113,2,FALSE)</f>
        <v>#N/A</v>
      </c>
      <c r="H4622" s="6" t="e">
        <f>VLOOKUP('Customer Info'!A4614,'Customer Info'!A4614:I5114,3,FALSE)</f>
        <v>#N/A</v>
      </c>
      <c r="I4622" s="6" t="e">
        <f>VLOOKUP('Customer Info'!A4614,'Customer Info'!A4614:I5113,5,FALSE)</f>
        <v>#N/A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225</v>
      </c>
      <c r="R4622" s="2" t="s">
        <v>28</v>
      </c>
      <c r="S4622" s="9">
        <f t="shared" si="364"/>
        <v>0.02</v>
      </c>
    </row>
    <row r="4623" spans="1:19" x14ac:dyDescent="0.25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e">
        <f>VLOOKUP('Customer Info'!A4615,'Customer Info'!A4615:I5114,2,FALSE)</f>
        <v>#N/A</v>
      </c>
      <c r="H4623" s="6" t="e">
        <f>VLOOKUP('Customer Info'!A4615,'Customer Info'!A4615:I5115,3,FALSE)</f>
        <v>#N/A</v>
      </c>
      <c r="I4623" s="6" t="e">
        <f>VLOOKUP('Customer Info'!A4615,'Customer Info'!A4615:I5114,5,FALSE)</f>
        <v>#N/A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1156</v>
      </c>
      <c r="R4623" s="2" t="s">
        <v>50</v>
      </c>
      <c r="S4623" s="9">
        <f t="shared" si="364"/>
        <v>0.05</v>
      </c>
    </row>
    <row r="4624" spans="1:19" x14ac:dyDescent="0.25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e">
        <f>VLOOKUP('Customer Info'!A4616,'Customer Info'!A4616:I5115,2,FALSE)</f>
        <v>#N/A</v>
      </c>
      <c r="H4624" s="6" t="e">
        <f>VLOOKUP('Customer Info'!A4616,'Customer Info'!A4616:I5116,3,FALSE)</f>
        <v>#N/A</v>
      </c>
      <c r="I4624" s="6" t="e">
        <f>VLOOKUP('Customer Info'!A4616,'Customer Info'!A4616:I5115,5,FALSE)</f>
        <v>#N/A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220</v>
      </c>
      <c r="R4624" s="2" t="s">
        <v>28</v>
      </c>
      <c r="S4624" s="9">
        <f t="shared" si="364"/>
        <v>0.02</v>
      </c>
    </row>
    <row r="4625" spans="1:19" x14ac:dyDescent="0.25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e">
        <f>VLOOKUP('Customer Info'!A4617,'Customer Info'!A4617:I5116,2,FALSE)</f>
        <v>#N/A</v>
      </c>
      <c r="H4625" s="6" t="e">
        <f>VLOOKUP('Customer Info'!A4617,'Customer Info'!A4617:I5117,3,FALSE)</f>
        <v>#N/A</v>
      </c>
      <c r="I4625" s="6" t="e">
        <f>VLOOKUP('Customer Info'!A4617,'Customer Info'!A4617:I5116,5,FALSE)</f>
        <v>#N/A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105</v>
      </c>
      <c r="R4625" s="2" t="s">
        <v>28</v>
      </c>
      <c r="S4625" s="9">
        <f t="shared" si="364"/>
        <v>0.02</v>
      </c>
    </row>
    <row r="4626" spans="1:19" x14ac:dyDescent="0.25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e">
        <f>VLOOKUP('Customer Info'!A4618,'Customer Info'!A4618:I5117,2,FALSE)</f>
        <v>#N/A</v>
      </c>
      <c r="H4626" s="6" t="e">
        <f>VLOOKUP('Customer Info'!A4618,'Customer Info'!A4618:I5118,3,FALSE)</f>
        <v>#N/A</v>
      </c>
      <c r="I4626" s="6" t="e">
        <f>VLOOKUP('Customer Info'!A4618,'Customer Info'!A4618:I5117,5,FALSE)</f>
        <v>#N/A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14</v>
      </c>
      <c r="R4626" s="2" t="s">
        <v>26</v>
      </c>
      <c r="S4626" s="9">
        <f t="shared" si="364"/>
        <v>0.02</v>
      </c>
    </row>
    <row r="4627" spans="1:19" x14ac:dyDescent="0.25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e">
        <f>VLOOKUP('Customer Info'!A4619,'Customer Info'!A4619:I5118,2,FALSE)</f>
        <v>#N/A</v>
      </c>
      <c r="H4627" s="6" t="e">
        <f>VLOOKUP('Customer Info'!A4619,'Customer Info'!A4619:I5119,3,FALSE)</f>
        <v>#N/A</v>
      </c>
      <c r="I4627" s="6" t="e">
        <f>VLOOKUP('Customer Info'!A4619,'Customer Info'!A4619:I5118,5,FALSE)</f>
        <v>#N/A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226</v>
      </c>
      <c r="R4627" s="2" t="s">
        <v>50</v>
      </c>
      <c r="S4627" s="9">
        <f t="shared" si="364"/>
        <v>0.02</v>
      </c>
    </row>
    <row r="4628" spans="1:19" x14ac:dyDescent="0.25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e">
        <f>VLOOKUP('Customer Info'!A4620,'Customer Info'!A4620:I5119,2,FALSE)</f>
        <v>#N/A</v>
      </c>
      <c r="H4628" s="6" t="e">
        <f>VLOOKUP('Customer Info'!A4620,'Customer Info'!A4620:I5120,3,FALSE)</f>
        <v>#N/A</v>
      </c>
      <c r="I4628" s="6" t="e">
        <f>VLOOKUP('Customer Info'!A4620,'Customer Info'!A4620:I5119,5,FALSE)</f>
        <v>#N/A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212</v>
      </c>
      <c r="R4628" s="2" t="s">
        <v>28</v>
      </c>
      <c r="S4628" s="9">
        <f t="shared" si="364"/>
        <v>0.02</v>
      </c>
    </row>
    <row r="4629" spans="1:19" x14ac:dyDescent="0.25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e">
        <f>VLOOKUP('Customer Info'!A4621,'Customer Info'!A4621:I5120,2,FALSE)</f>
        <v>#N/A</v>
      </c>
      <c r="H4629" s="6" t="e">
        <f>VLOOKUP('Customer Info'!A4621,'Customer Info'!A4621:I5121,3,FALSE)</f>
        <v>#N/A</v>
      </c>
      <c r="I4629" s="6" t="e">
        <f>VLOOKUP('Customer Info'!A4621,'Customer Info'!A4621:I5120,5,FALSE)</f>
        <v>#N/A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322</v>
      </c>
      <c r="R4629" s="2" t="s">
        <v>28</v>
      </c>
      <c r="S4629" s="9">
        <f t="shared" si="364"/>
        <v>0.05</v>
      </c>
    </row>
    <row r="4630" spans="1:19" x14ac:dyDescent="0.25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e">
        <f>VLOOKUP('Customer Info'!A4622,'Customer Info'!A4622:I5121,2,FALSE)</f>
        <v>#N/A</v>
      </c>
      <c r="H4630" s="6" t="e">
        <f>VLOOKUP('Customer Info'!A4622,'Customer Info'!A4622:I5122,3,FALSE)</f>
        <v>#N/A</v>
      </c>
      <c r="I4630" s="6" t="e">
        <f>VLOOKUP('Customer Info'!A4622,'Customer Info'!A4622:I5121,5,FALSE)</f>
        <v>#N/A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726</v>
      </c>
      <c r="R4630" s="2" t="s">
        <v>26</v>
      </c>
      <c r="S4630" s="9">
        <f t="shared" si="364"/>
        <v>0.05</v>
      </c>
    </row>
    <row r="4631" spans="1:19" x14ac:dyDescent="0.25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e">
        <f>VLOOKUP('Customer Info'!A4623,'Customer Info'!A4623:I5122,2,FALSE)</f>
        <v>#N/A</v>
      </c>
      <c r="H4631" s="6" t="e">
        <f>VLOOKUP('Customer Info'!A4623,'Customer Info'!A4623:I5123,3,FALSE)</f>
        <v>#N/A</v>
      </c>
      <c r="I4631" s="6" t="e">
        <f>VLOOKUP('Customer Info'!A4623,'Customer Info'!A4623:I5122,5,FALSE)</f>
        <v>#N/A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2396</v>
      </c>
      <c r="R4631" s="2" t="s">
        <v>50</v>
      </c>
      <c r="S4631" s="9">
        <f t="shared" si="364"/>
        <v>7.0000000000000007E-2</v>
      </c>
    </row>
    <row r="4632" spans="1:19" x14ac:dyDescent="0.25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e">
        <f>VLOOKUP('Customer Info'!A4624,'Customer Info'!A4624:I5123,2,FALSE)</f>
        <v>#N/A</v>
      </c>
      <c r="H4632" s="6" t="e">
        <f>VLOOKUP('Customer Info'!A4624,'Customer Info'!A4624:I5124,3,FALSE)</f>
        <v>#N/A</v>
      </c>
      <c r="I4632" s="6" t="e">
        <f>VLOOKUP('Customer Info'!A4624,'Customer Info'!A4624:I5123,5,FALSE)</f>
        <v>#N/A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122</v>
      </c>
      <c r="R4632" s="2" t="s">
        <v>28</v>
      </c>
      <c r="S4632" s="9">
        <f t="shared" si="364"/>
        <v>0.02</v>
      </c>
    </row>
    <row r="4633" spans="1:19" x14ac:dyDescent="0.25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e">
        <f>VLOOKUP('Customer Info'!A4625,'Customer Info'!A4625:I5124,2,FALSE)</f>
        <v>#N/A</v>
      </c>
      <c r="H4633" s="6" t="e">
        <f>VLOOKUP('Customer Info'!A4625,'Customer Info'!A4625:I5125,3,FALSE)</f>
        <v>#N/A</v>
      </c>
      <c r="I4633" s="6" t="e">
        <f>VLOOKUP('Customer Info'!A4625,'Customer Info'!A4625:I5124,5,FALSE)</f>
        <v>#N/A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60</v>
      </c>
      <c r="R4633" s="2" t="s">
        <v>50</v>
      </c>
      <c r="S4633" s="9">
        <f t="shared" si="364"/>
        <v>0.02</v>
      </c>
    </row>
    <row r="4634" spans="1:19" x14ac:dyDescent="0.25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e">
        <f>VLOOKUP('Customer Info'!A4626,'Customer Info'!A4626:I5125,2,FALSE)</f>
        <v>#N/A</v>
      </c>
      <c r="H4634" s="6" t="e">
        <f>VLOOKUP('Customer Info'!A4626,'Customer Info'!A4626:I5126,3,FALSE)</f>
        <v>#N/A</v>
      </c>
      <c r="I4634" s="6" t="e">
        <f>VLOOKUP('Customer Info'!A4626,'Customer Info'!A4626:I5125,5,FALSE)</f>
        <v>#N/A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263</v>
      </c>
      <c r="R4634" s="2" t="s">
        <v>50</v>
      </c>
      <c r="S4634" s="9">
        <f t="shared" si="364"/>
        <v>0.02</v>
      </c>
    </row>
    <row r="4635" spans="1:19" x14ac:dyDescent="0.25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e">
        <f>VLOOKUP('Customer Info'!A4627,'Customer Info'!A4627:I5126,2,FALSE)</f>
        <v>#N/A</v>
      </c>
      <c r="H4635" s="6" t="e">
        <f>VLOOKUP('Customer Info'!A4627,'Customer Info'!A4627:I5127,3,FALSE)</f>
        <v>#N/A</v>
      </c>
      <c r="I4635" s="6" t="e">
        <f>VLOOKUP('Customer Info'!A4627,'Customer Info'!A4627:I5126,5,FALSE)</f>
        <v>#N/A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140</v>
      </c>
      <c r="R4635" s="2" t="s">
        <v>50</v>
      </c>
      <c r="S4635" s="9">
        <f t="shared" si="364"/>
        <v>0.02</v>
      </c>
    </row>
    <row r="4636" spans="1:19" x14ac:dyDescent="0.25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e">
        <f>VLOOKUP('Customer Info'!A4628,'Customer Info'!A4628:I5127,2,FALSE)</f>
        <v>#N/A</v>
      </c>
      <c r="H4636" s="6" t="e">
        <f>VLOOKUP('Customer Info'!A4628,'Customer Info'!A4628:I5128,3,FALSE)</f>
        <v>#N/A</v>
      </c>
      <c r="I4636" s="6" t="e">
        <f>VLOOKUP('Customer Info'!A4628,'Customer Info'!A4628:I5127,5,FALSE)</f>
        <v>#N/A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104</v>
      </c>
      <c r="R4636" s="2" t="s">
        <v>28</v>
      </c>
      <c r="S4636" s="9">
        <f t="shared" si="364"/>
        <v>0.02</v>
      </c>
    </row>
    <row r="4637" spans="1:19" x14ac:dyDescent="0.25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e">
        <f>VLOOKUP('Customer Info'!A4629,'Customer Info'!A4629:I5128,2,FALSE)</f>
        <v>#N/A</v>
      </c>
      <c r="H4637" s="6" t="e">
        <f>VLOOKUP('Customer Info'!A4629,'Customer Info'!A4629:I5129,3,FALSE)</f>
        <v>#N/A</v>
      </c>
      <c r="I4637" s="6" t="e">
        <f>VLOOKUP('Customer Info'!A4629,'Customer Info'!A4629:I5128,5,FALSE)</f>
        <v>#N/A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624</v>
      </c>
      <c r="R4637" s="2" t="s">
        <v>50</v>
      </c>
      <c r="S4637" s="9">
        <f t="shared" si="364"/>
        <v>0.05</v>
      </c>
    </row>
    <row r="4638" spans="1:19" x14ac:dyDescent="0.25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e">
        <f>VLOOKUP('Customer Info'!A4630,'Customer Info'!A4630:I5129,2,FALSE)</f>
        <v>#N/A</v>
      </c>
      <c r="H4638" s="6" t="e">
        <f>VLOOKUP('Customer Info'!A4630,'Customer Info'!A4630:I5130,3,FALSE)</f>
        <v>#N/A</v>
      </c>
      <c r="I4638" s="6" t="e">
        <f>VLOOKUP('Customer Info'!A4630,'Customer Info'!A4630:I5129,5,FALSE)</f>
        <v>#N/A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256</v>
      </c>
      <c r="R4638" s="2" t="s">
        <v>50</v>
      </c>
      <c r="S4638" s="9">
        <f t="shared" si="364"/>
        <v>0.02</v>
      </c>
    </row>
    <row r="4639" spans="1:19" x14ac:dyDescent="0.25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e">
        <f>VLOOKUP('Customer Info'!A4631,'Customer Info'!A4631:I5130,2,FALSE)</f>
        <v>#N/A</v>
      </c>
      <c r="H4639" s="6" t="e">
        <f>VLOOKUP('Customer Info'!A4631,'Customer Info'!A4631:I5131,3,FALSE)</f>
        <v>#N/A</v>
      </c>
      <c r="I4639" s="6" t="e">
        <f>VLOOKUP('Customer Info'!A4631,'Customer Info'!A4631:I5130,5,FALSE)</f>
        <v>#N/A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1012</v>
      </c>
      <c r="R4639" s="2" t="s">
        <v>50</v>
      </c>
      <c r="S4639" s="9">
        <f t="shared" si="364"/>
        <v>0.05</v>
      </c>
    </row>
    <row r="4640" spans="1:19" x14ac:dyDescent="0.25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e">
        <f>VLOOKUP('Customer Info'!A4632,'Customer Info'!A4632:I5131,2,FALSE)</f>
        <v>#N/A</v>
      </c>
      <c r="H4640" s="6" t="e">
        <f>VLOOKUP('Customer Info'!A4632,'Customer Info'!A4632:I5132,3,FALSE)</f>
        <v>#N/A</v>
      </c>
      <c r="I4640" s="6" t="e">
        <f>VLOOKUP('Customer Info'!A4632,'Customer Info'!A4632:I5131,5,FALSE)</f>
        <v>#N/A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475</v>
      </c>
      <c r="R4640" s="2" t="s">
        <v>28</v>
      </c>
      <c r="S4640" s="9">
        <f t="shared" si="364"/>
        <v>0.02</v>
      </c>
    </row>
    <row r="4641" spans="1:19" x14ac:dyDescent="0.25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e">
        <f>VLOOKUP('Customer Info'!A4633,'Customer Info'!A4633:I5132,2,FALSE)</f>
        <v>#N/A</v>
      </c>
      <c r="H4641" s="6" t="e">
        <f>VLOOKUP('Customer Info'!A4633,'Customer Info'!A4633:I5133,3,FALSE)</f>
        <v>#N/A</v>
      </c>
      <c r="I4641" s="6" t="e">
        <f>VLOOKUP('Customer Info'!A4633,'Customer Info'!A4633:I5132,5,FALSE)</f>
        <v>#N/A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4219</v>
      </c>
      <c r="R4641" s="2" t="s">
        <v>28</v>
      </c>
      <c r="S4641" s="9">
        <f t="shared" si="364"/>
        <v>0.09</v>
      </c>
    </row>
    <row r="4642" spans="1:19" x14ac:dyDescent="0.25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e">
        <f>VLOOKUP('Customer Info'!A4634,'Customer Info'!A4634:I5133,2,FALSE)</f>
        <v>#N/A</v>
      </c>
      <c r="H4642" s="6" t="e">
        <f>VLOOKUP('Customer Info'!A4634,'Customer Info'!A4634:I5134,3,FALSE)</f>
        <v>#N/A</v>
      </c>
      <c r="I4642" s="6" t="e">
        <f>VLOOKUP('Customer Info'!A4634,'Customer Info'!A4634:I5133,5,FALSE)</f>
        <v>#N/A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11300</v>
      </c>
      <c r="R4642" s="2" t="s">
        <v>28</v>
      </c>
      <c r="S4642" s="9">
        <f t="shared" si="364"/>
        <v>0.12</v>
      </c>
    </row>
    <row r="4643" spans="1:19" x14ac:dyDescent="0.25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e">
        <f>VLOOKUP('Customer Info'!A4635,'Customer Info'!A4635:I5134,2,FALSE)</f>
        <v>#N/A</v>
      </c>
      <c r="H4643" s="6" t="e">
        <f>VLOOKUP('Customer Info'!A4635,'Customer Info'!A4635:I5135,3,FALSE)</f>
        <v>#N/A</v>
      </c>
      <c r="I4643" s="6" t="e">
        <f>VLOOKUP('Customer Info'!A4635,'Customer Info'!A4635:I5134,5,FALSE)</f>
        <v>#N/A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22</v>
      </c>
      <c r="R4643" s="2" t="s">
        <v>28</v>
      </c>
      <c r="S4643" s="9">
        <f t="shared" si="364"/>
        <v>0.02</v>
      </c>
    </row>
    <row r="4644" spans="1:19" x14ac:dyDescent="0.25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e">
        <f>VLOOKUP('Customer Info'!A4636,'Customer Info'!A4636:I5135,2,FALSE)</f>
        <v>#N/A</v>
      </c>
      <c r="H4644" s="6" t="e">
        <f>VLOOKUP('Customer Info'!A4636,'Customer Info'!A4636:I5136,3,FALSE)</f>
        <v>#N/A</v>
      </c>
      <c r="I4644" s="6" t="e">
        <f>VLOOKUP('Customer Info'!A4636,'Customer Info'!A4636:I5135,5,FALSE)</f>
        <v>#N/A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429</v>
      </c>
      <c r="R4644" s="2" t="s">
        <v>28</v>
      </c>
      <c r="S4644" s="9">
        <f t="shared" si="364"/>
        <v>0.02</v>
      </c>
    </row>
    <row r="4645" spans="1:19" x14ac:dyDescent="0.25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e">
        <f>VLOOKUP('Customer Info'!A4637,'Customer Info'!A4637:I5136,2,FALSE)</f>
        <v>#N/A</v>
      </c>
      <c r="H4645" s="6" t="e">
        <f>VLOOKUP('Customer Info'!A4637,'Customer Info'!A4637:I5137,3,FALSE)</f>
        <v>#N/A</v>
      </c>
      <c r="I4645" s="6" t="e">
        <f>VLOOKUP('Customer Info'!A4637,'Customer Info'!A4637:I5136,5,FALSE)</f>
        <v>#N/A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1185</v>
      </c>
      <c r="R4645" s="2" t="s">
        <v>28</v>
      </c>
      <c r="S4645" s="9">
        <f t="shared" si="364"/>
        <v>0.05</v>
      </c>
    </row>
    <row r="4646" spans="1:19" x14ac:dyDescent="0.25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e">
        <f>VLOOKUP('Customer Info'!A4638,'Customer Info'!A4638:I5137,2,FALSE)</f>
        <v>#N/A</v>
      </c>
      <c r="H4646" s="6" t="e">
        <f>VLOOKUP('Customer Info'!A4638,'Customer Info'!A4638:I5138,3,FALSE)</f>
        <v>#N/A</v>
      </c>
      <c r="I4646" s="6" t="e">
        <f>VLOOKUP('Customer Info'!A4638,'Customer Info'!A4638:I5137,5,FALSE)</f>
        <v>#N/A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1737</v>
      </c>
      <c r="R4646" s="2" t="s">
        <v>28</v>
      </c>
      <c r="S4646" s="9">
        <f t="shared" si="364"/>
        <v>7.0000000000000007E-2</v>
      </c>
    </row>
    <row r="4647" spans="1:19" x14ac:dyDescent="0.25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e">
        <f>VLOOKUP('Customer Info'!A4639,'Customer Info'!A4639:I5138,2,FALSE)</f>
        <v>#N/A</v>
      </c>
      <c r="H4647" s="6" t="e">
        <f>VLOOKUP('Customer Info'!A4639,'Customer Info'!A4639:I5139,3,FALSE)</f>
        <v>#N/A</v>
      </c>
      <c r="I4647" s="6" t="e">
        <f>VLOOKUP('Customer Info'!A4639,'Customer Info'!A4639:I5138,5,FALSE)</f>
        <v>#N/A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1416</v>
      </c>
      <c r="R4647" s="2" t="s">
        <v>56</v>
      </c>
      <c r="S4647" s="9">
        <f t="shared" si="364"/>
        <v>0.05</v>
      </c>
    </row>
    <row r="4648" spans="1:19" x14ac:dyDescent="0.25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e">
        <f>VLOOKUP('Customer Info'!A4640,'Customer Info'!A4640:I5139,2,FALSE)</f>
        <v>#N/A</v>
      </c>
      <c r="H4648" s="6" t="e">
        <f>VLOOKUP('Customer Info'!A4640,'Customer Info'!A4640:I5140,3,FALSE)</f>
        <v>#N/A</v>
      </c>
      <c r="I4648" s="6" t="e">
        <f>VLOOKUP('Customer Info'!A4640,'Customer Info'!A4640:I5139,5,FALSE)</f>
        <v>#N/A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75</v>
      </c>
      <c r="R4648" s="2" t="s">
        <v>28</v>
      </c>
      <c r="S4648" s="9">
        <f t="shared" si="364"/>
        <v>0.02</v>
      </c>
    </row>
    <row r="4649" spans="1:19" x14ac:dyDescent="0.25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e">
        <f>VLOOKUP('Customer Info'!A4641,'Customer Info'!A4641:I5140,2,FALSE)</f>
        <v>#N/A</v>
      </c>
      <c r="H4649" s="6" t="e">
        <f>VLOOKUP('Customer Info'!A4641,'Customer Info'!A4641:I5141,3,FALSE)</f>
        <v>#N/A</v>
      </c>
      <c r="I4649" s="6" t="e">
        <f>VLOOKUP('Customer Info'!A4641,'Customer Info'!A4641:I5140,5,FALSE)</f>
        <v>#N/A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659</v>
      </c>
      <c r="R4649" s="2" t="s">
        <v>28</v>
      </c>
      <c r="S4649" s="9">
        <f t="shared" si="364"/>
        <v>0.05</v>
      </c>
    </row>
    <row r="4650" spans="1:19" x14ac:dyDescent="0.25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e">
        <f>VLOOKUP('Customer Info'!A4642,'Customer Info'!A4642:I5141,2,FALSE)</f>
        <v>#N/A</v>
      </c>
      <c r="H4650" s="6" t="e">
        <f>VLOOKUP('Customer Info'!A4642,'Customer Info'!A4642:I5142,3,FALSE)</f>
        <v>#N/A</v>
      </c>
      <c r="I4650" s="6" t="e">
        <f>VLOOKUP('Customer Info'!A4642,'Customer Info'!A4642:I5141,5,FALSE)</f>
        <v>#N/A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1200</v>
      </c>
      <c r="R4650" s="2" t="s">
        <v>28</v>
      </c>
      <c r="S4650" s="9">
        <f t="shared" si="364"/>
        <v>0.05</v>
      </c>
    </row>
    <row r="4651" spans="1:19" x14ac:dyDescent="0.25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e">
        <f>VLOOKUP('Customer Info'!A4643,'Customer Info'!A4643:I5142,2,FALSE)</f>
        <v>#N/A</v>
      </c>
      <c r="H4651" s="6" t="e">
        <f>VLOOKUP('Customer Info'!A4643,'Customer Info'!A4643:I5143,3,FALSE)</f>
        <v>#N/A</v>
      </c>
      <c r="I4651" s="6" t="e">
        <f>VLOOKUP('Customer Info'!A4643,'Customer Info'!A4643:I5142,5,FALSE)</f>
        <v>#N/A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396</v>
      </c>
      <c r="R4651" s="2" t="s">
        <v>28</v>
      </c>
      <c r="S4651" s="9">
        <f t="shared" si="364"/>
        <v>0.05</v>
      </c>
    </row>
    <row r="4652" spans="1:19" x14ac:dyDescent="0.25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e">
        <f>VLOOKUP('Customer Info'!A4644,'Customer Info'!A4644:I5143,2,FALSE)</f>
        <v>#N/A</v>
      </c>
      <c r="H4652" s="6" t="e">
        <f>VLOOKUP('Customer Info'!A4644,'Customer Info'!A4644:I5144,3,FALSE)</f>
        <v>#N/A</v>
      </c>
      <c r="I4652" s="6" t="e">
        <f>VLOOKUP('Customer Info'!A4644,'Customer Info'!A4644:I5143,5,FALSE)</f>
        <v>#N/A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605</v>
      </c>
      <c r="R4652" s="2" t="s">
        <v>50</v>
      </c>
      <c r="S4652" s="9">
        <f t="shared" si="364"/>
        <v>0.05</v>
      </c>
    </row>
    <row r="4653" spans="1:19" x14ac:dyDescent="0.25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e">
        <f>VLOOKUP('Customer Info'!A4645,'Customer Info'!A4645:I5144,2,FALSE)</f>
        <v>#N/A</v>
      </c>
      <c r="H4653" s="6" t="e">
        <f>VLOOKUP('Customer Info'!A4645,'Customer Info'!A4645:I5145,3,FALSE)</f>
        <v>#N/A</v>
      </c>
      <c r="I4653" s="6" t="e">
        <f>VLOOKUP('Customer Info'!A4645,'Customer Info'!A4645:I5144,5,FALSE)</f>
        <v>#N/A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149</v>
      </c>
      <c r="R4653" s="2" t="s">
        <v>28</v>
      </c>
      <c r="S4653" s="9">
        <f t="shared" si="364"/>
        <v>0.02</v>
      </c>
    </row>
    <row r="4654" spans="1:19" x14ac:dyDescent="0.25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e">
        <f>VLOOKUP('Customer Info'!A4646,'Customer Info'!A4646:I5145,2,FALSE)</f>
        <v>#N/A</v>
      </c>
      <c r="H4654" s="6" t="e">
        <f>VLOOKUP('Customer Info'!A4646,'Customer Info'!A4646:I5146,3,FALSE)</f>
        <v>#N/A</v>
      </c>
      <c r="I4654" s="6" t="e">
        <f>VLOOKUP('Customer Info'!A4646,'Customer Info'!A4646:I5145,5,FALSE)</f>
        <v>#N/A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66</v>
      </c>
      <c r="R4654" s="2" t="s">
        <v>50</v>
      </c>
      <c r="S4654" s="9">
        <f t="shared" si="364"/>
        <v>0.02</v>
      </c>
    </row>
    <row r="4655" spans="1:19" x14ac:dyDescent="0.25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e">
        <f>VLOOKUP('Customer Info'!A4647,'Customer Info'!A4647:I5146,2,FALSE)</f>
        <v>#N/A</v>
      </c>
      <c r="H4655" s="6" t="e">
        <f>VLOOKUP('Customer Info'!A4647,'Customer Info'!A4647:I5147,3,FALSE)</f>
        <v>#N/A</v>
      </c>
      <c r="I4655" s="6" t="e">
        <f>VLOOKUP('Customer Info'!A4647,'Customer Info'!A4647:I5146,5,FALSE)</f>
        <v>#N/A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1750</v>
      </c>
      <c r="R4655" s="2" t="s">
        <v>28</v>
      </c>
      <c r="S4655" s="9">
        <f t="shared" si="364"/>
        <v>0.05</v>
      </c>
    </row>
    <row r="4656" spans="1:19" x14ac:dyDescent="0.25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e">
        <f>VLOOKUP('Customer Info'!A4648,'Customer Info'!A4648:I5147,2,FALSE)</f>
        <v>#N/A</v>
      </c>
      <c r="H4656" s="6" t="e">
        <f>VLOOKUP('Customer Info'!A4648,'Customer Info'!A4648:I5148,3,FALSE)</f>
        <v>#N/A</v>
      </c>
      <c r="I4656" s="6" t="e">
        <f>VLOOKUP('Customer Info'!A4648,'Customer Info'!A4648:I5147,5,FALSE)</f>
        <v>#N/A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613</v>
      </c>
      <c r="R4656" s="2" t="s">
        <v>50</v>
      </c>
      <c r="S4656" s="9">
        <f t="shared" si="364"/>
        <v>0.05</v>
      </c>
    </row>
    <row r="4657" spans="1:19" x14ac:dyDescent="0.25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e">
        <f>VLOOKUP('Customer Info'!A4649,'Customer Info'!A4649:I5148,2,FALSE)</f>
        <v>#N/A</v>
      </c>
      <c r="H4657" s="6" t="e">
        <f>VLOOKUP('Customer Info'!A4649,'Customer Info'!A4649:I5149,3,FALSE)</f>
        <v>#N/A</v>
      </c>
      <c r="I4657" s="6" t="e">
        <f>VLOOKUP('Customer Info'!A4649,'Customer Info'!A4649:I5148,5,FALSE)</f>
        <v>#N/A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251</v>
      </c>
      <c r="R4657" s="2" t="s">
        <v>28</v>
      </c>
      <c r="S4657" s="9">
        <f t="shared" si="364"/>
        <v>0.02</v>
      </c>
    </row>
    <row r="4658" spans="1:19" x14ac:dyDescent="0.25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e">
        <f>VLOOKUP('Customer Info'!A4650,'Customer Info'!A4650:I5149,2,FALSE)</f>
        <v>#N/A</v>
      </c>
      <c r="H4658" s="6" t="e">
        <f>VLOOKUP('Customer Info'!A4650,'Customer Info'!A4650:I5150,3,FALSE)</f>
        <v>#N/A</v>
      </c>
      <c r="I4658" s="6" t="e">
        <f>VLOOKUP('Customer Info'!A4650,'Customer Info'!A4650:I5149,5,FALSE)</f>
        <v>#N/A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2744</v>
      </c>
      <c r="R4658" s="2" t="s">
        <v>28</v>
      </c>
      <c r="S4658" s="9">
        <f t="shared" si="364"/>
        <v>7.0000000000000007E-2</v>
      </c>
    </row>
    <row r="4659" spans="1:19" x14ac:dyDescent="0.25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e">
        <f>VLOOKUP('Customer Info'!A4651,'Customer Info'!A4651:I5150,2,FALSE)</f>
        <v>#N/A</v>
      </c>
      <c r="H4659" s="6" t="e">
        <f>VLOOKUP('Customer Info'!A4651,'Customer Info'!A4651:I5151,3,FALSE)</f>
        <v>#N/A</v>
      </c>
      <c r="I4659" s="6" t="e">
        <f>VLOOKUP('Customer Info'!A4651,'Customer Info'!A4651:I5150,5,FALSE)</f>
        <v>#N/A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1039</v>
      </c>
      <c r="R4659" s="2" t="s">
        <v>28</v>
      </c>
      <c r="S4659" s="9">
        <f t="shared" si="364"/>
        <v>0.05</v>
      </c>
    </row>
    <row r="4660" spans="1:19" x14ac:dyDescent="0.25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e">
        <f>VLOOKUP('Customer Info'!A4652,'Customer Info'!A4652:I5151,2,FALSE)</f>
        <v>#N/A</v>
      </c>
      <c r="H4660" s="6" t="e">
        <f>VLOOKUP('Customer Info'!A4652,'Customer Info'!A4652:I5152,3,FALSE)</f>
        <v>#N/A</v>
      </c>
      <c r="I4660" s="6" t="e">
        <f>VLOOKUP('Customer Info'!A4652,'Customer Info'!A4652:I5151,5,FALSE)</f>
        <v>#N/A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72</v>
      </c>
      <c r="R4660" s="2" t="s">
        <v>28</v>
      </c>
      <c r="S4660" s="9">
        <f t="shared" si="364"/>
        <v>0.02</v>
      </c>
    </row>
    <row r="4661" spans="1:19" x14ac:dyDescent="0.25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e">
        <f>VLOOKUP('Customer Info'!A4653,'Customer Info'!A4653:I5152,2,FALSE)</f>
        <v>#N/A</v>
      </c>
      <c r="H4661" s="6" t="e">
        <f>VLOOKUP('Customer Info'!A4653,'Customer Info'!A4653:I5153,3,FALSE)</f>
        <v>#N/A</v>
      </c>
      <c r="I4661" s="6" t="e">
        <f>VLOOKUP('Customer Info'!A4653,'Customer Info'!A4653:I5152,5,FALSE)</f>
        <v>#N/A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63</v>
      </c>
      <c r="R4661" s="2" t="s">
        <v>50</v>
      </c>
      <c r="S4661" s="9">
        <f t="shared" si="364"/>
        <v>0.02</v>
      </c>
    </row>
    <row r="4662" spans="1:19" x14ac:dyDescent="0.25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e">
        <f>VLOOKUP('Customer Info'!A4654,'Customer Info'!A4654:I5153,2,FALSE)</f>
        <v>#N/A</v>
      </c>
      <c r="H4662" s="6" t="e">
        <f>VLOOKUP('Customer Info'!A4654,'Customer Info'!A4654:I5154,3,FALSE)</f>
        <v>#N/A</v>
      </c>
      <c r="I4662" s="6" t="e">
        <f>VLOOKUP('Customer Info'!A4654,'Customer Info'!A4654:I5153,5,FALSE)</f>
        <v>#N/A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1154</v>
      </c>
      <c r="R4662" s="2" t="s">
        <v>28</v>
      </c>
      <c r="S4662" s="9">
        <f t="shared" si="364"/>
        <v>0.05</v>
      </c>
    </row>
    <row r="4663" spans="1:19" x14ac:dyDescent="0.25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e">
        <f>VLOOKUP('Customer Info'!A4655,'Customer Info'!A4655:I5154,2,FALSE)</f>
        <v>#N/A</v>
      </c>
      <c r="H4663" s="6" t="e">
        <f>VLOOKUP('Customer Info'!A4655,'Customer Info'!A4655:I5155,3,FALSE)</f>
        <v>#N/A</v>
      </c>
      <c r="I4663" s="6" t="e">
        <f>VLOOKUP('Customer Info'!A4655,'Customer Info'!A4655:I5154,5,FALSE)</f>
        <v>#N/A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114</v>
      </c>
      <c r="R4663" s="2" t="s">
        <v>28</v>
      </c>
      <c r="S4663" s="9">
        <f t="shared" si="364"/>
        <v>0.02</v>
      </c>
    </row>
    <row r="4664" spans="1:19" x14ac:dyDescent="0.25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e">
        <f>VLOOKUP('Customer Info'!A4656,'Customer Info'!A4656:I5155,2,FALSE)</f>
        <v>#N/A</v>
      </c>
      <c r="H4664" s="6" t="e">
        <f>VLOOKUP('Customer Info'!A4656,'Customer Info'!A4656:I5156,3,FALSE)</f>
        <v>#N/A</v>
      </c>
      <c r="I4664" s="6" t="e">
        <f>VLOOKUP('Customer Info'!A4656,'Customer Info'!A4656:I5155,5,FALSE)</f>
        <v>#N/A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7397</v>
      </c>
      <c r="R4664" s="2" t="s">
        <v>28</v>
      </c>
      <c r="S4664" s="9">
        <f t="shared" si="364"/>
        <v>0.09</v>
      </c>
    </row>
    <row r="4665" spans="1:19" x14ac:dyDescent="0.25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e">
        <f>VLOOKUP('Customer Info'!A4657,'Customer Info'!A4657:I5156,2,FALSE)</f>
        <v>#N/A</v>
      </c>
      <c r="H4665" s="6" t="e">
        <f>VLOOKUP('Customer Info'!A4657,'Customer Info'!A4657:I5157,3,FALSE)</f>
        <v>#N/A</v>
      </c>
      <c r="I4665" s="6" t="e">
        <f>VLOOKUP('Customer Info'!A4657,'Customer Info'!A4657:I5156,5,FALSE)</f>
        <v>#N/A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159</v>
      </c>
      <c r="R4665" s="2" t="s">
        <v>50</v>
      </c>
      <c r="S4665" s="9">
        <f t="shared" si="364"/>
        <v>0.02</v>
      </c>
    </row>
    <row r="4666" spans="1:19" x14ac:dyDescent="0.25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e">
        <f>VLOOKUP('Customer Info'!A4658,'Customer Info'!A4658:I5157,2,FALSE)</f>
        <v>#N/A</v>
      </c>
      <c r="H4666" s="6" t="e">
        <f>VLOOKUP('Customer Info'!A4658,'Customer Info'!A4658:I5158,3,FALSE)</f>
        <v>#N/A</v>
      </c>
      <c r="I4666" s="6" t="e">
        <f>VLOOKUP('Customer Info'!A4658,'Customer Info'!A4658:I5157,5,FALSE)</f>
        <v>#N/A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283</v>
      </c>
      <c r="R4666" s="2" t="s">
        <v>56</v>
      </c>
      <c r="S4666" s="9">
        <f t="shared" si="364"/>
        <v>0.05</v>
      </c>
    </row>
    <row r="4667" spans="1:19" x14ac:dyDescent="0.25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e">
        <f>VLOOKUP('Customer Info'!A4659,'Customer Info'!A4659:I5158,2,FALSE)</f>
        <v>#N/A</v>
      </c>
      <c r="H4667" s="6" t="e">
        <f>VLOOKUP('Customer Info'!A4659,'Customer Info'!A4659:I5159,3,FALSE)</f>
        <v>#N/A</v>
      </c>
      <c r="I4667" s="6" t="e">
        <f>VLOOKUP('Customer Info'!A4659,'Customer Info'!A4659:I5158,5,FALSE)</f>
        <v>#N/A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139</v>
      </c>
      <c r="R4667" s="2" t="s">
        <v>50</v>
      </c>
      <c r="S4667" s="9">
        <f t="shared" si="364"/>
        <v>0.02</v>
      </c>
    </row>
    <row r="4668" spans="1:19" x14ac:dyDescent="0.25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e">
        <f>VLOOKUP('Customer Info'!A4660,'Customer Info'!A4660:I5159,2,FALSE)</f>
        <v>#N/A</v>
      </c>
      <c r="H4668" s="6" t="e">
        <f>VLOOKUP('Customer Info'!A4660,'Customer Info'!A4660:I5160,3,FALSE)</f>
        <v>#N/A</v>
      </c>
      <c r="I4668" s="6" t="e">
        <f>VLOOKUP('Customer Info'!A4660,'Customer Info'!A4660:I5159,5,FALSE)</f>
        <v>#N/A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178</v>
      </c>
      <c r="R4668" s="2" t="s">
        <v>50</v>
      </c>
      <c r="S4668" s="9">
        <f t="shared" si="364"/>
        <v>0.02</v>
      </c>
    </row>
    <row r="4669" spans="1:19" x14ac:dyDescent="0.25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e">
        <f>VLOOKUP('Customer Info'!A4661,'Customer Info'!A4661:I5160,2,FALSE)</f>
        <v>#N/A</v>
      </c>
      <c r="H4669" s="6" t="e">
        <f>VLOOKUP('Customer Info'!A4661,'Customer Info'!A4661:I5161,3,FALSE)</f>
        <v>#N/A</v>
      </c>
      <c r="I4669" s="6" t="e">
        <f>VLOOKUP('Customer Info'!A4661,'Customer Info'!A4661:I5160,5,FALSE)</f>
        <v>#N/A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1113</v>
      </c>
      <c r="R4669" s="2" t="s">
        <v>28</v>
      </c>
      <c r="S4669" s="9">
        <f t="shared" si="364"/>
        <v>0.09</v>
      </c>
    </row>
    <row r="4670" spans="1:19" x14ac:dyDescent="0.25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e">
        <f>VLOOKUP('Customer Info'!A4662,'Customer Info'!A4662:I5161,2,FALSE)</f>
        <v>#N/A</v>
      </c>
      <c r="H4670" s="6" t="e">
        <f>VLOOKUP('Customer Info'!A4662,'Customer Info'!A4662:I5162,3,FALSE)</f>
        <v>#N/A</v>
      </c>
      <c r="I4670" s="6" t="e">
        <f>VLOOKUP('Customer Info'!A4662,'Customer Info'!A4662:I5161,5,FALSE)</f>
        <v>#N/A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236</v>
      </c>
      <c r="R4670" s="2" t="s">
        <v>26</v>
      </c>
      <c r="S4670" s="9">
        <f t="shared" si="364"/>
        <v>0.02</v>
      </c>
    </row>
    <row r="4671" spans="1:19" x14ac:dyDescent="0.25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e">
        <f>VLOOKUP('Customer Info'!A4663,'Customer Info'!A4663:I5162,2,FALSE)</f>
        <v>#N/A</v>
      </c>
      <c r="H4671" s="6" t="e">
        <f>VLOOKUP('Customer Info'!A4663,'Customer Info'!A4663:I5163,3,FALSE)</f>
        <v>#N/A</v>
      </c>
      <c r="I4671" s="6" t="e">
        <f>VLOOKUP('Customer Info'!A4663,'Customer Info'!A4663:I5162,5,FALSE)</f>
        <v>#N/A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1185</v>
      </c>
      <c r="R4671" s="2" t="s">
        <v>28</v>
      </c>
      <c r="S4671" s="9">
        <f t="shared" si="364"/>
        <v>0.05</v>
      </c>
    </row>
    <row r="4672" spans="1:19" x14ac:dyDescent="0.25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e">
        <f>VLOOKUP('Customer Info'!A4664,'Customer Info'!A4664:I5163,2,FALSE)</f>
        <v>#N/A</v>
      </c>
      <c r="H4672" s="6" t="e">
        <f>VLOOKUP('Customer Info'!A4664,'Customer Info'!A4664:I5164,3,FALSE)</f>
        <v>#N/A</v>
      </c>
      <c r="I4672" s="6" t="e">
        <f>VLOOKUP('Customer Info'!A4664,'Customer Info'!A4664:I5163,5,FALSE)</f>
        <v>#N/A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202</v>
      </c>
      <c r="R4672" s="2" t="s">
        <v>50</v>
      </c>
      <c r="S4672" s="9">
        <f t="shared" si="364"/>
        <v>0.02</v>
      </c>
    </row>
    <row r="4673" spans="1:19" x14ac:dyDescent="0.25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e">
        <f>VLOOKUP('Customer Info'!A4665,'Customer Info'!A4665:I5164,2,FALSE)</f>
        <v>#N/A</v>
      </c>
      <c r="H4673" s="6" t="e">
        <f>VLOOKUP('Customer Info'!A4665,'Customer Info'!A4665:I5165,3,FALSE)</f>
        <v>#N/A</v>
      </c>
      <c r="I4673" s="6" t="e">
        <f>VLOOKUP('Customer Info'!A4665,'Customer Info'!A4665:I5164,5,FALSE)</f>
        <v>#N/A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135</v>
      </c>
      <c r="R4673" s="2" t="s">
        <v>50</v>
      </c>
      <c r="S4673" s="9">
        <f t="shared" si="364"/>
        <v>0.02</v>
      </c>
    </row>
    <row r="4674" spans="1:19" x14ac:dyDescent="0.25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e">
        <f>VLOOKUP('Customer Info'!A4666,'Customer Info'!A4666:I5165,2,FALSE)</f>
        <v>#N/A</v>
      </c>
      <c r="H4674" s="6" t="e">
        <f>VLOOKUP('Customer Info'!A4666,'Customer Info'!A4666:I5166,3,FALSE)</f>
        <v>#N/A</v>
      </c>
      <c r="I4674" s="6" t="e">
        <f>VLOOKUP('Customer Info'!A4666,'Customer Info'!A4666:I5165,5,FALSE)</f>
        <v>#N/A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712</v>
      </c>
      <c r="R4674" s="2" t="s">
        <v>28</v>
      </c>
      <c r="S4674" s="9">
        <f t="shared" si="364"/>
        <v>0.05</v>
      </c>
    </row>
    <row r="4675" spans="1:19" x14ac:dyDescent="0.25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e">
        <f>VLOOKUP('Customer Info'!A4667,'Customer Info'!A4667:I5166,2,FALSE)</f>
        <v>#N/A</v>
      </c>
      <c r="H4675" s="6" t="e">
        <f>VLOOKUP('Customer Info'!A4667,'Customer Info'!A4667:I5167,3,FALSE)</f>
        <v>#N/A</v>
      </c>
      <c r="I4675" s="6" t="e">
        <f>VLOOKUP('Customer Info'!A4667,'Customer Info'!A4667:I5166,5,FALSE)</f>
        <v>#N/A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20</v>
      </c>
      <c r="R4675" s="2" t="s">
        <v>28</v>
      </c>
      <c r="S4675" s="9">
        <f t="shared" si="364"/>
        <v>0.02</v>
      </c>
    </row>
    <row r="4676" spans="1:19" x14ac:dyDescent="0.25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e">
        <f>VLOOKUP('Customer Info'!A4668,'Customer Info'!A4668:I5167,2,FALSE)</f>
        <v>#N/A</v>
      </c>
      <c r="H4676" s="6" t="e">
        <f>VLOOKUP('Customer Info'!A4668,'Customer Info'!A4668:I5168,3,FALSE)</f>
        <v>#N/A</v>
      </c>
      <c r="I4676" s="6" t="e">
        <f>VLOOKUP('Customer Info'!A4668,'Customer Info'!A4668:I5167,5,FALSE)</f>
        <v>#N/A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42</v>
      </c>
      <c r="R4676" s="2" t="s">
        <v>28</v>
      </c>
      <c r="S4676" s="9">
        <f t="shared" si="364"/>
        <v>0.02</v>
      </c>
    </row>
    <row r="4677" spans="1:19" x14ac:dyDescent="0.25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e">
        <f>VLOOKUP('Customer Info'!A4669,'Customer Info'!A4669:I5168,2,FALSE)</f>
        <v>#N/A</v>
      </c>
      <c r="H4677" s="6" t="e">
        <f>VLOOKUP('Customer Info'!A4669,'Customer Info'!A4669:I5169,3,FALSE)</f>
        <v>#N/A</v>
      </c>
      <c r="I4677" s="6" t="e">
        <f>VLOOKUP('Customer Info'!A4669,'Customer Info'!A4669:I5168,5,FALSE)</f>
        <v>#N/A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422</v>
      </c>
      <c r="R4677" s="2" t="s">
        <v>26</v>
      </c>
      <c r="S4677" s="9">
        <f t="shared" si="364"/>
        <v>0.02</v>
      </c>
    </row>
    <row r="4678" spans="1:19" x14ac:dyDescent="0.25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e">
        <f>VLOOKUP('Customer Info'!A4670,'Customer Info'!A4670:I5169,2,FALSE)</f>
        <v>#N/A</v>
      </c>
      <c r="H4678" s="6" t="e">
        <f>VLOOKUP('Customer Info'!A4670,'Customer Info'!A4670:I5170,3,FALSE)</f>
        <v>#N/A</v>
      </c>
      <c r="I4678" s="6" t="e">
        <f>VLOOKUP('Customer Info'!A4670,'Customer Info'!A4670:I5169,5,FALSE)</f>
        <v>#N/A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405</v>
      </c>
      <c r="R4678" s="2" t="s">
        <v>50</v>
      </c>
      <c r="S4678" s="9">
        <f t="shared" si="364"/>
        <v>0.05</v>
      </c>
    </row>
    <row r="4679" spans="1:19" x14ac:dyDescent="0.25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e">
        <f>VLOOKUP('Customer Info'!A4671,'Customer Info'!A4671:I5170,2,FALSE)</f>
        <v>#N/A</v>
      </c>
      <c r="H4679" s="6" t="e">
        <f>VLOOKUP('Customer Info'!A4671,'Customer Info'!A4671:I5171,3,FALSE)</f>
        <v>#N/A</v>
      </c>
      <c r="I4679" s="6" t="e">
        <f>VLOOKUP('Customer Info'!A4671,'Customer Info'!A4671:I5170,5,FALSE)</f>
        <v>#N/A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466</v>
      </c>
      <c r="R4679" s="2" t="s">
        <v>50</v>
      </c>
      <c r="S4679" s="9">
        <f t="shared" si="364"/>
        <v>0.05</v>
      </c>
    </row>
    <row r="4680" spans="1:19" x14ac:dyDescent="0.25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e">
        <f>VLOOKUP('Customer Info'!A4672,'Customer Info'!A4672:I5171,2,FALSE)</f>
        <v>#N/A</v>
      </c>
      <c r="H4680" s="6" t="e">
        <f>VLOOKUP('Customer Info'!A4672,'Customer Info'!A4672:I5172,3,FALSE)</f>
        <v>#N/A</v>
      </c>
      <c r="I4680" s="6" t="e">
        <f>VLOOKUP('Customer Info'!A4672,'Customer Info'!A4672:I5171,5,FALSE)</f>
        <v>#N/A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94</v>
      </c>
      <c r="R4680" s="2" t="s">
        <v>50</v>
      </c>
      <c r="S4680" s="9">
        <f t="shared" si="364"/>
        <v>0.02</v>
      </c>
    </row>
    <row r="4681" spans="1:19" x14ac:dyDescent="0.25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e">
        <f>VLOOKUP('Customer Info'!A4673,'Customer Info'!A4673:I5172,2,FALSE)</f>
        <v>#N/A</v>
      </c>
      <c r="H4681" s="6" t="e">
        <f>VLOOKUP('Customer Info'!A4673,'Customer Info'!A4673:I5173,3,FALSE)</f>
        <v>#N/A</v>
      </c>
      <c r="I4681" s="6" t="e">
        <f>VLOOKUP('Customer Info'!A4673,'Customer Info'!A4673:I5172,5,FALSE)</f>
        <v>#N/A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138</v>
      </c>
      <c r="R4681" s="2" t="s">
        <v>28</v>
      </c>
      <c r="S4681" s="9">
        <f t="shared" si="364"/>
        <v>0.02</v>
      </c>
    </row>
    <row r="4682" spans="1:19" x14ac:dyDescent="0.25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e">
        <f>VLOOKUP('Customer Info'!A4674,'Customer Info'!A4674:I5173,2,FALSE)</f>
        <v>#N/A</v>
      </c>
      <c r="H4682" s="6" t="e">
        <f>VLOOKUP('Customer Info'!A4674,'Customer Info'!A4674:I5174,3,FALSE)</f>
        <v>#N/A</v>
      </c>
      <c r="I4682" s="6" t="e">
        <f>VLOOKUP('Customer Info'!A4674,'Customer Info'!A4674:I5173,5,FALSE)</f>
        <v>#N/A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230</v>
      </c>
      <c r="R4682" s="2" t="s">
        <v>28</v>
      </c>
      <c r="S4682" s="9">
        <f t="shared" si="364"/>
        <v>0.02</v>
      </c>
    </row>
    <row r="4683" spans="1:19" x14ac:dyDescent="0.25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e">
        <f>VLOOKUP('Customer Info'!A4675,'Customer Info'!A4675:I5174,2,FALSE)</f>
        <v>#N/A</v>
      </c>
      <c r="H4683" s="6" t="e">
        <f>VLOOKUP('Customer Info'!A4675,'Customer Info'!A4675:I5175,3,FALSE)</f>
        <v>#N/A</v>
      </c>
      <c r="I4683" s="6" t="e">
        <f>VLOOKUP('Customer Info'!A4675,'Customer Info'!A4675:I5174,5,FALSE)</f>
        <v>#N/A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8">
        <f t="shared" ref="P4683:P4746" si="367">N4683+O4683</f>
        <v>2317</v>
      </c>
      <c r="Q4683" s="8">
        <f t="shared" ref="Q4683:Q4746" si="368">P4683-M4683</f>
        <v>88</v>
      </c>
      <c r="R4683" s="2" t="s">
        <v>28</v>
      </c>
      <c r="S4683" s="9">
        <f t="shared" ref="S4683:S4746" si="369">VLOOKUP(P4683,$T$2:$U$7,2,TRUE)</f>
        <v>0.02</v>
      </c>
    </row>
    <row r="4684" spans="1:19" x14ac:dyDescent="0.25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e">
        <f>VLOOKUP('Customer Info'!A4676,'Customer Info'!A4676:I5175,2,FALSE)</f>
        <v>#N/A</v>
      </c>
      <c r="H4684" s="6" t="e">
        <f>VLOOKUP('Customer Info'!A4676,'Customer Info'!A4676:I5176,3,FALSE)</f>
        <v>#N/A</v>
      </c>
      <c r="I4684" s="6" t="e">
        <f>VLOOKUP('Customer Info'!A4676,'Customer Info'!A4676:I5175,5,FALSE)</f>
        <v>#N/A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16153</v>
      </c>
      <c r="R4684" s="2" t="s">
        <v>26</v>
      </c>
      <c r="S4684" s="9">
        <f t="shared" si="369"/>
        <v>0.12</v>
      </c>
    </row>
    <row r="4685" spans="1:19" x14ac:dyDescent="0.25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e">
        <f>VLOOKUP('Customer Info'!A4677,'Customer Info'!A4677:I5176,2,FALSE)</f>
        <v>#N/A</v>
      </c>
      <c r="H4685" s="6" t="e">
        <f>VLOOKUP('Customer Info'!A4677,'Customer Info'!A4677:I5177,3,FALSE)</f>
        <v>#N/A</v>
      </c>
      <c r="I4685" s="6" t="e">
        <f>VLOOKUP('Customer Info'!A4677,'Customer Info'!A4677:I5176,5,FALSE)</f>
        <v>#N/A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222</v>
      </c>
      <c r="R4685" s="2" t="s">
        <v>56</v>
      </c>
      <c r="S4685" s="9">
        <f t="shared" si="369"/>
        <v>0.02</v>
      </c>
    </row>
    <row r="4686" spans="1:19" x14ac:dyDescent="0.25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e">
        <f>VLOOKUP('Customer Info'!A4678,'Customer Info'!A4678:I5177,2,FALSE)</f>
        <v>#N/A</v>
      </c>
      <c r="H4686" s="6" t="e">
        <f>VLOOKUP('Customer Info'!A4678,'Customer Info'!A4678:I5178,3,FALSE)</f>
        <v>#N/A</v>
      </c>
      <c r="I4686" s="6" t="e">
        <f>VLOOKUP('Customer Info'!A4678,'Customer Info'!A4678:I5177,5,FALSE)</f>
        <v>#N/A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218</v>
      </c>
      <c r="R4686" s="2" t="s">
        <v>50</v>
      </c>
      <c r="S4686" s="9">
        <f t="shared" si="369"/>
        <v>0.02</v>
      </c>
    </row>
    <row r="4687" spans="1:19" x14ac:dyDescent="0.25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e">
        <f>VLOOKUP('Customer Info'!A4679,'Customer Info'!A4679:I5178,2,FALSE)</f>
        <v>#N/A</v>
      </c>
      <c r="H4687" s="6" t="e">
        <f>VLOOKUP('Customer Info'!A4679,'Customer Info'!A4679:I5179,3,FALSE)</f>
        <v>#N/A</v>
      </c>
      <c r="I4687" s="6" t="e">
        <f>VLOOKUP('Customer Info'!A4679,'Customer Info'!A4679:I5178,5,FALSE)</f>
        <v>#N/A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364</v>
      </c>
      <c r="R4687" s="2" t="s">
        <v>28</v>
      </c>
      <c r="S4687" s="9">
        <f t="shared" si="369"/>
        <v>0.05</v>
      </c>
    </row>
    <row r="4688" spans="1:19" x14ac:dyDescent="0.25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e">
        <f>VLOOKUP('Customer Info'!A4680,'Customer Info'!A4680:I5179,2,FALSE)</f>
        <v>#N/A</v>
      </c>
      <c r="H4688" s="6" t="e">
        <f>VLOOKUP('Customer Info'!A4680,'Customer Info'!A4680:I5180,3,FALSE)</f>
        <v>#N/A</v>
      </c>
      <c r="I4688" s="6" t="e">
        <f>VLOOKUP('Customer Info'!A4680,'Customer Info'!A4680:I5179,5,FALSE)</f>
        <v>#N/A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208</v>
      </c>
      <c r="R4688" s="2" t="s">
        <v>28</v>
      </c>
      <c r="S4688" s="9">
        <f t="shared" si="369"/>
        <v>0.02</v>
      </c>
    </row>
    <row r="4689" spans="1:19" x14ac:dyDescent="0.25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e">
        <f>VLOOKUP('Customer Info'!A4681,'Customer Info'!A4681:I5180,2,FALSE)</f>
        <v>#N/A</v>
      </c>
      <c r="H4689" s="6" t="e">
        <f>VLOOKUP('Customer Info'!A4681,'Customer Info'!A4681:I5181,3,FALSE)</f>
        <v>#N/A</v>
      </c>
      <c r="I4689" s="6" t="e">
        <f>VLOOKUP('Customer Info'!A4681,'Customer Info'!A4681:I5180,5,FALSE)</f>
        <v>#N/A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372</v>
      </c>
      <c r="R4689" s="2" t="s">
        <v>50</v>
      </c>
      <c r="S4689" s="9">
        <f t="shared" si="369"/>
        <v>0.05</v>
      </c>
    </row>
    <row r="4690" spans="1:19" x14ac:dyDescent="0.25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e">
        <f>VLOOKUP('Customer Info'!A4682,'Customer Info'!A4682:I5181,2,FALSE)</f>
        <v>#N/A</v>
      </c>
      <c r="H4690" s="6" t="e">
        <f>VLOOKUP('Customer Info'!A4682,'Customer Info'!A4682:I5182,3,FALSE)</f>
        <v>#N/A</v>
      </c>
      <c r="I4690" s="6" t="e">
        <f>VLOOKUP('Customer Info'!A4682,'Customer Info'!A4682:I5181,5,FALSE)</f>
        <v>#N/A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670</v>
      </c>
      <c r="R4690" s="2" t="s">
        <v>28</v>
      </c>
      <c r="S4690" s="9">
        <f t="shared" si="369"/>
        <v>0.05</v>
      </c>
    </row>
    <row r="4691" spans="1:19" x14ac:dyDescent="0.25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e">
        <f>VLOOKUP('Customer Info'!A4683,'Customer Info'!A4683:I5182,2,FALSE)</f>
        <v>#N/A</v>
      </c>
      <c r="H4691" s="6" t="e">
        <f>VLOOKUP('Customer Info'!A4683,'Customer Info'!A4683:I5183,3,FALSE)</f>
        <v>#N/A</v>
      </c>
      <c r="I4691" s="6" t="e">
        <f>VLOOKUP('Customer Info'!A4683,'Customer Info'!A4683:I5182,5,FALSE)</f>
        <v>#N/A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249</v>
      </c>
      <c r="R4691" s="2" t="s">
        <v>28</v>
      </c>
      <c r="S4691" s="9">
        <f t="shared" si="369"/>
        <v>0.02</v>
      </c>
    </row>
    <row r="4692" spans="1:19" x14ac:dyDescent="0.25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e">
        <f>VLOOKUP('Customer Info'!A4684,'Customer Info'!A4684:I5183,2,FALSE)</f>
        <v>#N/A</v>
      </c>
      <c r="H4692" s="6" t="e">
        <f>VLOOKUP('Customer Info'!A4684,'Customer Info'!A4684:I5184,3,FALSE)</f>
        <v>#N/A</v>
      </c>
      <c r="I4692" s="6" t="e">
        <f>VLOOKUP('Customer Info'!A4684,'Customer Info'!A4684:I5183,5,FALSE)</f>
        <v>#N/A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102</v>
      </c>
      <c r="R4692" s="2" t="s">
        <v>28</v>
      </c>
      <c r="S4692" s="9">
        <f t="shared" si="369"/>
        <v>0.02</v>
      </c>
    </row>
    <row r="4693" spans="1:19" x14ac:dyDescent="0.25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e">
        <f>VLOOKUP('Customer Info'!A4685,'Customer Info'!A4685:I5184,2,FALSE)</f>
        <v>#N/A</v>
      </c>
      <c r="H4693" s="6" t="e">
        <f>VLOOKUP('Customer Info'!A4685,'Customer Info'!A4685:I5185,3,FALSE)</f>
        <v>#N/A</v>
      </c>
      <c r="I4693" s="6" t="e">
        <f>VLOOKUP('Customer Info'!A4685,'Customer Info'!A4685:I5184,5,FALSE)</f>
        <v>#N/A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90</v>
      </c>
      <c r="R4693" s="2" t="s">
        <v>28</v>
      </c>
      <c r="S4693" s="9">
        <f t="shared" si="369"/>
        <v>0.02</v>
      </c>
    </row>
    <row r="4694" spans="1:19" x14ac:dyDescent="0.25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e">
        <f>VLOOKUP('Customer Info'!A4686,'Customer Info'!A4686:I5185,2,FALSE)</f>
        <v>#N/A</v>
      </c>
      <c r="H4694" s="6" t="e">
        <f>VLOOKUP('Customer Info'!A4686,'Customer Info'!A4686:I5186,3,FALSE)</f>
        <v>#N/A</v>
      </c>
      <c r="I4694" s="6" t="e">
        <f>VLOOKUP('Customer Info'!A4686,'Customer Info'!A4686:I5185,5,FALSE)</f>
        <v>#N/A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784</v>
      </c>
      <c r="R4694" s="2" t="s">
        <v>28</v>
      </c>
      <c r="S4694" s="9">
        <f t="shared" si="369"/>
        <v>0.05</v>
      </c>
    </row>
    <row r="4695" spans="1:19" x14ac:dyDescent="0.25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e">
        <f>VLOOKUP('Customer Info'!A4687,'Customer Info'!A4687:I5186,2,FALSE)</f>
        <v>#N/A</v>
      </c>
      <c r="H4695" s="6" t="e">
        <f>VLOOKUP('Customer Info'!A4687,'Customer Info'!A4687:I5187,3,FALSE)</f>
        <v>#N/A</v>
      </c>
      <c r="I4695" s="6" t="e">
        <f>VLOOKUP('Customer Info'!A4687,'Customer Info'!A4687:I5186,5,FALSE)</f>
        <v>#N/A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367</v>
      </c>
      <c r="R4695" s="2" t="s">
        <v>28</v>
      </c>
      <c r="S4695" s="9">
        <f t="shared" si="369"/>
        <v>0.02</v>
      </c>
    </row>
    <row r="4696" spans="1:19" x14ac:dyDescent="0.25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e">
        <f>VLOOKUP('Customer Info'!A4688,'Customer Info'!A4688:I5187,2,FALSE)</f>
        <v>#N/A</v>
      </c>
      <c r="H4696" s="6" t="e">
        <f>VLOOKUP('Customer Info'!A4688,'Customer Info'!A4688:I5188,3,FALSE)</f>
        <v>#N/A</v>
      </c>
      <c r="I4696" s="6" t="e">
        <f>VLOOKUP('Customer Info'!A4688,'Customer Info'!A4688:I5187,5,FALSE)</f>
        <v>#N/A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460</v>
      </c>
      <c r="R4696" s="2" t="s">
        <v>50</v>
      </c>
      <c r="S4696" s="9">
        <f t="shared" si="369"/>
        <v>0.02</v>
      </c>
    </row>
    <row r="4697" spans="1:19" x14ac:dyDescent="0.25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e">
        <f>VLOOKUP('Customer Info'!A4689,'Customer Info'!A4689:I5188,2,FALSE)</f>
        <v>#N/A</v>
      </c>
      <c r="H4697" s="6" t="e">
        <f>VLOOKUP('Customer Info'!A4689,'Customer Info'!A4689:I5189,3,FALSE)</f>
        <v>#N/A</v>
      </c>
      <c r="I4697" s="6" t="e">
        <f>VLOOKUP('Customer Info'!A4689,'Customer Info'!A4689:I5188,5,FALSE)</f>
        <v>#N/A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417</v>
      </c>
      <c r="R4697" s="2" t="s">
        <v>50</v>
      </c>
      <c r="S4697" s="9">
        <f t="shared" si="369"/>
        <v>0.02</v>
      </c>
    </row>
    <row r="4698" spans="1:19" x14ac:dyDescent="0.25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e">
        <f>VLOOKUP('Customer Info'!A4690,'Customer Info'!A4690:I5189,2,FALSE)</f>
        <v>#N/A</v>
      </c>
      <c r="H4698" s="6" t="e">
        <f>VLOOKUP('Customer Info'!A4690,'Customer Info'!A4690:I5190,3,FALSE)</f>
        <v>#N/A</v>
      </c>
      <c r="I4698" s="6" t="e">
        <f>VLOOKUP('Customer Info'!A4690,'Customer Info'!A4690:I5189,5,FALSE)</f>
        <v>#N/A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41</v>
      </c>
      <c r="R4698" s="2" t="s">
        <v>56</v>
      </c>
      <c r="S4698" s="9">
        <f t="shared" si="369"/>
        <v>0.02</v>
      </c>
    </row>
    <row r="4699" spans="1:19" x14ac:dyDescent="0.25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e">
        <f>VLOOKUP('Customer Info'!A4691,'Customer Info'!A4691:I5190,2,FALSE)</f>
        <v>#N/A</v>
      </c>
      <c r="H4699" s="6" t="e">
        <f>VLOOKUP('Customer Info'!A4691,'Customer Info'!A4691:I5191,3,FALSE)</f>
        <v>#N/A</v>
      </c>
      <c r="I4699" s="6" t="e">
        <f>VLOOKUP('Customer Info'!A4691,'Customer Info'!A4691:I5190,5,FALSE)</f>
        <v>#N/A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26</v>
      </c>
      <c r="R4699" s="2" t="s">
        <v>50</v>
      </c>
      <c r="S4699" s="9">
        <f t="shared" si="369"/>
        <v>0.02</v>
      </c>
    </row>
    <row r="4700" spans="1:19" x14ac:dyDescent="0.25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e">
        <f>VLOOKUP('Customer Info'!A4692,'Customer Info'!A4692:I5191,2,FALSE)</f>
        <v>#N/A</v>
      </c>
      <c r="H4700" s="6" t="e">
        <f>VLOOKUP('Customer Info'!A4692,'Customer Info'!A4692:I5192,3,FALSE)</f>
        <v>#N/A</v>
      </c>
      <c r="I4700" s="6" t="e">
        <f>VLOOKUP('Customer Info'!A4692,'Customer Info'!A4692:I5191,5,FALSE)</f>
        <v>#N/A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75</v>
      </c>
      <c r="R4700" s="2" t="s">
        <v>28</v>
      </c>
      <c r="S4700" s="9">
        <f t="shared" si="369"/>
        <v>0.02</v>
      </c>
    </row>
    <row r="4701" spans="1:19" x14ac:dyDescent="0.25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e">
        <f>VLOOKUP('Customer Info'!A4693,'Customer Info'!A4693:I5192,2,FALSE)</f>
        <v>#N/A</v>
      </c>
      <c r="H4701" s="6" t="e">
        <f>VLOOKUP('Customer Info'!A4693,'Customer Info'!A4693:I5193,3,FALSE)</f>
        <v>#N/A</v>
      </c>
      <c r="I4701" s="6" t="e">
        <f>VLOOKUP('Customer Info'!A4693,'Customer Info'!A4693:I5192,5,FALSE)</f>
        <v>#N/A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607</v>
      </c>
      <c r="R4701" s="2" t="s">
        <v>28</v>
      </c>
      <c r="S4701" s="9">
        <f t="shared" si="369"/>
        <v>0.05</v>
      </c>
    </row>
    <row r="4702" spans="1:19" x14ac:dyDescent="0.25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e">
        <f>VLOOKUP('Customer Info'!A4694,'Customer Info'!A4694:I5193,2,FALSE)</f>
        <v>#N/A</v>
      </c>
      <c r="H4702" s="6" t="e">
        <f>VLOOKUP('Customer Info'!A4694,'Customer Info'!A4694:I5194,3,FALSE)</f>
        <v>#N/A</v>
      </c>
      <c r="I4702" s="6" t="e">
        <f>VLOOKUP('Customer Info'!A4694,'Customer Info'!A4694:I5193,5,FALSE)</f>
        <v>#N/A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536</v>
      </c>
      <c r="R4702" s="2" t="s">
        <v>28</v>
      </c>
      <c r="S4702" s="9">
        <f t="shared" si="369"/>
        <v>0.05</v>
      </c>
    </row>
    <row r="4703" spans="1:19" x14ac:dyDescent="0.25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e">
        <f>VLOOKUP('Customer Info'!A4695,'Customer Info'!A4695:I5194,2,FALSE)</f>
        <v>#N/A</v>
      </c>
      <c r="H4703" s="6" t="e">
        <f>VLOOKUP('Customer Info'!A4695,'Customer Info'!A4695:I5195,3,FALSE)</f>
        <v>#N/A</v>
      </c>
      <c r="I4703" s="6" t="e">
        <f>VLOOKUP('Customer Info'!A4695,'Customer Info'!A4695:I5194,5,FALSE)</f>
        <v>#N/A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305</v>
      </c>
      <c r="R4703" s="2" t="s">
        <v>28</v>
      </c>
      <c r="S4703" s="9">
        <f t="shared" si="369"/>
        <v>0.05</v>
      </c>
    </row>
    <row r="4704" spans="1:19" x14ac:dyDescent="0.25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e">
        <f>VLOOKUP('Customer Info'!A4696,'Customer Info'!A4696:I5195,2,FALSE)</f>
        <v>#N/A</v>
      </c>
      <c r="H4704" s="6" t="e">
        <f>VLOOKUP('Customer Info'!A4696,'Customer Info'!A4696:I5196,3,FALSE)</f>
        <v>#N/A</v>
      </c>
      <c r="I4704" s="6" t="e">
        <f>VLOOKUP('Customer Info'!A4696,'Customer Info'!A4696:I5195,5,FALSE)</f>
        <v>#N/A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166</v>
      </c>
      <c r="R4704" s="2" t="s">
        <v>28</v>
      </c>
      <c r="S4704" s="9">
        <f t="shared" si="369"/>
        <v>0.02</v>
      </c>
    </row>
    <row r="4705" spans="1:19" x14ac:dyDescent="0.25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e">
        <f>VLOOKUP('Customer Info'!A4697,'Customer Info'!A4697:I5196,2,FALSE)</f>
        <v>#N/A</v>
      </c>
      <c r="H4705" s="6" t="e">
        <f>VLOOKUP('Customer Info'!A4697,'Customer Info'!A4697:I5197,3,FALSE)</f>
        <v>#N/A</v>
      </c>
      <c r="I4705" s="6" t="e">
        <f>VLOOKUP('Customer Info'!A4697,'Customer Info'!A4697:I5196,5,FALSE)</f>
        <v>#N/A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6804</v>
      </c>
      <c r="R4705" s="2" t="s">
        <v>26</v>
      </c>
      <c r="S4705" s="9">
        <f t="shared" si="369"/>
        <v>0.09</v>
      </c>
    </row>
    <row r="4706" spans="1:19" x14ac:dyDescent="0.25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e">
        <f>VLOOKUP('Customer Info'!A4698,'Customer Info'!A4698:I5197,2,FALSE)</f>
        <v>#N/A</v>
      </c>
      <c r="H4706" s="6" t="e">
        <f>VLOOKUP('Customer Info'!A4698,'Customer Info'!A4698:I5198,3,FALSE)</f>
        <v>#N/A</v>
      </c>
      <c r="I4706" s="6" t="e">
        <f>VLOOKUP('Customer Info'!A4698,'Customer Info'!A4698:I5197,5,FALSE)</f>
        <v>#N/A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328</v>
      </c>
      <c r="R4706" s="2" t="s">
        <v>26</v>
      </c>
      <c r="S4706" s="9">
        <f t="shared" si="369"/>
        <v>0.02</v>
      </c>
    </row>
    <row r="4707" spans="1:19" x14ac:dyDescent="0.25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e">
        <f>VLOOKUP('Customer Info'!A4699,'Customer Info'!A4699:I5198,2,FALSE)</f>
        <v>#N/A</v>
      </c>
      <c r="H4707" s="6" t="e">
        <f>VLOOKUP('Customer Info'!A4699,'Customer Info'!A4699:I5199,3,FALSE)</f>
        <v>#N/A</v>
      </c>
      <c r="I4707" s="6" t="e">
        <f>VLOOKUP('Customer Info'!A4699,'Customer Info'!A4699:I5198,5,FALSE)</f>
        <v>#N/A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119</v>
      </c>
      <c r="R4707" s="2" t="s">
        <v>50</v>
      </c>
      <c r="S4707" s="9">
        <f t="shared" si="369"/>
        <v>0.02</v>
      </c>
    </row>
    <row r="4708" spans="1:19" x14ac:dyDescent="0.25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e">
        <f>VLOOKUP('Customer Info'!A4700,'Customer Info'!A4700:I5199,2,FALSE)</f>
        <v>#N/A</v>
      </c>
      <c r="H4708" s="6" t="e">
        <f>VLOOKUP('Customer Info'!A4700,'Customer Info'!A4700:I5200,3,FALSE)</f>
        <v>#N/A</v>
      </c>
      <c r="I4708" s="6" t="e">
        <f>VLOOKUP('Customer Info'!A4700,'Customer Info'!A4700:I5199,5,FALSE)</f>
        <v>#N/A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995</v>
      </c>
      <c r="R4708" s="2" t="s">
        <v>28</v>
      </c>
      <c r="S4708" s="9">
        <f t="shared" si="369"/>
        <v>0.05</v>
      </c>
    </row>
    <row r="4709" spans="1:19" x14ac:dyDescent="0.25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e">
        <f>VLOOKUP('Customer Info'!A4701,'Customer Info'!A4701:I5200,2,FALSE)</f>
        <v>#N/A</v>
      </c>
      <c r="H4709" s="6" t="e">
        <f>VLOOKUP('Customer Info'!A4701,'Customer Info'!A4701:I5201,3,FALSE)</f>
        <v>#N/A</v>
      </c>
      <c r="I4709" s="6" t="e">
        <f>VLOOKUP('Customer Info'!A4701,'Customer Info'!A4701:I5200,5,FALSE)</f>
        <v>#N/A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111</v>
      </c>
      <c r="R4709" s="2" t="s">
        <v>50</v>
      </c>
      <c r="S4709" s="9">
        <f t="shared" si="369"/>
        <v>0.02</v>
      </c>
    </row>
    <row r="4710" spans="1:19" x14ac:dyDescent="0.25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e">
        <f>VLOOKUP('Customer Info'!A4702,'Customer Info'!A4702:I5201,2,FALSE)</f>
        <v>#N/A</v>
      </c>
      <c r="H4710" s="6" t="e">
        <f>VLOOKUP('Customer Info'!A4702,'Customer Info'!A4702:I5202,3,FALSE)</f>
        <v>#N/A</v>
      </c>
      <c r="I4710" s="6" t="e">
        <f>VLOOKUP('Customer Info'!A4702,'Customer Info'!A4702:I5201,5,FALSE)</f>
        <v>#N/A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989</v>
      </c>
      <c r="R4710" s="2" t="s">
        <v>28</v>
      </c>
      <c r="S4710" s="9">
        <f t="shared" si="369"/>
        <v>0.05</v>
      </c>
    </row>
    <row r="4711" spans="1:19" x14ac:dyDescent="0.25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e">
        <f>VLOOKUP('Customer Info'!A4703,'Customer Info'!A4703:I5202,2,FALSE)</f>
        <v>#N/A</v>
      </c>
      <c r="H4711" s="6" t="e">
        <f>VLOOKUP('Customer Info'!A4703,'Customer Info'!A4703:I5203,3,FALSE)</f>
        <v>#N/A</v>
      </c>
      <c r="I4711" s="6" t="e">
        <f>VLOOKUP('Customer Info'!A4703,'Customer Info'!A4703:I5202,5,FALSE)</f>
        <v>#N/A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118</v>
      </c>
      <c r="R4711" s="2" t="s">
        <v>28</v>
      </c>
      <c r="S4711" s="9">
        <f t="shared" si="369"/>
        <v>0.02</v>
      </c>
    </row>
    <row r="4712" spans="1:19" x14ac:dyDescent="0.25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e">
        <f>VLOOKUP('Customer Info'!A4704,'Customer Info'!A4704:I5203,2,FALSE)</f>
        <v>#N/A</v>
      </c>
      <c r="H4712" s="6" t="e">
        <f>VLOOKUP('Customer Info'!A4704,'Customer Info'!A4704:I5204,3,FALSE)</f>
        <v>#N/A</v>
      </c>
      <c r="I4712" s="6" t="e">
        <f>VLOOKUP('Customer Info'!A4704,'Customer Info'!A4704:I5203,5,FALSE)</f>
        <v>#N/A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245</v>
      </c>
      <c r="R4712" s="2" t="s">
        <v>50</v>
      </c>
      <c r="S4712" s="9">
        <f t="shared" si="369"/>
        <v>0.02</v>
      </c>
    </row>
    <row r="4713" spans="1:19" x14ac:dyDescent="0.25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e">
        <f>VLOOKUP('Customer Info'!A4705,'Customer Info'!A4705:I5204,2,FALSE)</f>
        <v>#N/A</v>
      </c>
      <c r="H4713" s="6" t="e">
        <f>VLOOKUP('Customer Info'!A4705,'Customer Info'!A4705:I5205,3,FALSE)</f>
        <v>#N/A</v>
      </c>
      <c r="I4713" s="6" t="e">
        <f>VLOOKUP('Customer Info'!A4705,'Customer Info'!A4705:I5204,5,FALSE)</f>
        <v>#N/A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30</v>
      </c>
      <c r="R4713" s="2" t="s">
        <v>50</v>
      </c>
      <c r="S4713" s="9">
        <f t="shared" si="369"/>
        <v>0.02</v>
      </c>
    </row>
    <row r="4714" spans="1:19" x14ac:dyDescent="0.25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e">
        <f>VLOOKUP('Customer Info'!A4706,'Customer Info'!A4706:I5205,2,FALSE)</f>
        <v>#N/A</v>
      </c>
      <c r="H4714" s="6" t="e">
        <f>VLOOKUP('Customer Info'!A4706,'Customer Info'!A4706:I5206,3,FALSE)</f>
        <v>#N/A</v>
      </c>
      <c r="I4714" s="6" t="e">
        <f>VLOOKUP('Customer Info'!A4706,'Customer Info'!A4706:I5205,5,FALSE)</f>
        <v>#N/A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50</v>
      </c>
      <c r="R4714" s="2" t="s">
        <v>28</v>
      </c>
      <c r="S4714" s="9">
        <f t="shared" si="369"/>
        <v>0.02</v>
      </c>
    </row>
    <row r="4715" spans="1:19" x14ac:dyDescent="0.25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e">
        <f>VLOOKUP('Customer Info'!A4707,'Customer Info'!A4707:I5206,2,FALSE)</f>
        <v>#N/A</v>
      </c>
      <c r="H4715" s="6" t="e">
        <f>VLOOKUP('Customer Info'!A4707,'Customer Info'!A4707:I5207,3,FALSE)</f>
        <v>#N/A</v>
      </c>
      <c r="I4715" s="6" t="e">
        <f>VLOOKUP('Customer Info'!A4707,'Customer Info'!A4707:I5206,5,FALSE)</f>
        <v>#N/A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670</v>
      </c>
      <c r="R4715" s="2" t="s">
        <v>50</v>
      </c>
      <c r="S4715" s="9">
        <f t="shared" si="369"/>
        <v>0.05</v>
      </c>
    </row>
    <row r="4716" spans="1:19" x14ac:dyDescent="0.25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e">
        <f>VLOOKUP('Customer Info'!A4708,'Customer Info'!A4708:I5207,2,FALSE)</f>
        <v>#N/A</v>
      </c>
      <c r="H4716" s="6" t="e">
        <f>VLOOKUP('Customer Info'!A4708,'Customer Info'!A4708:I5208,3,FALSE)</f>
        <v>#N/A</v>
      </c>
      <c r="I4716" s="6" t="e">
        <f>VLOOKUP('Customer Info'!A4708,'Customer Info'!A4708:I5207,5,FALSE)</f>
        <v>#N/A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625</v>
      </c>
      <c r="R4716" s="2" t="s">
        <v>50</v>
      </c>
      <c r="S4716" s="9">
        <f t="shared" si="369"/>
        <v>0.05</v>
      </c>
    </row>
    <row r="4717" spans="1:19" x14ac:dyDescent="0.25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e">
        <f>VLOOKUP('Customer Info'!A4709,'Customer Info'!A4709:I5208,2,FALSE)</f>
        <v>#N/A</v>
      </c>
      <c r="H4717" s="6" t="e">
        <f>VLOOKUP('Customer Info'!A4709,'Customer Info'!A4709:I5209,3,FALSE)</f>
        <v>#N/A</v>
      </c>
      <c r="I4717" s="6" t="e">
        <f>VLOOKUP('Customer Info'!A4709,'Customer Info'!A4709:I5208,5,FALSE)</f>
        <v>#N/A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5809</v>
      </c>
      <c r="R4717" s="2" t="s">
        <v>28</v>
      </c>
      <c r="S4717" s="9">
        <f t="shared" si="369"/>
        <v>0.09</v>
      </c>
    </row>
    <row r="4718" spans="1:19" x14ac:dyDescent="0.25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e">
        <f>VLOOKUP('Customer Info'!A4710,'Customer Info'!A4710:I5209,2,FALSE)</f>
        <v>#N/A</v>
      </c>
      <c r="H4718" s="6" t="e">
        <f>VLOOKUP('Customer Info'!A4710,'Customer Info'!A4710:I5210,3,FALSE)</f>
        <v>#N/A</v>
      </c>
      <c r="I4718" s="6" t="e">
        <f>VLOOKUP('Customer Info'!A4710,'Customer Info'!A4710:I5209,5,FALSE)</f>
        <v>#N/A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94</v>
      </c>
      <c r="R4718" s="2" t="s">
        <v>28</v>
      </c>
      <c r="S4718" s="9">
        <f t="shared" si="369"/>
        <v>0.02</v>
      </c>
    </row>
    <row r="4719" spans="1:19" x14ac:dyDescent="0.25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e">
        <f>VLOOKUP('Customer Info'!A4711,'Customer Info'!A4711:I5210,2,FALSE)</f>
        <v>#N/A</v>
      </c>
      <c r="H4719" s="6" t="e">
        <f>VLOOKUP('Customer Info'!A4711,'Customer Info'!A4711:I5211,3,FALSE)</f>
        <v>#N/A</v>
      </c>
      <c r="I4719" s="6" t="e">
        <f>VLOOKUP('Customer Info'!A4711,'Customer Info'!A4711:I5210,5,FALSE)</f>
        <v>#N/A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145</v>
      </c>
      <c r="R4719" s="2" t="s">
        <v>28</v>
      </c>
      <c r="S4719" s="9">
        <f t="shared" si="369"/>
        <v>0.02</v>
      </c>
    </row>
    <row r="4720" spans="1:19" x14ac:dyDescent="0.25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e">
        <f>VLOOKUP('Customer Info'!A4712,'Customer Info'!A4712:I5211,2,FALSE)</f>
        <v>#N/A</v>
      </c>
      <c r="H4720" s="6" t="e">
        <f>VLOOKUP('Customer Info'!A4712,'Customer Info'!A4712:I5212,3,FALSE)</f>
        <v>#N/A</v>
      </c>
      <c r="I4720" s="6" t="e">
        <f>VLOOKUP('Customer Info'!A4712,'Customer Info'!A4712:I5211,5,FALSE)</f>
        <v>#N/A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203</v>
      </c>
      <c r="R4720" s="2" t="s">
        <v>50</v>
      </c>
      <c r="S4720" s="9">
        <f t="shared" si="369"/>
        <v>0.02</v>
      </c>
    </row>
    <row r="4721" spans="1:19" x14ac:dyDescent="0.25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e">
        <f>VLOOKUP('Customer Info'!A4713,'Customer Info'!A4713:I5212,2,FALSE)</f>
        <v>#N/A</v>
      </c>
      <c r="H4721" s="6" t="e">
        <f>VLOOKUP('Customer Info'!A4713,'Customer Info'!A4713:I5213,3,FALSE)</f>
        <v>#N/A</v>
      </c>
      <c r="I4721" s="6" t="e">
        <f>VLOOKUP('Customer Info'!A4713,'Customer Info'!A4713:I5212,5,FALSE)</f>
        <v>#N/A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176</v>
      </c>
      <c r="R4721" s="2" t="s">
        <v>28</v>
      </c>
      <c r="S4721" s="9">
        <f t="shared" si="369"/>
        <v>0.02</v>
      </c>
    </row>
    <row r="4722" spans="1:19" x14ac:dyDescent="0.25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e">
        <f>VLOOKUP('Customer Info'!A4714,'Customer Info'!A4714:I5213,2,FALSE)</f>
        <v>#N/A</v>
      </c>
      <c r="H4722" s="6" t="e">
        <f>VLOOKUP('Customer Info'!A4714,'Customer Info'!A4714:I5214,3,FALSE)</f>
        <v>#N/A</v>
      </c>
      <c r="I4722" s="6" t="e">
        <f>VLOOKUP('Customer Info'!A4714,'Customer Info'!A4714:I5213,5,FALSE)</f>
        <v>#N/A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731</v>
      </c>
      <c r="R4722" s="2" t="s">
        <v>28</v>
      </c>
      <c r="S4722" s="9">
        <f t="shared" si="369"/>
        <v>0.05</v>
      </c>
    </row>
    <row r="4723" spans="1:19" x14ac:dyDescent="0.25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e">
        <f>VLOOKUP('Customer Info'!A4715,'Customer Info'!A4715:I5214,2,FALSE)</f>
        <v>#N/A</v>
      </c>
      <c r="H4723" s="6" t="e">
        <f>VLOOKUP('Customer Info'!A4715,'Customer Info'!A4715:I5215,3,FALSE)</f>
        <v>#N/A</v>
      </c>
      <c r="I4723" s="6" t="e">
        <f>VLOOKUP('Customer Info'!A4715,'Customer Info'!A4715:I5214,5,FALSE)</f>
        <v>#N/A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91</v>
      </c>
      <c r="R4723" s="2" t="s">
        <v>50</v>
      </c>
      <c r="S4723" s="9">
        <f t="shared" si="369"/>
        <v>0.02</v>
      </c>
    </row>
    <row r="4724" spans="1:19" x14ac:dyDescent="0.25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e">
        <f>VLOOKUP('Customer Info'!A4716,'Customer Info'!A4716:I5215,2,FALSE)</f>
        <v>#N/A</v>
      </c>
      <c r="H4724" s="6" t="e">
        <f>VLOOKUP('Customer Info'!A4716,'Customer Info'!A4716:I5216,3,FALSE)</f>
        <v>#N/A</v>
      </c>
      <c r="I4724" s="6" t="e">
        <f>VLOOKUP('Customer Info'!A4716,'Customer Info'!A4716:I5215,5,FALSE)</f>
        <v>#N/A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360</v>
      </c>
      <c r="R4724" s="2" t="s">
        <v>50</v>
      </c>
      <c r="S4724" s="9">
        <f t="shared" si="369"/>
        <v>0.05</v>
      </c>
    </row>
    <row r="4725" spans="1:19" x14ac:dyDescent="0.25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e">
        <f>VLOOKUP('Customer Info'!A4717,'Customer Info'!A4717:I5216,2,FALSE)</f>
        <v>#N/A</v>
      </c>
      <c r="H4725" s="6" t="e">
        <f>VLOOKUP('Customer Info'!A4717,'Customer Info'!A4717:I5217,3,FALSE)</f>
        <v>#N/A</v>
      </c>
      <c r="I4725" s="6" t="e">
        <f>VLOOKUP('Customer Info'!A4717,'Customer Info'!A4717:I5216,5,FALSE)</f>
        <v>#N/A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448</v>
      </c>
      <c r="R4725" s="2" t="s">
        <v>50</v>
      </c>
      <c r="S4725" s="9">
        <f t="shared" si="369"/>
        <v>0.05</v>
      </c>
    </row>
    <row r="4726" spans="1:19" x14ac:dyDescent="0.25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e">
        <f>VLOOKUP('Customer Info'!A4718,'Customer Info'!A4718:I5217,2,FALSE)</f>
        <v>#N/A</v>
      </c>
      <c r="H4726" s="6" t="e">
        <f>VLOOKUP('Customer Info'!A4718,'Customer Info'!A4718:I5218,3,FALSE)</f>
        <v>#N/A</v>
      </c>
      <c r="I4726" s="6" t="e">
        <f>VLOOKUP('Customer Info'!A4718,'Customer Info'!A4718:I5217,5,FALSE)</f>
        <v>#N/A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90</v>
      </c>
      <c r="R4726" s="2" t="s">
        <v>26</v>
      </c>
      <c r="S4726" s="9">
        <f t="shared" si="369"/>
        <v>0.02</v>
      </c>
    </row>
    <row r="4727" spans="1:19" x14ac:dyDescent="0.25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e">
        <f>VLOOKUP('Customer Info'!A4719,'Customer Info'!A4719:I5218,2,FALSE)</f>
        <v>#N/A</v>
      </c>
      <c r="H4727" s="6" t="e">
        <f>VLOOKUP('Customer Info'!A4719,'Customer Info'!A4719:I5219,3,FALSE)</f>
        <v>#N/A</v>
      </c>
      <c r="I4727" s="6" t="e">
        <f>VLOOKUP('Customer Info'!A4719,'Customer Info'!A4719:I5218,5,FALSE)</f>
        <v>#N/A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410</v>
      </c>
      <c r="R4727" s="2" t="s">
        <v>50</v>
      </c>
      <c r="S4727" s="9">
        <f t="shared" si="369"/>
        <v>0.05</v>
      </c>
    </row>
    <row r="4728" spans="1:19" x14ac:dyDescent="0.25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e">
        <f>VLOOKUP('Customer Info'!A4720,'Customer Info'!A4720:I5219,2,FALSE)</f>
        <v>#N/A</v>
      </c>
      <c r="H4728" s="6" t="e">
        <f>VLOOKUP('Customer Info'!A4720,'Customer Info'!A4720:I5220,3,FALSE)</f>
        <v>#N/A</v>
      </c>
      <c r="I4728" s="6" t="e">
        <f>VLOOKUP('Customer Info'!A4720,'Customer Info'!A4720:I5219,5,FALSE)</f>
        <v>#N/A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3797</v>
      </c>
      <c r="R4728" s="2" t="s">
        <v>26</v>
      </c>
      <c r="S4728" s="9">
        <f t="shared" si="369"/>
        <v>7.0000000000000007E-2</v>
      </c>
    </row>
    <row r="4729" spans="1:19" x14ac:dyDescent="0.25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e">
        <f>VLOOKUP('Customer Info'!A4721,'Customer Info'!A4721:I5220,2,FALSE)</f>
        <v>#N/A</v>
      </c>
      <c r="H4729" s="6" t="e">
        <f>VLOOKUP('Customer Info'!A4721,'Customer Info'!A4721:I5221,3,FALSE)</f>
        <v>#N/A</v>
      </c>
      <c r="I4729" s="6" t="e">
        <f>VLOOKUP('Customer Info'!A4721,'Customer Info'!A4721:I5220,5,FALSE)</f>
        <v>#N/A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318</v>
      </c>
      <c r="R4729" s="2" t="s">
        <v>26</v>
      </c>
      <c r="S4729" s="9">
        <f t="shared" si="369"/>
        <v>0.05</v>
      </c>
    </row>
    <row r="4730" spans="1:19" x14ac:dyDescent="0.25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e">
        <f>VLOOKUP('Customer Info'!A4722,'Customer Info'!A4722:I5221,2,FALSE)</f>
        <v>#N/A</v>
      </c>
      <c r="H4730" s="6" t="e">
        <f>VLOOKUP('Customer Info'!A4722,'Customer Info'!A4722:I5222,3,FALSE)</f>
        <v>#N/A</v>
      </c>
      <c r="I4730" s="6" t="e">
        <f>VLOOKUP('Customer Info'!A4722,'Customer Info'!A4722:I5221,5,FALSE)</f>
        <v>#N/A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673</v>
      </c>
      <c r="R4730" s="2" t="s">
        <v>50</v>
      </c>
      <c r="S4730" s="9">
        <f t="shared" si="369"/>
        <v>0.05</v>
      </c>
    </row>
    <row r="4731" spans="1:19" x14ac:dyDescent="0.25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e">
        <f>VLOOKUP('Customer Info'!A4723,'Customer Info'!A4723:I5222,2,FALSE)</f>
        <v>#N/A</v>
      </c>
      <c r="H4731" s="6" t="e">
        <f>VLOOKUP('Customer Info'!A4723,'Customer Info'!A4723:I5223,3,FALSE)</f>
        <v>#N/A</v>
      </c>
      <c r="I4731" s="6" t="e">
        <f>VLOOKUP('Customer Info'!A4723,'Customer Info'!A4723:I5222,5,FALSE)</f>
        <v>#N/A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36</v>
      </c>
      <c r="R4731" s="2" t="s">
        <v>50</v>
      </c>
      <c r="S4731" s="9">
        <f t="shared" si="369"/>
        <v>0.02</v>
      </c>
    </row>
    <row r="4732" spans="1:19" x14ac:dyDescent="0.25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e">
        <f>VLOOKUP('Customer Info'!A4724,'Customer Info'!A4724:I5223,2,FALSE)</f>
        <v>#N/A</v>
      </c>
      <c r="H4732" s="6" t="e">
        <f>VLOOKUP('Customer Info'!A4724,'Customer Info'!A4724:I5224,3,FALSE)</f>
        <v>#N/A</v>
      </c>
      <c r="I4732" s="6" t="e">
        <f>VLOOKUP('Customer Info'!A4724,'Customer Info'!A4724:I5223,5,FALSE)</f>
        <v>#N/A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332</v>
      </c>
      <c r="R4732" s="2" t="s">
        <v>28</v>
      </c>
      <c r="S4732" s="9">
        <f t="shared" si="369"/>
        <v>0.02</v>
      </c>
    </row>
    <row r="4733" spans="1:19" x14ac:dyDescent="0.25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e">
        <f>VLOOKUP('Customer Info'!A4725,'Customer Info'!A4725:I5224,2,FALSE)</f>
        <v>#N/A</v>
      </c>
      <c r="H4733" s="6" t="e">
        <f>VLOOKUP('Customer Info'!A4725,'Customer Info'!A4725:I5225,3,FALSE)</f>
        <v>#N/A</v>
      </c>
      <c r="I4733" s="6" t="e">
        <f>VLOOKUP('Customer Info'!A4725,'Customer Info'!A4725:I5224,5,FALSE)</f>
        <v>#N/A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1187</v>
      </c>
      <c r="R4733" s="2" t="s">
        <v>50</v>
      </c>
      <c r="S4733" s="9">
        <f t="shared" si="369"/>
        <v>0.05</v>
      </c>
    </row>
    <row r="4734" spans="1:19" x14ac:dyDescent="0.25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e">
        <f>VLOOKUP('Customer Info'!A4726,'Customer Info'!A4726:I5225,2,FALSE)</f>
        <v>#N/A</v>
      </c>
      <c r="H4734" s="6" t="e">
        <f>VLOOKUP('Customer Info'!A4726,'Customer Info'!A4726:I5226,3,FALSE)</f>
        <v>#N/A</v>
      </c>
      <c r="I4734" s="6" t="e">
        <f>VLOOKUP('Customer Info'!A4726,'Customer Info'!A4726:I5225,5,FALSE)</f>
        <v>#N/A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2017</v>
      </c>
      <c r="R4734" s="2" t="s">
        <v>28</v>
      </c>
      <c r="S4734" s="9">
        <f t="shared" si="369"/>
        <v>0.05</v>
      </c>
    </row>
    <row r="4735" spans="1:19" x14ac:dyDescent="0.25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e">
        <f>VLOOKUP('Customer Info'!A4727,'Customer Info'!A4727:I5226,2,FALSE)</f>
        <v>#N/A</v>
      </c>
      <c r="H4735" s="6" t="e">
        <f>VLOOKUP('Customer Info'!A4727,'Customer Info'!A4727:I5227,3,FALSE)</f>
        <v>#N/A</v>
      </c>
      <c r="I4735" s="6" t="e">
        <f>VLOOKUP('Customer Info'!A4727,'Customer Info'!A4727:I5226,5,FALSE)</f>
        <v>#N/A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25</v>
      </c>
      <c r="R4735" s="2" t="s">
        <v>50</v>
      </c>
      <c r="S4735" s="9">
        <f t="shared" si="369"/>
        <v>0.02</v>
      </c>
    </row>
    <row r="4736" spans="1:19" x14ac:dyDescent="0.25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e">
        <f>VLOOKUP('Customer Info'!A4728,'Customer Info'!A4728:I5227,2,FALSE)</f>
        <v>#N/A</v>
      </c>
      <c r="H4736" s="6" t="e">
        <f>VLOOKUP('Customer Info'!A4728,'Customer Info'!A4728:I5228,3,FALSE)</f>
        <v>#N/A</v>
      </c>
      <c r="I4736" s="6" t="e">
        <f>VLOOKUP('Customer Info'!A4728,'Customer Info'!A4728:I5227,5,FALSE)</f>
        <v>#N/A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3792</v>
      </c>
      <c r="R4736" s="2" t="s">
        <v>28</v>
      </c>
      <c r="S4736" s="9">
        <f t="shared" si="369"/>
        <v>7.0000000000000007E-2</v>
      </c>
    </row>
    <row r="4737" spans="1:19" x14ac:dyDescent="0.25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e">
        <f>VLOOKUP('Customer Info'!A4729,'Customer Info'!A4729:I5228,2,FALSE)</f>
        <v>#N/A</v>
      </c>
      <c r="H4737" s="6" t="e">
        <f>VLOOKUP('Customer Info'!A4729,'Customer Info'!A4729:I5229,3,FALSE)</f>
        <v>#N/A</v>
      </c>
      <c r="I4737" s="6" t="e">
        <f>VLOOKUP('Customer Info'!A4729,'Customer Info'!A4729:I5228,5,FALSE)</f>
        <v>#N/A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147</v>
      </c>
      <c r="R4737" s="2" t="s">
        <v>28</v>
      </c>
      <c r="S4737" s="9">
        <f t="shared" si="369"/>
        <v>0.02</v>
      </c>
    </row>
    <row r="4738" spans="1:19" x14ac:dyDescent="0.25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e">
        <f>VLOOKUP('Customer Info'!A4730,'Customer Info'!A4730:I5229,2,FALSE)</f>
        <v>#N/A</v>
      </c>
      <c r="H4738" s="6" t="e">
        <f>VLOOKUP('Customer Info'!A4730,'Customer Info'!A4730:I5230,3,FALSE)</f>
        <v>#N/A</v>
      </c>
      <c r="I4738" s="6" t="e">
        <f>VLOOKUP('Customer Info'!A4730,'Customer Info'!A4730:I5229,5,FALSE)</f>
        <v>#N/A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15</v>
      </c>
      <c r="R4738" s="2" t="s">
        <v>28</v>
      </c>
      <c r="S4738" s="9">
        <f t="shared" si="369"/>
        <v>0.02</v>
      </c>
    </row>
    <row r="4739" spans="1:19" x14ac:dyDescent="0.25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e">
        <f>VLOOKUP('Customer Info'!A4731,'Customer Info'!A4731:I5230,2,FALSE)</f>
        <v>#N/A</v>
      </c>
      <c r="H4739" s="6" t="e">
        <f>VLOOKUP('Customer Info'!A4731,'Customer Info'!A4731:I5231,3,FALSE)</f>
        <v>#N/A</v>
      </c>
      <c r="I4739" s="6" t="e">
        <f>VLOOKUP('Customer Info'!A4731,'Customer Info'!A4731:I5230,5,FALSE)</f>
        <v>#N/A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377</v>
      </c>
      <c r="R4739" s="2" t="s">
        <v>28</v>
      </c>
      <c r="S4739" s="9">
        <f t="shared" si="369"/>
        <v>0.05</v>
      </c>
    </row>
    <row r="4740" spans="1:19" x14ac:dyDescent="0.25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e">
        <f>VLOOKUP('Customer Info'!A4732,'Customer Info'!A4732:I5231,2,FALSE)</f>
        <v>#N/A</v>
      </c>
      <c r="H4740" s="6" t="e">
        <f>VLOOKUP('Customer Info'!A4732,'Customer Info'!A4732:I5232,3,FALSE)</f>
        <v>#N/A</v>
      </c>
      <c r="I4740" s="6" t="e">
        <f>VLOOKUP('Customer Info'!A4732,'Customer Info'!A4732:I5231,5,FALSE)</f>
        <v>#N/A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668</v>
      </c>
      <c r="R4740" s="2" t="s">
        <v>28</v>
      </c>
      <c r="S4740" s="9">
        <f t="shared" si="369"/>
        <v>0.05</v>
      </c>
    </row>
    <row r="4741" spans="1:19" x14ac:dyDescent="0.25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e">
        <f>VLOOKUP('Customer Info'!A4733,'Customer Info'!A4733:I5232,2,FALSE)</f>
        <v>#N/A</v>
      </c>
      <c r="H4741" s="6" t="e">
        <f>VLOOKUP('Customer Info'!A4733,'Customer Info'!A4733:I5233,3,FALSE)</f>
        <v>#N/A</v>
      </c>
      <c r="I4741" s="6" t="e">
        <f>VLOOKUP('Customer Info'!A4733,'Customer Info'!A4733:I5232,5,FALSE)</f>
        <v>#N/A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866</v>
      </c>
      <c r="R4741" s="2" t="s">
        <v>28</v>
      </c>
      <c r="S4741" s="9">
        <f t="shared" si="369"/>
        <v>0.05</v>
      </c>
    </row>
    <row r="4742" spans="1:19" x14ac:dyDescent="0.25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e">
        <f>VLOOKUP('Customer Info'!A4734,'Customer Info'!A4734:I5233,2,FALSE)</f>
        <v>#N/A</v>
      </c>
      <c r="H4742" s="6" t="e">
        <f>VLOOKUP('Customer Info'!A4734,'Customer Info'!A4734:I5234,3,FALSE)</f>
        <v>#N/A</v>
      </c>
      <c r="I4742" s="6" t="e">
        <f>VLOOKUP('Customer Info'!A4734,'Customer Info'!A4734:I5233,5,FALSE)</f>
        <v>#N/A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330</v>
      </c>
      <c r="R4742" s="2" t="s">
        <v>50</v>
      </c>
      <c r="S4742" s="9">
        <f t="shared" si="369"/>
        <v>0.05</v>
      </c>
    </row>
    <row r="4743" spans="1:19" x14ac:dyDescent="0.25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e">
        <f>VLOOKUP('Customer Info'!A4735,'Customer Info'!A4735:I5234,2,FALSE)</f>
        <v>#N/A</v>
      </c>
      <c r="H4743" s="6" t="e">
        <f>VLOOKUP('Customer Info'!A4735,'Customer Info'!A4735:I5235,3,FALSE)</f>
        <v>#N/A</v>
      </c>
      <c r="I4743" s="6" t="e">
        <f>VLOOKUP('Customer Info'!A4735,'Customer Info'!A4735:I5234,5,FALSE)</f>
        <v>#N/A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36</v>
      </c>
      <c r="R4743" s="2" t="s">
        <v>50</v>
      </c>
      <c r="S4743" s="9">
        <f t="shared" si="369"/>
        <v>0.02</v>
      </c>
    </row>
    <row r="4744" spans="1:19" x14ac:dyDescent="0.25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e">
        <f>VLOOKUP('Customer Info'!A4736,'Customer Info'!A4736:I5235,2,FALSE)</f>
        <v>#N/A</v>
      </c>
      <c r="H4744" s="6" t="e">
        <f>VLOOKUP('Customer Info'!A4736,'Customer Info'!A4736:I5236,3,FALSE)</f>
        <v>#N/A</v>
      </c>
      <c r="I4744" s="6" t="e">
        <f>VLOOKUP('Customer Info'!A4736,'Customer Info'!A4736:I5235,5,FALSE)</f>
        <v>#N/A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2574</v>
      </c>
      <c r="R4744" s="2" t="s">
        <v>50</v>
      </c>
      <c r="S4744" s="9">
        <f t="shared" si="369"/>
        <v>7.0000000000000007E-2</v>
      </c>
    </row>
    <row r="4745" spans="1:19" x14ac:dyDescent="0.25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e">
        <f>VLOOKUP('Customer Info'!A4737,'Customer Info'!A4737:I5236,2,FALSE)</f>
        <v>#N/A</v>
      </c>
      <c r="H4745" s="6" t="e">
        <f>VLOOKUP('Customer Info'!A4737,'Customer Info'!A4737:I5237,3,FALSE)</f>
        <v>#N/A</v>
      </c>
      <c r="I4745" s="6" t="e">
        <f>VLOOKUP('Customer Info'!A4737,'Customer Info'!A4737:I5236,5,FALSE)</f>
        <v>#N/A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411</v>
      </c>
      <c r="R4745" s="2" t="s">
        <v>56</v>
      </c>
      <c r="S4745" s="9">
        <f t="shared" si="369"/>
        <v>0.05</v>
      </c>
    </row>
    <row r="4746" spans="1:19" x14ac:dyDescent="0.25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e">
        <f>VLOOKUP('Customer Info'!A4738,'Customer Info'!A4738:I5237,2,FALSE)</f>
        <v>#N/A</v>
      </c>
      <c r="H4746" s="6" t="e">
        <f>VLOOKUP('Customer Info'!A4738,'Customer Info'!A4738:I5238,3,FALSE)</f>
        <v>#N/A</v>
      </c>
      <c r="I4746" s="6" t="e">
        <f>VLOOKUP('Customer Info'!A4738,'Customer Info'!A4738:I5237,5,FALSE)</f>
        <v>#N/A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14</v>
      </c>
      <c r="R4746" s="2" t="s">
        <v>28</v>
      </c>
      <c r="S4746" s="9">
        <f t="shared" si="369"/>
        <v>0.02</v>
      </c>
    </row>
    <row r="4747" spans="1:19" x14ac:dyDescent="0.25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e">
        <f>VLOOKUP('Customer Info'!A4739,'Customer Info'!A4739:I5238,2,FALSE)</f>
        <v>#N/A</v>
      </c>
      <c r="H4747" s="6" t="e">
        <f>VLOOKUP('Customer Info'!A4739,'Customer Info'!A4739:I5239,3,FALSE)</f>
        <v>#N/A</v>
      </c>
      <c r="I4747" s="6" t="e">
        <f>VLOOKUP('Customer Info'!A4739,'Customer Info'!A4739:I5238,5,FALSE)</f>
        <v>#N/A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8">
        <f t="shared" ref="P4747:P4810" si="372">N4747+O4747</f>
        <v>3287</v>
      </c>
      <c r="Q4747" s="8">
        <f t="shared" ref="Q4747:Q4810" si="373">P4747-M4747</f>
        <v>338</v>
      </c>
      <c r="R4747" s="2" t="s">
        <v>28</v>
      </c>
      <c r="S4747" s="9">
        <f t="shared" ref="S4747:S4810" si="374">VLOOKUP(P4747,$T$2:$U$7,2,TRUE)</f>
        <v>0.02</v>
      </c>
    </row>
    <row r="4748" spans="1:19" x14ac:dyDescent="0.25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e">
        <f>VLOOKUP('Customer Info'!A4740,'Customer Info'!A4740:I5239,2,FALSE)</f>
        <v>#N/A</v>
      </c>
      <c r="H4748" s="6" t="e">
        <f>VLOOKUP('Customer Info'!A4740,'Customer Info'!A4740:I5240,3,FALSE)</f>
        <v>#N/A</v>
      </c>
      <c r="I4748" s="6" t="e">
        <f>VLOOKUP('Customer Info'!A4740,'Customer Info'!A4740:I5239,5,FALSE)</f>
        <v>#N/A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90</v>
      </c>
      <c r="R4748" s="2" t="s">
        <v>28</v>
      </c>
      <c r="S4748" s="9">
        <f t="shared" si="374"/>
        <v>0.02</v>
      </c>
    </row>
    <row r="4749" spans="1:19" x14ac:dyDescent="0.25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e">
        <f>VLOOKUP('Customer Info'!A4741,'Customer Info'!A4741:I5240,2,FALSE)</f>
        <v>#N/A</v>
      </c>
      <c r="H4749" s="6" t="e">
        <f>VLOOKUP('Customer Info'!A4741,'Customer Info'!A4741:I5241,3,FALSE)</f>
        <v>#N/A</v>
      </c>
      <c r="I4749" s="6" t="e">
        <f>VLOOKUP('Customer Info'!A4741,'Customer Info'!A4741:I5240,5,FALSE)</f>
        <v>#N/A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1848</v>
      </c>
      <c r="R4749" s="2" t="s">
        <v>26</v>
      </c>
      <c r="S4749" s="9">
        <f t="shared" si="374"/>
        <v>0.05</v>
      </c>
    </row>
    <row r="4750" spans="1:19" x14ac:dyDescent="0.25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e">
        <f>VLOOKUP('Customer Info'!A4742,'Customer Info'!A4742:I5241,2,FALSE)</f>
        <v>#N/A</v>
      </c>
      <c r="H4750" s="6" t="e">
        <f>VLOOKUP('Customer Info'!A4742,'Customer Info'!A4742:I5242,3,FALSE)</f>
        <v>#N/A</v>
      </c>
      <c r="I4750" s="6" t="e">
        <f>VLOOKUP('Customer Info'!A4742,'Customer Info'!A4742:I5241,5,FALSE)</f>
        <v>#N/A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648</v>
      </c>
      <c r="R4750" s="2" t="s">
        <v>28</v>
      </c>
      <c r="S4750" s="9">
        <f t="shared" si="374"/>
        <v>0.05</v>
      </c>
    </row>
    <row r="4751" spans="1:19" x14ac:dyDescent="0.25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e">
        <f>VLOOKUP('Customer Info'!A4743,'Customer Info'!A4743:I5242,2,FALSE)</f>
        <v>#N/A</v>
      </c>
      <c r="H4751" s="6" t="e">
        <f>VLOOKUP('Customer Info'!A4743,'Customer Info'!A4743:I5243,3,FALSE)</f>
        <v>#N/A</v>
      </c>
      <c r="I4751" s="6" t="e">
        <f>VLOOKUP('Customer Info'!A4743,'Customer Info'!A4743:I5242,5,FALSE)</f>
        <v>#N/A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1641</v>
      </c>
      <c r="R4751" s="2" t="s">
        <v>28</v>
      </c>
      <c r="S4751" s="9">
        <f t="shared" si="374"/>
        <v>0.05</v>
      </c>
    </row>
    <row r="4752" spans="1:19" x14ac:dyDescent="0.25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e">
        <f>VLOOKUP('Customer Info'!A4744,'Customer Info'!A4744:I5243,2,FALSE)</f>
        <v>#N/A</v>
      </c>
      <c r="H4752" s="6" t="e">
        <f>VLOOKUP('Customer Info'!A4744,'Customer Info'!A4744:I5244,3,FALSE)</f>
        <v>#N/A</v>
      </c>
      <c r="I4752" s="6" t="e">
        <f>VLOOKUP('Customer Info'!A4744,'Customer Info'!A4744:I5243,5,FALSE)</f>
        <v>#N/A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559</v>
      </c>
      <c r="R4752" s="2" t="s">
        <v>28</v>
      </c>
      <c r="S4752" s="9">
        <f t="shared" si="374"/>
        <v>0.05</v>
      </c>
    </row>
    <row r="4753" spans="1:19" x14ac:dyDescent="0.25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e">
        <f>VLOOKUP('Customer Info'!A4745,'Customer Info'!A4745:I5244,2,FALSE)</f>
        <v>#N/A</v>
      </c>
      <c r="H4753" s="6" t="e">
        <f>VLOOKUP('Customer Info'!A4745,'Customer Info'!A4745:I5245,3,FALSE)</f>
        <v>#N/A</v>
      </c>
      <c r="I4753" s="6" t="e">
        <f>VLOOKUP('Customer Info'!A4745,'Customer Info'!A4745:I5244,5,FALSE)</f>
        <v>#N/A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20</v>
      </c>
      <c r="R4753" s="2" t="s">
        <v>50</v>
      </c>
      <c r="S4753" s="9">
        <f t="shared" si="374"/>
        <v>0.02</v>
      </c>
    </row>
    <row r="4754" spans="1:19" x14ac:dyDescent="0.25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e">
        <f>VLOOKUP('Customer Info'!A4746,'Customer Info'!A4746:I5245,2,FALSE)</f>
        <v>#N/A</v>
      </c>
      <c r="H4754" s="6" t="e">
        <f>VLOOKUP('Customer Info'!A4746,'Customer Info'!A4746:I5246,3,FALSE)</f>
        <v>#N/A</v>
      </c>
      <c r="I4754" s="6" t="e">
        <f>VLOOKUP('Customer Info'!A4746,'Customer Info'!A4746:I5245,5,FALSE)</f>
        <v>#N/A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291</v>
      </c>
      <c r="R4754" s="2" t="s">
        <v>28</v>
      </c>
      <c r="S4754" s="9">
        <f t="shared" si="374"/>
        <v>0.02</v>
      </c>
    </row>
    <row r="4755" spans="1:19" x14ac:dyDescent="0.25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e">
        <f>VLOOKUP('Customer Info'!A4747,'Customer Info'!A4747:I5246,2,FALSE)</f>
        <v>#N/A</v>
      </c>
      <c r="H4755" s="6" t="e">
        <f>VLOOKUP('Customer Info'!A4747,'Customer Info'!A4747:I5247,3,FALSE)</f>
        <v>#N/A</v>
      </c>
      <c r="I4755" s="6" t="e">
        <f>VLOOKUP('Customer Info'!A4747,'Customer Info'!A4747:I5246,5,FALSE)</f>
        <v>#N/A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1026</v>
      </c>
      <c r="R4755" s="2" t="s">
        <v>50</v>
      </c>
      <c r="S4755" s="9">
        <f t="shared" si="374"/>
        <v>0.05</v>
      </c>
    </row>
    <row r="4756" spans="1:19" x14ac:dyDescent="0.25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e">
        <f>VLOOKUP('Customer Info'!A4748,'Customer Info'!A4748:I5247,2,FALSE)</f>
        <v>#N/A</v>
      </c>
      <c r="H4756" s="6" t="e">
        <f>VLOOKUP('Customer Info'!A4748,'Customer Info'!A4748:I5248,3,FALSE)</f>
        <v>#N/A</v>
      </c>
      <c r="I4756" s="6" t="e">
        <f>VLOOKUP('Customer Info'!A4748,'Customer Info'!A4748:I5247,5,FALSE)</f>
        <v>#N/A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662</v>
      </c>
      <c r="R4756" s="2" t="s">
        <v>28</v>
      </c>
      <c r="S4756" s="9">
        <f t="shared" si="374"/>
        <v>0.02</v>
      </c>
    </row>
    <row r="4757" spans="1:19" x14ac:dyDescent="0.25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e">
        <f>VLOOKUP('Customer Info'!A4749,'Customer Info'!A4749:I5248,2,FALSE)</f>
        <v>#N/A</v>
      </c>
      <c r="H4757" s="6" t="e">
        <f>VLOOKUP('Customer Info'!A4749,'Customer Info'!A4749:I5249,3,FALSE)</f>
        <v>#N/A</v>
      </c>
      <c r="I4757" s="6" t="e">
        <f>VLOOKUP('Customer Info'!A4749,'Customer Info'!A4749:I5248,5,FALSE)</f>
        <v>#N/A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1043</v>
      </c>
      <c r="R4757" s="2" t="s">
        <v>50</v>
      </c>
      <c r="S4757" s="9">
        <f t="shared" si="374"/>
        <v>7.0000000000000007E-2</v>
      </c>
    </row>
    <row r="4758" spans="1:19" x14ac:dyDescent="0.25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e">
        <f>VLOOKUP('Customer Info'!A4750,'Customer Info'!A4750:I5249,2,FALSE)</f>
        <v>#N/A</v>
      </c>
      <c r="H4758" s="6" t="e">
        <f>VLOOKUP('Customer Info'!A4750,'Customer Info'!A4750:I5250,3,FALSE)</f>
        <v>#N/A</v>
      </c>
      <c r="I4758" s="6" t="e">
        <f>VLOOKUP('Customer Info'!A4750,'Customer Info'!A4750:I5249,5,FALSE)</f>
        <v>#N/A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266</v>
      </c>
      <c r="R4758" s="2" t="s">
        <v>50</v>
      </c>
      <c r="S4758" s="9">
        <f t="shared" si="374"/>
        <v>0.05</v>
      </c>
    </row>
    <row r="4759" spans="1:19" x14ac:dyDescent="0.25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e">
        <f>VLOOKUP('Customer Info'!A4751,'Customer Info'!A4751:I5250,2,FALSE)</f>
        <v>#N/A</v>
      </c>
      <c r="H4759" s="6" t="e">
        <f>VLOOKUP('Customer Info'!A4751,'Customer Info'!A4751:I5251,3,FALSE)</f>
        <v>#N/A</v>
      </c>
      <c r="I4759" s="6" t="e">
        <f>VLOOKUP('Customer Info'!A4751,'Customer Info'!A4751:I5250,5,FALSE)</f>
        <v>#N/A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217</v>
      </c>
      <c r="R4759" s="2" t="s">
        <v>28</v>
      </c>
      <c r="S4759" s="9">
        <f t="shared" si="374"/>
        <v>0.02</v>
      </c>
    </row>
    <row r="4760" spans="1:19" x14ac:dyDescent="0.25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e">
        <f>VLOOKUP('Customer Info'!A4752,'Customer Info'!A4752:I5251,2,FALSE)</f>
        <v>#N/A</v>
      </c>
      <c r="H4760" s="6" t="e">
        <f>VLOOKUP('Customer Info'!A4752,'Customer Info'!A4752:I5252,3,FALSE)</f>
        <v>#N/A</v>
      </c>
      <c r="I4760" s="6" t="e">
        <f>VLOOKUP('Customer Info'!A4752,'Customer Info'!A4752:I5251,5,FALSE)</f>
        <v>#N/A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142</v>
      </c>
      <c r="R4760" s="2" t="s">
        <v>50</v>
      </c>
      <c r="S4760" s="9">
        <f t="shared" si="374"/>
        <v>0.05</v>
      </c>
    </row>
    <row r="4761" spans="1:19" x14ac:dyDescent="0.25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e">
        <f>VLOOKUP('Customer Info'!A4753,'Customer Info'!A4753:I5252,2,FALSE)</f>
        <v>#N/A</v>
      </c>
      <c r="H4761" s="6" t="e">
        <f>VLOOKUP('Customer Info'!A4753,'Customer Info'!A4753:I5253,3,FALSE)</f>
        <v>#N/A</v>
      </c>
      <c r="I4761" s="6" t="e">
        <f>VLOOKUP('Customer Info'!A4753,'Customer Info'!A4753:I5252,5,FALSE)</f>
        <v>#N/A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52</v>
      </c>
      <c r="R4761" s="2" t="s">
        <v>28</v>
      </c>
      <c r="S4761" s="9">
        <f t="shared" si="374"/>
        <v>0.02</v>
      </c>
    </row>
    <row r="4762" spans="1:19" x14ac:dyDescent="0.25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e">
        <f>VLOOKUP('Customer Info'!A4754,'Customer Info'!A4754:I5253,2,FALSE)</f>
        <v>#N/A</v>
      </c>
      <c r="H4762" s="6" t="e">
        <f>VLOOKUP('Customer Info'!A4754,'Customer Info'!A4754:I5254,3,FALSE)</f>
        <v>#N/A</v>
      </c>
      <c r="I4762" s="6" t="e">
        <f>VLOOKUP('Customer Info'!A4754,'Customer Info'!A4754:I5253,5,FALSE)</f>
        <v>#N/A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114</v>
      </c>
      <c r="R4762" s="2" t="s">
        <v>50</v>
      </c>
      <c r="S4762" s="9">
        <f t="shared" si="374"/>
        <v>0.02</v>
      </c>
    </row>
    <row r="4763" spans="1:19" x14ac:dyDescent="0.25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e">
        <f>VLOOKUP('Customer Info'!A4755,'Customer Info'!A4755:I5254,2,FALSE)</f>
        <v>#N/A</v>
      </c>
      <c r="H4763" s="6" t="e">
        <f>VLOOKUP('Customer Info'!A4755,'Customer Info'!A4755:I5255,3,FALSE)</f>
        <v>#N/A</v>
      </c>
      <c r="I4763" s="6" t="e">
        <f>VLOOKUP('Customer Info'!A4755,'Customer Info'!A4755:I5254,5,FALSE)</f>
        <v>#N/A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201</v>
      </c>
      <c r="R4763" s="2" t="s">
        <v>28</v>
      </c>
      <c r="S4763" s="9">
        <f t="shared" si="374"/>
        <v>0.02</v>
      </c>
    </row>
    <row r="4764" spans="1:19" x14ac:dyDescent="0.25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e">
        <f>VLOOKUP('Customer Info'!A4756,'Customer Info'!A4756:I5255,2,FALSE)</f>
        <v>#N/A</v>
      </c>
      <c r="H4764" s="6" t="e">
        <f>VLOOKUP('Customer Info'!A4756,'Customer Info'!A4756:I5256,3,FALSE)</f>
        <v>#N/A</v>
      </c>
      <c r="I4764" s="6" t="e">
        <f>VLOOKUP('Customer Info'!A4756,'Customer Info'!A4756:I5255,5,FALSE)</f>
        <v>#N/A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3076</v>
      </c>
      <c r="R4764" s="2" t="s">
        <v>56</v>
      </c>
      <c r="S4764" s="9">
        <f t="shared" si="374"/>
        <v>7.0000000000000007E-2</v>
      </c>
    </row>
    <row r="4765" spans="1:19" x14ac:dyDescent="0.25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e">
        <f>VLOOKUP('Customer Info'!A4757,'Customer Info'!A4757:I5256,2,FALSE)</f>
        <v>#N/A</v>
      </c>
      <c r="H4765" s="6" t="e">
        <f>VLOOKUP('Customer Info'!A4757,'Customer Info'!A4757:I5257,3,FALSE)</f>
        <v>#N/A</v>
      </c>
      <c r="I4765" s="6" t="e">
        <f>VLOOKUP('Customer Info'!A4757,'Customer Info'!A4757:I5256,5,FALSE)</f>
        <v>#N/A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30</v>
      </c>
      <c r="R4765" s="2" t="s">
        <v>28</v>
      </c>
      <c r="S4765" s="9">
        <f t="shared" si="374"/>
        <v>0.02</v>
      </c>
    </row>
    <row r="4766" spans="1:19" x14ac:dyDescent="0.25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e">
        <f>VLOOKUP('Customer Info'!A4758,'Customer Info'!A4758:I5257,2,FALSE)</f>
        <v>#N/A</v>
      </c>
      <c r="H4766" s="6" t="e">
        <f>VLOOKUP('Customer Info'!A4758,'Customer Info'!A4758:I5258,3,FALSE)</f>
        <v>#N/A</v>
      </c>
      <c r="I4766" s="6" t="e">
        <f>VLOOKUP('Customer Info'!A4758,'Customer Info'!A4758:I5257,5,FALSE)</f>
        <v>#N/A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85</v>
      </c>
      <c r="R4766" s="2" t="s">
        <v>28</v>
      </c>
      <c r="S4766" s="9">
        <f t="shared" si="374"/>
        <v>0.02</v>
      </c>
    </row>
    <row r="4767" spans="1:19" x14ac:dyDescent="0.25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e">
        <f>VLOOKUP('Customer Info'!A4759,'Customer Info'!A4759:I5258,2,FALSE)</f>
        <v>#N/A</v>
      </c>
      <c r="H4767" s="6" t="e">
        <f>VLOOKUP('Customer Info'!A4759,'Customer Info'!A4759:I5259,3,FALSE)</f>
        <v>#N/A</v>
      </c>
      <c r="I4767" s="6" t="e">
        <f>VLOOKUP('Customer Info'!A4759,'Customer Info'!A4759:I5258,5,FALSE)</f>
        <v>#N/A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457</v>
      </c>
      <c r="R4767" s="2" t="s">
        <v>50</v>
      </c>
      <c r="S4767" s="9">
        <f t="shared" si="374"/>
        <v>0.02</v>
      </c>
    </row>
    <row r="4768" spans="1:19" x14ac:dyDescent="0.25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e">
        <f>VLOOKUP('Customer Info'!A4760,'Customer Info'!A4760:I5259,2,FALSE)</f>
        <v>#N/A</v>
      </c>
      <c r="H4768" s="6" t="e">
        <f>VLOOKUP('Customer Info'!A4760,'Customer Info'!A4760:I5260,3,FALSE)</f>
        <v>#N/A</v>
      </c>
      <c r="I4768" s="6" t="e">
        <f>VLOOKUP('Customer Info'!A4760,'Customer Info'!A4760:I5259,5,FALSE)</f>
        <v>#N/A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84</v>
      </c>
      <c r="R4768" s="2" t="s">
        <v>50</v>
      </c>
      <c r="S4768" s="9">
        <f t="shared" si="374"/>
        <v>0.02</v>
      </c>
    </row>
    <row r="4769" spans="1:19" x14ac:dyDescent="0.25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e">
        <f>VLOOKUP('Customer Info'!A4761,'Customer Info'!A4761:I5260,2,FALSE)</f>
        <v>#N/A</v>
      </c>
      <c r="H4769" s="6" t="e">
        <f>VLOOKUP('Customer Info'!A4761,'Customer Info'!A4761:I5261,3,FALSE)</f>
        <v>#N/A</v>
      </c>
      <c r="I4769" s="6" t="e">
        <f>VLOOKUP('Customer Info'!A4761,'Customer Info'!A4761:I5260,5,FALSE)</f>
        <v>#N/A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536</v>
      </c>
      <c r="R4769" s="2" t="s">
        <v>50</v>
      </c>
      <c r="S4769" s="9">
        <f t="shared" si="374"/>
        <v>0.05</v>
      </c>
    </row>
    <row r="4770" spans="1:19" x14ac:dyDescent="0.25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e">
        <f>VLOOKUP('Customer Info'!A4762,'Customer Info'!A4762:I5261,2,FALSE)</f>
        <v>#N/A</v>
      </c>
      <c r="H4770" s="6" t="e">
        <f>VLOOKUP('Customer Info'!A4762,'Customer Info'!A4762:I5262,3,FALSE)</f>
        <v>#N/A</v>
      </c>
      <c r="I4770" s="6" t="e">
        <f>VLOOKUP('Customer Info'!A4762,'Customer Info'!A4762:I5261,5,FALSE)</f>
        <v>#N/A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64</v>
      </c>
      <c r="R4770" s="2" t="s">
        <v>50</v>
      </c>
      <c r="S4770" s="9">
        <f t="shared" si="374"/>
        <v>0.02</v>
      </c>
    </row>
    <row r="4771" spans="1:19" x14ac:dyDescent="0.25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e">
        <f>VLOOKUP('Customer Info'!A4763,'Customer Info'!A4763:I5262,2,FALSE)</f>
        <v>#N/A</v>
      </c>
      <c r="H4771" s="6" t="e">
        <f>VLOOKUP('Customer Info'!A4763,'Customer Info'!A4763:I5263,3,FALSE)</f>
        <v>#N/A</v>
      </c>
      <c r="I4771" s="6" t="e">
        <f>VLOOKUP('Customer Info'!A4763,'Customer Info'!A4763:I5262,5,FALSE)</f>
        <v>#N/A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39</v>
      </c>
      <c r="R4771" s="2" t="s">
        <v>50</v>
      </c>
      <c r="S4771" s="9">
        <f t="shared" si="374"/>
        <v>0.02</v>
      </c>
    </row>
    <row r="4772" spans="1:19" x14ac:dyDescent="0.25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e">
        <f>VLOOKUP('Customer Info'!A4764,'Customer Info'!A4764:I5263,2,FALSE)</f>
        <v>#N/A</v>
      </c>
      <c r="H4772" s="6" t="e">
        <f>VLOOKUP('Customer Info'!A4764,'Customer Info'!A4764:I5264,3,FALSE)</f>
        <v>#N/A</v>
      </c>
      <c r="I4772" s="6" t="e">
        <f>VLOOKUP('Customer Info'!A4764,'Customer Info'!A4764:I5263,5,FALSE)</f>
        <v>#N/A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1444</v>
      </c>
      <c r="R4772" s="2" t="s">
        <v>56</v>
      </c>
      <c r="S4772" s="9">
        <f t="shared" si="374"/>
        <v>0.05</v>
      </c>
    </row>
    <row r="4773" spans="1:19" x14ac:dyDescent="0.25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e">
        <f>VLOOKUP('Customer Info'!A4765,'Customer Info'!A4765:I5264,2,FALSE)</f>
        <v>#N/A</v>
      </c>
      <c r="H4773" s="6" t="e">
        <f>VLOOKUP('Customer Info'!A4765,'Customer Info'!A4765:I5265,3,FALSE)</f>
        <v>#N/A</v>
      </c>
      <c r="I4773" s="6" t="e">
        <f>VLOOKUP('Customer Info'!A4765,'Customer Info'!A4765:I5264,5,FALSE)</f>
        <v>#N/A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14</v>
      </c>
      <c r="R4773" s="2" t="s">
        <v>50</v>
      </c>
      <c r="S4773" s="9">
        <f t="shared" si="374"/>
        <v>0.02</v>
      </c>
    </row>
    <row r="4774" spans="1:19" x14ac:dyDescent="0.25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e">
        <f>VLOOKUP('Customer Info'!A4766,'Customer Info'!A4766:I5265,2,FALSE)</f>
        <v>#N/A</v>
      </c>
      <c r="H4774" s="6" t="e">
        <f>VLOOKUP('Customer Info'!A4766,'Customer Info'!A4766:I5266,3,FALSE)</f>
        <v>#N/A</v>
      </c>
      <c r="I4774" s="6" t="e">
        <f>VLOOKUP('Customer Info'!A4766,'Customer Info'!A4766:I5265,5,FALSE)</f>
        <v>#N/A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567</v>
      </c>
      <c r="R4774" s="2" t="s">
        <v>50</v>
      </c>
      <c r="S4774" s="9">
        <f t="shared" si="374"/>
        <v>0.05</v>
      </c>
    </row>
    <row r="4775" spans="1:19" x14ac:dyDescent="0.25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e">
        <f>VLOOKUP('Customer Info'!A4767,'Customer Info'!A4767:I5266,2,FALSE)</f>
        <v>#N/A</v>
      </c>
      <c r="H4775" s="6" t="e">
        <f>VLOOKUP('Customer Info'!A4767,'Customer Info'!A4767:I5267,3,FALSE)</f>
        <v>#N/A</v>
      </c>
      <c r="I4775" s="6" t="e">
        <f>VLOOKUP('Customer Info'!A4767,'Customer Info'!A4767:I5266,5,FALSE)</f>
        <v>#N/A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498</v>
      </c>
      <c r="R4775" s="2" t="s">
        <v>28</v>
      </c>
      <c r="S4775" s="9">
        <f t="shared" si="374"/>
        <v>0.05</v>
      </c>
    </row>
    <row r="4776" spans="1:19" x14ac:dyDescent="0.25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e">
        <f>VLOOKUP('Customer Info'!A4768,'Customer Info'!A4768:I5267,2,FALSE)</f>
        <v>#N/A</v>
      </c>
      <c r="H4776" s="6" t="e">
        <f>VLOOKUP('Customer Info'!A4768,'Customer Info'!A4768:I5268,3,FALSE)</f>
        <v>#N/A</v>
      </c>
      <c r="I4776" s="6" t="e">
        <f>VLOOKUP('Customer Info'!A4768,'Customer Info'!A4768:I5267,5,FALSE)</f>
        <v>#N/A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126</v>
      </c>
      <c r="R4776" s="2" t="s">
        <v>28</v>
      </c>
      <c r="S4776" s="9">
        <f t="shared" si="374"/>
        <v>0.02</v>
      </c>
    </row>
    <row r="4777" spans="1:19" x14ac:dyDescent="0.25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e">
        <f>VLOOKUP('Customer Info'!A4769,'Customer Info'!A4769:I5268,2,FALSE)</f>
        <v>#N/A</v>
      </c>
      <c r="H4777" s="6" t="e">
        <f>VLOOKUP('Customer Info'!A4769,'Customer Info'!A4769:I5269,3,FALSE)</f>
        <v>#N/A</v>
      </c>
      <c r="I4777" s="6" t="e">
        <f>VLOOKUP('Customer Info'!A4769,'Customer Info'!A4769:I5268,5,FALSE)</f>
        <v>#N/A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839</v>
      </c>
      <c r="R4777" s="2" t="s">
        <v>28</v>
      </c>
      <c r="S4777" s="9">
        <f t="shared" si="374"/>
        <v>0.05</v>
      </c>
    </row>
    <row r="4778" spans="1:19" x14ac:dyDescent="0.25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e">
        <f>VLOOKUP('Customer Info'!A4770,'Customer Info'!A4770:I5269,2,FALSE)</f>
        <v>#N/A</v>
      </c>
      <c r="H4778" s="6" t="e">
        <f>VLOOKUP('Customer Info'!A4770,'Customer Info'!A4770:I5270,3,FALSE)</f>
        <v>#N/A</v>
      </c>
      <c r="I4778" s="6" t="e">
        <f>VLOOKUP('Customer Info'!A4770,'Customer Info'!A4770:I5269,5,FALSE)</f>
        <v>#N/A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110</v>
      </c>
      <c r="R4778" s="2" t="s">
        <v>50</v>
      </c>
      <c r="S4778" s="9">
        <f t="shared" si="374"/>
        <v>0.02</v>
      </c>
    </row>
    <row r="4779" spans="1:19" x14ac:dyDescent="0.25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e">
        <f>VLOOKUP('Customer Info'!A4771,'Customer Info'!A4771:I5270,2,FALSE)</f>
        <v>#N/A</v>
      </c>
      <c r="H4779" s="6" t="e">
        <f>VLOOKUP('Customer Info'!A4771,'Customer Info'!A4771:I5271,3,FALSE)</f>
        <v>#N/A</v>
      </c>
      <c r="I4779" s="6" t="e">
        <f>VLOOKUP('Customer Info'!A4771,'Customer Info'!A4771:I5270,5,FALSE)</f>
        <v>#N/A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2045</v>
      </c>
      <c r="R4779" s="2" t="s">
        <v>50</v>
      </c>
      <c r="S4779" s="9">
        <f t="shared" si="374"/>
        <v>7.0000000000000007E-2</v>
      </c>
    </row>
    <row r="4780" spans="1:19" x14ac:dyDescent="0.25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e">
        <f>VLOOKUP('Customer Info'!A4772,'Customer Info'!A4772:I5271,2,FALSE)</f>
        <v>#N/A</v>
      </c>
      <c r="H4780" s="6" t="e">
        <f>VLOOKUP('Customer Info'!A4772,'Customer Info'!A4772:I5272,3,FALSE)</f>
        <v>#N/A</v>
      </c>
      <c r="I4780" s="6" t="e">
        <f>VLOOKUP('Customer Info'!A4772,'Customer Info'!A4772:I5271,5,FALSE)</f>
        <v>#N/A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1028</v>
      </c>
      <c r="R4780" s="2" t="s">
        <v>28</v>
      </c>
      <c r="S4780" s="9">
        <f t="shared" si="374"/>
        <v>0.05</v>
      </c>
    </row>
    <row r="4781" spans="1:19" x14ac:dyDescent="0.25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e">
        <f>VLOOKUP('Customer Info'!A4773,'Customer Info'!A4773:I5272,2,FALSE)</f>
        <v>#N/A</v>
      </c>
      <c r="H4781" s="6" t="e">
        <f>VLOOKUP('Customer Info'!A4773,'Customer Info'!A4773:I5273,3,FALSE)</f>
        <v>#N/A</v>
      </c>
      <c r="I4781" s="6" t="e">
        <f>VLOOKUP('Customer Info'!A4773,'Customer Info'!A4773:I5272,5,FALSE)</f>
        <v>#N/A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75</v>
      </c>
      <c r="R4781" s="2" t="s">
        <v>50</v>
      </c>
      <c r="S4781" s="9">
        <f t="shared" si="374"/>
        <v>0.02</v>
      </c>
    </row>
    <row r="4782" spans="1:19" x14ac:dyDescent="0.25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e">
        <f>VLOOKUP('Customer Info'!A4774,'Customer Info'!A4774:I5273,2,FALSE)</f>
        <v>#N/A</v>
      </c>
      <c r="H4782" s="6" t="e">
        <f>VLOOKUP('Customer Info'!A4774,'Customer Info'!A4774:I5274,3,FALSE)</f>
        <v>#N/A</v>
      </c>
      <c r="I4782" s="6" t="e">
        <f>VLOOKUP('Customer Info'!A4774,'Customer Info'!A4774:I5273,5,FALSE)</f>
        <v>#N/A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107</v>
      </c>
      <c r="R4782" s="2" t="s">
        <v>50</v>
      </c>
      <c r="S4782" s="9">
        <f t="shared" si="374"/>
        <v>0.02</v>
      </c>
    </row>
    <row r="4783" spans="1:19" x14ac:dyDescent="0.25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e">
        <f>VLOOKUP('Customer Info'!A4775,'Customer Info'!A4775:I5274,2,FALSE)</f>
        <v>#N/A</v>
      </c>
      <c r="H4783" s="6" t="e">
        <f>VLOOKUP('Customer Info'!A4775,'Customer Info'!A4775:I5275,3,FALSE)</f>
        <v>#N/A</v>
      </c>
      <c r="I4783" s="6" t="e">
        <f>VLOOKUP('Customer Info'!A4775,'Customer Info'!A4775:I5274,5,FALSE)</f>
        <v>#N/A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2090</v>
      </c>
      <c r="R4783" s="2" t="s">
        <v>28</v>
      </c>
      <c r="S4783" s="9">
        <f t="shared" si="374"/>
        <v>0.05</v>
      </c>
    </row>
    <row r="4784" spans="1:19" x14ac:dyDescent="0.25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e">
        <f>VLOOKUP('Customer Info'!A4776,'Customer Info'!A4776:I5275,2,FALSE)</f>
        <v>#N/A</v>
      </c>
      <c r="H4784" s="6" t="e">
        <f>VLOOKUP('Customer Info'!A4776,'Customer Info'!A4776:I5276,3,FALSE)</f>
        <v>#N/A</v>
      </c>
      <c r="I4784" s="6" t="e">
        <f>VLOOKUP('Customer Info'!A4776,'Customer Info'!A4776:I5275,5,FALSE)</f>
        <v>#N/A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565</v>
      </c>
      <c r="R4784" s="2" t="s">
        <v>28</v>
      </c>
      <c r="S4784" s="9">
        <f t="shared" si="374"/>
        <v>0.05</v>
      </c>
    </row>
    <row r="4785" spans="1:19" x14ac:dyDescent="0.25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e">
        <f>VLOOKUP('Customer Info'!A4777,'Customer Info'!A4777:I5276,2,FALSE)</f>
        <v>#N/A</v>
      </c>
      <c r="H4785" s="6" t="e">
        <f>VLOOKUP('Customer Info'!A4777,'Customer Info'!A4777:I5277,3,FALSE)</f>
        <v>#N/A</v>
      </c>
      <c r="I4785" s="6" t="e">
        <f>VLOOKUP('Customer Info'!A4777,'Customer Info'!A4777:I5276,5,FALSE)</f>
        <v>#N/A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198</v>
      </c>
      <c r="R4785" s="2" t="s">
        <v>50</v>
      </c>
      <c r="S4785" s="9">
        <f t="shared" si="374"/>
        <v>0.02</v>
      </c>
    </row>
    <row r="4786" spans="1:19" x14ac:dyDescent="0.25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e">
        <f>VLOOKUP('Customer Info'!A4778,'Customer Info'!A4778:I5277,2,FALSE)</f>
        <v>#N/A</v>
      </c>
      <c r="H4786" s="6" t="e">
        <f>VLOOKUP('Customer Info'!A4778,'Customer Info'!A4778:I5278,3,FALSE)</f>
        <v>#N/A</v>
      </c>
      <c r="I4786" s="6" t="e">
        <f>VLOOKUP('Customer Info'!A4778,'Customer Info'!A4778:I5277,5,FALSE)</f>
        <v>#N/A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78</v>
      </c>
      <c r="R4786" s="2" t="s">
        <v>28</v>
      </c>
      <c r="S4786" s="9">
        <f t="shared" si="374"/>
        <v>0.02</v>
      </c>
    </row>
    <row r="4787" spans="1:19" x14ac:dyDescent="0.25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e">
        <f>VLOOKUP('Customer Info'!A4779,'Customer Info'!A4779:I5278,2,FALSE)</f>
        <v>#N/A</v>
      </c>
      <c r="H4787" s="6" t="e">
        <f>VLOOKUP('Customer Info'!A4779,'Customer Info'!A4779:I5279,3,FALSE)</f>
        <v>#N/A</v>
      </c>
      <c r="I4787" s="6" t="e">
        <f>VLOOKUP('Customer Info'!A4779,'Customer Info'!A4779:I5278,5,FALSE)</f>
        <v>#N/A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117</v>
      </c>
      <c r="R4787" s="2" t="s">
        <v>50</v>
      </c>
      <c r="S4787" s="9">
        <f t="shared" si="374"/>
        <v>0.02</v>
      </c>
    </row>
    <row r="4788" spans="1:19" x14ac:dyDescent="0.25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e">
        <f>VLOOKUP('Customer Info'!A4780,'Customer Info'!A4780:I5279,2,FALSE)</f>
        <v>#N/A</v>
      </c>
      <c r="H4788" s="6" t="e">
        <f>VLOOKUP('Customer Info'!A4780,'Customer Info'!A4780:I5280,3,FALSE)</f>
        <v>#N/A</v>
      </c>
      <c r="I4788" s="6" t="e">
        <f>VLOOKUP('Customer Info'!A4780,'Customer Info'!A4780:I5279,5,FALSE)</f>
        <v>#N/A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1354</v>
      </c>
      <c r="R4788" s="2" t="s">
        <v>50</v>
      </c>
      <c r="S4788" s="9">
        <f t="shared" si="374"/>
        <v>7.0000000000000007E-2</v>
      </c>
    </row>
    <row r="4789" spans="1:19" x14ac:dyDescent="0.25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e">
        <f>VLOOKUP('Customer Info'!A4781,'Customer Info'!A4781:I5280,2,FALSE)</f>
        <v>#N/A</v>
      </c>
      <c r="H4789" s="6" t="e">
        <f>VLOOKUP('Customer Info'!A4781,'Customer Info'!A4781:I5281,3,FALSE)</f>
        <v>#N/A</v>
      </c>
      <c r="I4789" s="6" t="e">
        <f>VLOOKUP('Customer Info'!A4781,'Customer Info'!A4781:I5280,5,FALSE)</f>
        <v>#N/A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610</v>
      </c>
      <c r="R4789" s="2" t="s">
        <v>28</v>
      </c>
      <c r="S4789" s="9">
        <f t="shared" si="374"/>
        <v>0.05</v>
      </c>
    </row>
    <row r="4790" spans="1:19" x14ac:dyDescent="0.25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e">
        <f>VLOOKUP('Customer Info'!A4782,'Customer Info'!A4782:I5281,2,FALSE)</f>
        <v>#N/A</v>
      </c>
      <c r="H4790" s="6" t="e">
        <f>VLOOKUP('Customer Info'!A4782,'Customer Info'!A4782:I5282,3,FALSE)</f>
        <v>#N/A</v>
      </c>
      <c r="I4790" s="6" t="e">
        <f>VLOOKUP('Customer Info'!A4782,'Customer Info'!A4782:I5281,5,FALSE)</f>
        <v>#N/A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69</v>
      </c>
      <c r="R4790" s="2" t="s">
        <v>26</v>
      </c>
      <c r="S4790" s="9">
        <f t="shared" si="374"/>
        <v>0.02</v>
      </c>
    </row>
    <row r="4791" spans="1:19" x14ac:dyDescent="0.25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e">
        <f>VLOOKUP('Customer Info'!A4783,'Customer Info'!A4783:I5282,2,FALSE)</f>
        <v>#N/A</v>
      </c>
      <c r="H4791" s="6" t="e">
        <f>VLOOKUP('Customer Info'!A4783,'Customer Info'!A4783:I5283,3,FALSE)</f>
        <v>#N/A</v>
      </c>
      <c r="I4791" s="6" t="e">
        <f>VLOOKUP('Customer Info'!A4783,'Customer Info'!A4783:I5282,5,FALSE)</f>
        <v>#N/A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302</v>
      </c>
      <c r="R4791" s="2" t="s">
        <v>26</v>
      </c>
      <c r="S4791" s="9">
        <f t="shared" si="374"/>
        <v>0.05</v>
      </c>
    </row>
    <row r="4792" spans="1:19" x14ac:dyDescent="0.25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e">
        <f>VLOOKUP('Customer Info'!A4784,'Customer Info'!A4784:I5283,2,FALSE)</f>
        <v>#N/A</v>
      </c>
      <c r="H4792" s="6" t="e">
        <f>VLOOKUP('Customer Info'!A4784,'Customer Info'!A4784:I5284,3,FALSE)</f>
        <v>#N/A</v>
      </c>
      <c r="I4792" s="6" t="e">
        <f>VLOOKUP('Customer Info'!A4784,'Customer Info'!A4784:I5283,5,FALSE)</f>
        <v>#N/A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55</v>
      </c>
      <c r="R4792" s="2" t="s">
        <v>28</v>
      </c>
      <c r="S4792" s="9">
        <f t="shared" si="374"/>
        <v>0.02</v>
      </c>
    </row>
    <row r="4793" spans="1:19" x14ac:dyDescent="0.25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e">
        <f>VLOOKUP('Customer Info'!A4785,'Customer Info'!A4785:I5284,2,FALSE)</f>
        <v>#N/A</v>
      </c>
      <c r="H4793" s="6" t="e">
        <f>VLOOKUP('Customer Info'!A4785,'Customer Info'!A4785:I5285,3,FALSE)</f>
        <v>#N/A</v>
      </c>
      <c r="I4793" s="6" t="e">
        <f>VLOOKUP('Customer Info'!A4785,'Customer Info'!A4785:I5284,5,FALSE)</f>
        <v>#N/A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287</v>
      </c>
      <c r="R4793" s="2" t="s">
        <v>28</v>
      </c>
      <c r="S4793" s="9">
        <f t="shared" si="374"/>
        <v>0.02</v>
      </c>
    </row>
    <row r="4794" spans="1:19" x14ac:dyDescent="0.25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e">
        <f>VLOOKUP('Customer Info'!A4786,'Customer Info'!A4786:I5285,2,FALSE)</f>
        <v>#N/A</v>
      </c>
      <c r="H4794" s="6" t="e">
        <f>VLOOKUP('Customer Info'!A4786,'Customer Info'!A4786:I5286,3,FALSE)</f>
        <v>#N/A</v>
      </c>
      <c r="I4794" s="6" t="e">
        <f>VLOOKUP('Customer Info'!A4786,'Customer Info'!A4786:I5285,5,FALSE)</f>
        <v>#N/A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1962</v>
      </c>
      <c r="R4794" s="2" t="s">
        <v>50</v>
      </c>
      <c r="S4794" s="9">
        <f t="shared" si="374"/>
        <v>0.05</v>
      </c>
    </row>
    <row r="4795" spans="1:19" x14ac:dyDescent="0.25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e">
        <f>VLOOKUP('Customer Info'!A4787,'Customer Info'!A4787:I5286,2,FALSE)</f>
        <v>#N/A</v>
      </c>
      <c r="H4795" s="6" t="e">
        <f>VLOOKUP('Customer Info'!A4787,'Customer Info'!A4787:I5287,3,FALSE)</f>
        <v>#N/A</v>
      </c>
      <c r="I4795" s="6" t="e">
        <f>VLOOKUP('Customer Info'!A4787,'Customer Info'!A4787:I5286,5,FALSE)</f>
        <v>#N/A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747</v>
      </c>
      <c r="R4795" s="2" t="s">
        <v>28</v>
      </c>
      <c r="S4795" s="9">
        <f t="shared" si="374"/>
        <v>0.05</v>
      </c>
    </row>
    <row r="4796" spans="1:19" x14ac:dyDescent="0.25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e">
        <f>VLOOKUP('Customer Info'!A4788,'Customer Info'!A4788:I5287,2,FALSE)</f>
        <v>#N/A</v>
      </c>
      <c r="H4796" s="6" t="e">
        <f>VLOOKUP('Customer Info'!A4788,'Customer Info'!A4788:I5288,3,FALSE)</f>
        <v>#N/A</v>
      </c>
      <c r="I4796" s="6" t="e">
        <f>VLOOKUP('Customer Info'!A4788,'Customer Info'!A4788:I5287,5,FALSE)</f>
        <v>#N/A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1681</v>
      </c>
      <c r="R4796" s="2" t="s">
        <v>50</v>
      </c>
      <c r="S4796" s="9">
        <f t="shared" si="374"/>
        <v>0.05</v>
      </c>
    </row>
    <row r="4797" spans="1:19" x14ac:dyDescent="0.25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e">
        <f>VLOOKUP('Customer Info'!A4789,'Customer Info'!A4789:I5288,2,FALSE)</f>
        <v>#N/A</v>
      </c>
      <c r="H4797" s="6" t="e">
        <f>VLOOKUP('Customer Info'!A4789,'Customer Info'!A4789:I5289,3,FALSE)</f>
        <v>#N/A</v>
      </c>
      <c r="I4797" s="6" t="e">
        <f>VLOOKUP('Customer Info'!A4789,'Customer Info'!A4789:I5288,5,FALSE)</f>
        <v>#N/A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446</v>
      </c>
      <c r="R4797" s="2" t="s">
        <v>28</v>
      </c>
      <c r="S4797" s="9">
        <f t="shared" si="374"/>
        <v>0.02</v>
      </c>
    </row>
    <row r="4798" spans="1:19" x14ac:dyDescent="0.25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e">
        <f>VLOOKUP('Customer Info'!A4790,'Customer Info'!A4790:I5289,2,FALSE)</f>
        <v>#N/A</v>
      </c>
      <c r="H4798" s="6" t="e">
        <f>VLOOKUP('Customer Info'!A4790,'Customer Info'!A4790:I5290,3,FALSE)</f>
        <v>#N/A</v>
      </c>
      <c r="I4798" s="6" t="e">
        <f>VLOOKUP('Customer Info'!A4790,'Customer Info'!A4790:I5289,5,FALSE)</f>
        <v>#N/A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752</v>
      </c>
      <c r="R4798" s="2" t="s">
        <v>28</v>
      </c>
      <c r="S4798" s="9">
        <f t="shared" si="374"/>
        <v>0.05</v>
      </c>
    </row>
    <row r="4799" spans="1:19" x14ac:dyDescent="0.25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e">
        <f>VLOOKUP('Customer Info'!A4791,'Customer Info'!A4791:I5290,2,FALSE)</f>
        <v>#N/A</v>
      </c>
      <c r="H4799" s="6" t="e">
        <f>VLOOKUP('Customer Info'!A4791,'Customer Info'!A4791:I5291,3,FALSE)</f>
        <v>#N/A</v>
      </c>
      <c r="I4799" s="6" t="e">
        <f>VLOOKUP('Customer Info'!A4791,'Customer Info'!A4791:I5290,5,FALSE)</f>
        <v>#N/A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206</v>
      </c>
      <c r="R4799" s="2" t="s">
        <v>28</v>
      </c>
      <c r="S4799" s="9">
        <f t="shared" si="374"/>
        <v>0.02</v>
      </c>
    </row>
    <row r="4800" spans="1:19" x14ac:dyDescent="0.25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e">
        <f>VLOOKUP('Customer Info'!A4792,'Customer Info'!A4792:I5291,2,FALSE)</f>
        <v>#N/A</v>
      </c>
      <c r="H4800" s="6" t="e">
        <f>VLOOKUP('Customer Info'!A4792,'Customer Info'!A4792:I5292,3,FALSE)</f>
        <v>#N/A</v>
      </c>
      <c r="I4800" s="6" t="e">
        <f>VLOOKUP('Customer Info'!A4792,'Customer Info'!A4792:I5291,5,FALSE)</f>
        <v>#N/A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1298</v>
      </c>
      <c r="R4800" s="2" t="s">
        <v>28</v>
      </c>
      <c r="S4800" s="9">
        <f t="shared" si="374"/>
        <v>0.05</v>
      </c>
    </row>
    <row r="4801" spans="1:19" x14ac:dyDescent="0.25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e">
        <f>VLOOKUP('Customer Info'!A4793,'Customer Info'!A4793:I5292,2,FALSE)</f>
        <v>#N/A</v>
      </c>
      <c r="H4801" s="6" t="e">
        <f>VLOOKUP('Customer Info'!A4793,'Customer Info'!A4793:I5293,3,FALSE)</f>
        <v>#N/A</v>
      </c>
      <c r="I4801" s="6" t="e">
        <f>VLOOKUP('Customer Info'!A4793,'Customer Info'!A4793:I5292,5,FALSE)</f>
        <v>#N/A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535</v>
      </c>
      <c r="R4801" s="2" t="s">
        <v>28</v>
      </c>
      <c r="S4801" s="9">
        <f t="shared" si="374"/>
        <v>0.05</v>
      </c>
    </row>
    <row r="4802" spans="1:19" x14ac:dyDescent="0.25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e">
        <f>VLOOKUP('Customer Info'!A4794,'Customer Info'!A4794:I5293,2,FALSE)</f>
        <v>#N/A</v>
      </c>
      <c r="H4802" s="6" t="e">
        <f>VLOOKUP('Customer Info'!A4794,'Customer Info'!A4794:I5294,3,FALSE)</f>
        <v>#N/A</v>
      </c>
      <c r="I4802" s="6" t="e">
        <f>VLOOKUP('Customer Info'!A4794,'Customer Info'!A4794:I5293,5,FALSE)</f>
        <v>#N/A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562</v>
      </c>
      <c r="R4802" s="2" t="s">
        <v>28</v>
      </c>
      <c r="S4802" s="9">
        <f t="shared" si="374"/>
        <v>0.05</v>
      </c>
    </row>
    <row r="4803" spans="1:19" x14ac:dyDescent="0.25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e">
        <f>VLOOKUP('Customer Info'!A4795,'Customer Info'!A4795:I5294,2,FALSE)</f>
        <v>#N/A</v>
      </c>
      <c r="H4803" s="6" t="e">
        <f>VLOOKUP('Customer Info'!A4795,'Customer Info'!A4795:I5295,3,FALSE)</f>
        <v>#N/A</v>
      </c>
      <c r="I4803" s="6" t="e">
        <f>VLOOKUP('Customer Info'!A4795,'Customer Info'!A4795:I5294,5,FALSE)</f>
        <v>#N/A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2103</v>
      </c>
      <c r="R4803" s="2" t="s">
        <v>28</v>
      </c>
      <c r="S4803" s="9">
        <f t="shared" si="374"/>
        <v>7.0000000000000007E-2</v>
      </c>
    </row>
    <row r="4804" spans="1:19" x14ac:dyDescent="0.25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e">
        <f>VLOOKUP('Customer Info'!A4796,'Customer Info'!A4796:I5295,2,FALSE)</f>
        <v>#N/A</v>
      </c>
      <c r="H4804" s="6" t="e">
        <f>VLOOKUP('Customer Info'!A4796,'Customer Info'!A4796:I5296,3,FALSE)</f>
        <v>#N/A</v>
      </c>
      <c r="I4804" s="6" t="e">
        <f>VLOOKUP('Customer Info'!A4796,'Customer Info'!A4796:I5295,5,FALSE)</f>
        <v>#N/A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193</v>
      </c>
      <c r="R4804" s="2" t="s">
        <v>28</v>
      </c>
      <c r="S4804" s="9">
        <f t="shared" si="374"/>
        <v>0.02</v>
      </c>
    </row>
    <row r="4805" spans="1:19" x14ac:dyDescent="0.25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e">
        <f>VLOOKUP('Customer Info'!A4797,'Customer Info'!A4797:I5296,2,FALSE)</f>
        <v>#N/A</v>
      </c>
      <c r="H4805" s="6" t="e">
        <f>VLOOKUP('Customer Info'!A4797,'Customer Info'!A4797:I5297,3,FALSE)</f>
        <v>#N/A</v>
      </c>
      <c r="I4805" s="6" t="e">
        <f>VLOOKUP('Customer Info'!A4797,'Customer Info'!A4797:I5296,5,FALSE)</f>
        <v>#N/A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677</v>
      </c>
      <c r="R4805" s="2" t="s">
        <v>28</v>
      </c>
      <c r="S4805" s="9">
        <f t="shared" si="374"/>
        <v>0.05</v>
      </c>
    </row>
    <row r="4806" spans="1:19" x14ac:dyDescent="0.25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e">
        <f>VLOOKUP('Customer Info'!A4798,'Customer Info'!A4798:I5297,2,FALSE)</f>
        <v>#N/A</v>
      </c>
      <c r="H4806" s="6" t="e">
        <f>VLOOKUP('Customer Info'!A4798,'Customer Info'!A4798:I5298,3,FALSE)</f>
        <v>#N/A</v>
      </c>
      <c r="I4806" s="6" t="e">
        <f>VLOOKUP('Customer Info'!A4798,'Customer Info'!A4798:I5297,5,FALSE)</f>
        <v>#N/A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784</v>
      </c>
      <c r="R4806" s="2" t="s">
        <v>50</v>
      </c>
      <c r="S4806" s="9">
        <f t="shared" si="374"/>
        <v>0.05</v>
      </c>
    </row>
    <row r="4807" spans="1:19" x14ac:dyDescent="0.25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e">
        <f>VLOOKUP('Customer Info'!A4799,'Customer Info'!A4799:I5298,2,FALSE)</f>
        <v>#N/A</v>
      </c>
      <c r="H4807" s="6" t="e">
        <f>VLOOKUP('Customer Info'!A4799,'Customer Info'!A4799:I5299,3,FALSE)</f>
        <v>#N/A</v>
      </c>
      <c r="I4807" s="6" t="e">
        <f>VLOOKUP('Customer Info'!A4799,'Customer Info'!A4799:I5298,5,FALSE)</f>
        <v>#N/A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316</v>
      </c>
      <c r="R4807" s="2" t="s">
        <v>50</v>
      </c>
      <c r="S4807" s="9">
        <f t="shared" si="374"/>
        <v>0.05</v>
      </c>
    </row>
    <row r="4808" spans="1:19" x14ac:dyDescent="0.25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e">
        <f>VLOOKUP('Customer Info'!A4800,'Customer Info'!A4800:I5299,2,FALSE)</f>
        <v>#N/A</v>
      </c>
      <c r="H4808" s="6" t="e">
        <f>VLOOKUP('Customer Info'!A4800,'Customer Info'!A4800:I5300,3,FALSE)</f>
        <v>#N/A</v>
      </c>
      <c r="I4808" s="6" t="e">
        <f>VLOOKUP('Customer Info'!A4800,'Customer Info'!A4800:I5299,5,FALSE)</f>
        <v>#N/A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87</v>
      </c>
      <c r="R4808" s="2" t="s">
        <v>50</v>
      </c>
      <c r="S4808" s="9">
        <f t="shared" si="374"/>
        <v>0.02</v>
      </c>
    </row>
    <row r="4809" spans="1:19" x14ac:dyDescent="0.25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e">
        <f>VLOOKUP('Customer Info'!A4801,'Customer Info'!A4801:I5300,2,FALSE)</f>
        <v>#N/A</v>
      </c>
      <c r="H4809" s="6" t="e">
        <f>VLOOKUP('Customer Info'!A4801,'Customer Info'!A4801:I5301,3,FALSE)</f>
        <v>#N/A</v>
      </c>
      <c r="I4809" s="6" t="e">
        <f>VLOOKUP('Customer Info'!A4801,'Customer Info'!A4801:I5300,5,FALSE)</f>
        <v>#N/A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658</v>
      </c>
      <c r="R4809" s="2" t="s">
        <v>26</v>
      </c>
      <c r="S4809" s="9">
        <f t="shared" si="374"/>
        <v>0.05</v>
      </c>
    </row>
    <row r="4810" spans="1:19" x14ac:dyDescent="0.25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e">
        <f>VLOOKUP('Customer Info'!A4802,'Customer Info'!A4802:I5301,2,FALSE)</f>
        <v>#N/A</v>
      </c>
      <c r="H4810" s="6" t="e">
        <f>VLOOKUP('Customer Info'!A4802,'Customer Info'!A4802:I5302,3,FALSE)</f>
        <v>#N/A</v>
      </c>
      <c r="I4810" s="6" t="e">
        <f>VLOOKUP('Customer Info'!A4802,'Customer Info'!A4802:I5301,5,FALSE)</f>
        <v>#N/A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1022</v>
      </c>
      <c r="R4810" s="2" t="s">
        <v>28</v>
      </c>
      <c r="S4810" s="9">
        <f t="shared" si="374"/>
        <v>7.0000000000000007E-2</v>
      </c>
    </row>
    <row r="4811" spans="1:19" x14ac:dyDescent="0.25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e">
        <f>VLOOKUP('Customer Info'!A4803,'Customer Info'!A4803:I5302,2,FALSE)</f>
        <v>#N/A</v>
      </c>
      <c r="H4811" s="6" t="e">
        <f>VLOOKUP('Customer Info'!A4803,'Customer Info'!A4803:I5303,3,FALSE)</f>
        <v>#N/A</v>
      </c>
      <c r="I4811" s="6" t="e">
        <f>VLOOKUP('Customer Info'!A4803,'Customer Info'!A4803:I5302,5,FALSE)</f>
        <v>#N/A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8">
        <f t="shared" ref="P4811:P4815" si="377">N4811+O4811</f>
        <v>577</v>
      </c>
      <c r="Q4811" s="8">
        <f t="shared" ref="Q4811:Q4815" si="378">P4811-M4811</f>
        <v>46</v>
      </c>
      <c r="R4811" s="2" t="s">
        <v>28</v>
      </c>
      <c r="S4811" s="9">
        <f t="shared" ref="S4811:S4815" si="379">VLOOKUP(P4811,$T$2:$U$7,2,TRUE)</f>
        <v>0.02</v>
      </c>
    </row>
    <row r="4812" spans="1:19" x14ac:dyDescent="0.25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e">
        <f>VLOOKUP('Customer Info'!A4804,'Customer Info'!A4804:I5303,2,FALSE)</f>
        <v>#N/A</v>
      </c>
      <c r="H4812" s="6" t="e">
        <f>VLOOKUP('Customer Info'!A4804,'Customer Info'!A4804:I5304,3,FALSE)</f>
        <v>#N/A</v>
      </c>
      <c r="I4812" s="6" t="e">
        <f>VLOOKUP('Customer Info'!A4804,'Customer Info'!A4804:I5303,5,FALSE)</f>
        <v>#N/A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3370</v>
      </c>
      <c r="R4812" s="2" t="s">
        <v>50</v>
      </c>
      <c r="S4812" s="9">
        <f t="shared" si="379"/>
        <v>7.0000000000000007E-2</v>
      </c>
    </row>
    <row r="4813" spans="1:19" x14ac:dyDescent="0.25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e">
        <f>VLOOKUP('Customer Info'!A4805,'Customer Info'!A4805:I5304,2,FALSE)</f>
        <v>#N/A</v>
      </c>
      <c r="H4813" s="6" t="e">
        <f>VLOOKUP('Customer Info'!A4805,'Customer Info'!A4805:I5305,3,FALSE)</f>
        <v>#N/A</v>
      </c>
      <c r="I4813" s="6" t="e">
        <f>VLOOKUP('Customer Info'!A4805,'Customer Info'!A4805:I5304,5,FALSE)</f>
        <v>#N/A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14</v>
      </c>
      <c r="R4813" s="2" t="s">
        <v>28</v>
      </c>
      <c r="S4813" s="9">
        <f t="shared" si="379"/>
        <v>0.02</v>
      </c>
    </row>
    <row r="4814" spans="1:19" x14ac:dyDescent="0.25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e">
        <f>VLOOKUP('Customer Info'!A4806,'Customer Info'!A4806:I5305,2,FALSE)</f>
        <v>#N/A</v>
      </c>
      <c r="H4814" s="6" t="e">
        <f>VLOOKUP('Customer Info'!A4806,'Customer Info'!A4806:I5306,3,FALSE)</f>
        <v>#N/A</v>
      </c>
      <c r="I4814" s="6" t="e">
        <f>VLOOKUP('Customer Info'!A4806,'Customer Info'!A4806:I5305,5,FALSE)</f>
        <v>#N/A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18</v>
      </c>
      <c r="R4814" s="2" t="s">
        <v>28</v>
      </c>
      <c r="S4814" s="9">
        <f t="shared" si="379"/>
        <v>0.02</v>
      </c>
    </row>
    <row r="4815" spans="1:19" x14ac:dyDescent="0.25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e">
        <f>VLOOKUP('Customer Info'!A4807,'Customer Info'!A4807:I5306,2,FALSE)</f>
        <v>#N/A</v>
      </c>
      <c r="H4815" s="6" t="e">
        <f>VLOOKUP('Customer Info'!A4807,'Customer Info'!A4807:I5307,3,FALSE)</f>
        <v>#N/A</v>
      </c>
      <c r="I4815" s="6" t="e">
        <f>VLOOKUP('Customer Info'!A4807,'Customer Info'!A4807:I5306,5,FALSE)</f>
        <v>#N/A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254</v>
      </c>
      <c r="R4815" s="2" t="s">
        <v>26</v>
      </c>
      <c r="S4815" s="9">
        <f t="shared" si="379"/>
        <v>0.02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A469" zoomScale="55" zoomScaleNormal="55" workbookViewId="0">
      <selection activeCell="E4" sqref="E4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21" bestFit="1" customWidth="1"/>
    <col min="4" max="4" width="12.140625" bestFit="1" customWidth="1"/>
    <col min="5" max="5" width="24.28515625" bestFit="1" customWidth="1"/>
    <col min="6" max="6" width="25.140625" bestFit="1" customWidth="1"/>
    <col min="7" max="7" width="10.28515625" bestFit="1" customWidth="1"/>
    <col min="8" max="8" width="14.140625" bestFit="1" customWidth="1"/>
    <col min="9" max="9" width="6.7109375" bestFit="1" customWidth="1"/>
  </cols>
  <sheetData>
    <row r="1" spans="1:18" ht="14.45" x14ac:dyDescent="0.3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ht="14.45" x14ac:dyDescent="0.3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ht="14.45" x14ac:dyDescent="0.3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ht="14.45" x14ac:dyDescent="0.3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ht="14.45" x14ac:dyDescent="0.3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ht="14.45" x14ac:dyDescent="0.3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ht="14.45" x14ac:dyDescent="0.3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ht="14.45" x14ac:dyDescent="0.3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ht="14.45" x14ac:dyDescent="0.3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ht="14.45" x14ac:dyDescent="0.3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ht="14.45" x14ac:dyDescent="0.3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ht="14.45" x14ac:dyDescent="0.3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25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ht="14.45" x14ac:dyDescent="0.3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ht="14.45" x14ac:dyDescent="0.3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ht="14.45" x14ac:dyDescent="0.3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ht="14.45" x14ac:dyDescent="0.3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ht="14.45" x14ac:dyDescent="0.3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ht="14.45" x14ac:dyDescent="0.3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x14ac:dyDescent="0.25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x14ac:dyDescent="0.25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x14ac:dyDescent="0.25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x14ac:dyDescent="0.25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x14ac:dyDescent="0.25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25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25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25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25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25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25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25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25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25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25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25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25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25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25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25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25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25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25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25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25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25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25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25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25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25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25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25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25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25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25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25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25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25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25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25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25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25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25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25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25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25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25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25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25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25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25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25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25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25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25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25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25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25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25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25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25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25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25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25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25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25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25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25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25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25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25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25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25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25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25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25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25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25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25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25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25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25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25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25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25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25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25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25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25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25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25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25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25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25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25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25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25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25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25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25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25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25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25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25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25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25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25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25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25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25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25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25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25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25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25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25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25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25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25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25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25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25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25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25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25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25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25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25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25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25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25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25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25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25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25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25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25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25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25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25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25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25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25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25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25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25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25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25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25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25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25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25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25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25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25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25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25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25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25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25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25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25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25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25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25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25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25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25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25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25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25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25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25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25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25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25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25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25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25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25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25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25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25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25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25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25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25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25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25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25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25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25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25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25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25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25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25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25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25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25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25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25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25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25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25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25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25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25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25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25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25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25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25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25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25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25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25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25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25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25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25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25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25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25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25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25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25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25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25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25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25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25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25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25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25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25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25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25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25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25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25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25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25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25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25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25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25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25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25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25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25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25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25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25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25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25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25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25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25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25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25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25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25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25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25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25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25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25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25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25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25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25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25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25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25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25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25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25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25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25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25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25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25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25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25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25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25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25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25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25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25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25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25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25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25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25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25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25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25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25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25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25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25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25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25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25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25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25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25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25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25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25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25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25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25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25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25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25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25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25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25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25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25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25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25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25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25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25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25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25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25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25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25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25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25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25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25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25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25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25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25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25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25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25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25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25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25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25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25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25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25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25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25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25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25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25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25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25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25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25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25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25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25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25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25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25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25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25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25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25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25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25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25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25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25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25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25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25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25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25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25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25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25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25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25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25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25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25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25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25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25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25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25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25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25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25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25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25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25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25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25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25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25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25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25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25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25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25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25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25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25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25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25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25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25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25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25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25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25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25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25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25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25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25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25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25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25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25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25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25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25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25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25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25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25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25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25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25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25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25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25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25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25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25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25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25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25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25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25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25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25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25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25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25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25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25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25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25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25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25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25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25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25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25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25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25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25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25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25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25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25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25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25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25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25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25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25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25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25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25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25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25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Priyanka Patil</cp:lastModifiedBy>
  <dcterms:created xsi:type="dcterms:W3CDTF">2022-11-26T08:10:01Z</dcterms:created>
  <dcterms:modified xsi:type="dcterms:W3CDTF">2025-09-13T11:19:10Z</dcterms:modified>
</cp:coreProperties>
</file>