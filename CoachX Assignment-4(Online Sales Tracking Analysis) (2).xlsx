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3FC069FDAA918D6/Documents/"/>
    </mc:Choice>
  </mc:AlternateContent>
  <xr:revisionPtr revIDLastSave="176" documentId="8_{74A70C63-1819-4190-BC91-4A0CD9A396BE}" xr6:coauthVersionLast="47" xr6:coauthVersionMax="47" xr10:uidLastSave="{46BED995-B495-4538-8A8D-7D25816F9967}"/>
  <bookViews>
    <workbookView xWindow="-120" yWindow="-120" windowWidth="20730" windowHeight="11160" activeTab="1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definedNames>
    <definedName name="_xlnm._FilterDatabase" localSheetId="0" hidden="1">'Sales report'!$B$7:$L$35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H8" i="5"/>
  <c r="H9" i="5"/>
  <c r="H10" i="5"/>
  <c r="H11" i="5"/>
  <c r="H7" i="5"/>
  <c r="D7" i="5"/>
  <c r="C7" i="5" a="1"/>
  <c r="C7" i="5" s="1"/>
  <c r="L9" i="1" l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I9" i="1"/>
  <c r="K9" i="1" s="1"/>
  <c r="C15" i="5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8" i="1"/>
  <c r="K8" i="1" s="1"/>
  <c r="G19" i="5"/>
  <c r="E19" i="5"/>
  <c r="C19" i="5"/>
  <c r="E17" i="5"/>
  <c r="F15" i="5"/>
  <c r="G8" i="5"/>
  <c r="G9" i="5"/>
  <c r="F10" i="5"/>
  <c r="G11" i="5"/>
  <c r="G7" i="5"/>
  <c r="J34" i="1" l="1"/>
  <c r="J30" i="1"/>
  <c r="J33" i="1"/>
  <c r="J29" i="1"/>
  <c r="J25" i="1"/>
  <c r="J21" i="1"/>
  <c r="J17" i="1"/>
  <c r="J13" i="1"/>
  <c r="J9" i="1"/>
  <c r="J8" i="1"/>
  <c r="J32" i="1"/>
  <c r="J28" i="1"/>
  <c r="J24" i="1"/>
  <c r="J20" i="1"/>
  <c r="J16" i="1"/>
  <c r="J12" i="1"/>
  <c r="J35" i="1"/>
  <c r="J31" i="1"/>
  <c r="J27" i="1"/>
  <c r="J23" i="1"/>
  <c r="J19" i="1"/>
  <c r="J15" i="1"/>
  <c r="J11" i="1"/>
  <c r="J26" i="1"/>
  <c r="J22" i="1"/>
  <c r="J18" i="1"/>
  <c r="J14" i="1"/>
  <c r="J10" i="1"/>
  <c r="F9" i="5"/>
  <c r="D9" i="5"/>
  <c r="D11" i="5"/>
  <c r="F11" i="5"/>
  <c r="C8" i="5"/>
  <c r="C10" i="5"/>
  <c r="E8" i="5"/>
  <c r="F7" i="5"/>
  <c r="F8" i="5"/>
  <c r="E10" i="5"/>
  <c r="G10" i="5"/>
  <c r="C9" i="5"/>
  <c r="C11" i="5"/>
  <c r="D8" i="5"/>
  <c r="D10" i="5"/>
  <c r="E7" i="5"/>
  <c r="E9" i="5"/>
  <c r="E11" i="5"/>
  <c r="C12" i="5" l="1"/>
  <c r="E12" i="5"/>
  <c r="G12" i="5"/>
  <c r="D12" i="5"/>
  <c r="F12" i="5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H19" i="5" s="1"/>
  <c r="C17" i="5"/>
  <c r="H17" i="5" s="1"/>
  <c r="E16" i="5"/>
  <c r="H16" i="5" s="1"/>
  <c r="D15" i="5"/>
  <c r="H18" i="5" l="1"/>
  <c r="E15" i="5"/>
  <c r="H1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<sst xmlns="http://schemas.openxmlformats.org/spreadsheetml/2006/main" count="98" uniqueCount="30">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</sst>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5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Sales</a:t>
            </a:r>
            <a:r>
              <a:rPr lang="en-US" baseline="0">
                <a:solidFill>
                  <a:schemeClr val="bg1"/>
                </a:solidFill>
              </a:rPr>
              <a:t> </a:t>
            </a:r>
            <a:r>
              <a:rPr lang="en-US">
                <a:solidFill>
                  <a:schemeClr val="bg1"/>
                </a:solidFill>
              </a:rPr>
              <a:t>Volume Against Each Sales</a:t>
            </a:r>
            <a:r>
              <a:rPr lang="en-US" baseline="0">
                <a:solidFill>
                  <a:schemeClr val="bg1"/>
                </a:solidFill>
              </a:rPr>
              <a:t>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7455866973192918E-2"/>
          <c:y val="0.32046116530245944"/>
          <c:w val="0.21180315789932277"/>
          <c:h val="6.0929773093758917E-2"/>
        </c:manualLayout>
      </c:layout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609344"/>
        <c:axId val="173610880"/>
      </c:barChart>
      <c:catAx>
        <c:axId val="1736093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60934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baseline="0"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 w="19050">
      <a:solidFill>
        <a:schemeClr val="bg1">
          <a:alpha val="99000"/>
        </a:schemeClr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Tracker'!$C$6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Tracker'!$C$7:$C$11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A-4C25-9ACB-392906552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480357018850162"/>
          <c:h val="0.72773248496758625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ser>
          <c:idx val="1"/>
          <c:order val="1"/>
          <c:tx>
            <c:strRef>
              <c:f>'Online Sales Tracker'!$D$6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EA-4C5C-AAE9-2CFB62283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EEA-4C5C-AAE9-2CFB62283FE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Tracker'!$E$6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Tracker'!$E$7:$E$11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</c:v>
                      </c:pt>
                      <c:pt idx="1">
                        <c:v>115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EA-4C5C-AAE9-2CFB62283FE9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Tracker'!$F$6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Tracker'!$F$7:$F$11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50</c:v>
                      </c:pt>
                      <c:pt idx="2">
                        <c:v>40</c:v>
                      </c:pt>
                      <c:pt idx="3">
                        <c:v>70</c:v>
                      </c:pt>
                      <c:pt idx="4">
                        <c:v>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EEA-4C5C-AAE9-2CFB62283FE9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Tracker'!$G$6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Tracker'!$G$7:$G$11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EEA-4C5C-AAE9-2CFB62283FE9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4759980180226237"/>
          <c:h val="0.71747178198843897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2"/>
          <c:order val="2"/>
          <c:tx>
            <c:strRef>
              <c:f>'Online Sales Tracker'!$E$6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Tracker'!$E$7:$E$11</c:f>
              <c:numCache>
                <c:formatCode>General</c:formatCod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6B-4333-90C3-8D166C658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E46B-4333-90C3-8D166C6587D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Tracker'!$D$6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Tracker'!$D$7:$D$11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6B-4333-90C3-8D166C6587D4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Tracker'!$F$6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Tracker'!$F$7:$F$11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50</c:v>
                      </c:pt>
                      <c:pt idx="2">
                        <c:v>40</c:v>
                      </c:pt>
                      <c:pt idx="3">
                        <c:v>70</c:v>
                      </c:pt>
                      <c:pt idx="4">
                        <c:v>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6B-4333-90C3-8D166C6587D4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Tracker'!$G$6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Tracker'!$G$7:$G$11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6B-4333-90C3-8D166C6587D4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73796077626039"/>
          <c:h val="0.72773274439374813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3"/>
          <c:order val="3"/>
          <c:tx>
            <c:strRef>
              <c:f>'Online Sales Tracker'!$F$6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AA-41AE-B4D6-5292B7880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FAA-41AE-B4D6-5292B78809CA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Tracker'!$D$6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Tracker'!$D$7:$D$11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FAA-41AE-B4D6-5292B78809CA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Tracker'!$E$6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Tracker'!$E$7:$E$11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</c:v>
                      </c:pt>
                      <c:pt idx="1">
                        <c:v>115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FAA-41AE-B4D6-5292B78809CA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Tracker'!$G$6</c15:sqref>
                        </c15:formulaRef>
                      </c:ext>
                    </c:extLst>
                    <c:strCache>
                      <c:ptCount val="1"/>
                      <c:pt idx="0">
                        <c:v>Shopclues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Tracker'!$G$7:$G$11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50</c:v>
                      </c:pt>
                      <c:pt idx="2">
                        <c:v>100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FAA-41AE-B4D6-5292B78809CA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435559512723486"/>
          <c:h val="0.59299175247809355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4"/>
          <c:order val="4"/>
          <c:tx>
            <c:strRef>
              <c:f>'Online Sales Tracker'!$G$6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6E-4905-9BDD-B63E99A56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'Online Sales Tracker'!$C$6</c15:sqref>
                        </c15:formulaRef>
                      </c:ext>
                    </c:extLst>
                    <c:strCache>
                      <c:ptCount val="1"/>
                      <c:pt idx="0">
                        <c:v>Website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Tracker'!$C$7:$C$11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20</c:v>
                      </c:pt>
                      <c:pt idx="2">
                        <c:v>80</c:v>
                      </c:pt>
                      <c:pt idx="3">
                        <c:v>45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46E-4905-9BDD-B63E99A56FC4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Tracker'!$D$6</c15:sqref>
                        </c15:formulaRef>
                      </c:ext>
                    </c:extLst>
                    <c:strCache>
                      <c:ptCount val="1"/>
                      <c:pt idx="0">
                        <c:v>Amazon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Tracker'!$D$7:$D$11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</c:v>
                      </c:pt>
                      <c:pt idx="1">
                        <c:v>60</c:v>
                      </c:pt>
                      <c:pt idx="2">
                        <c:v>40</c:v>
                      </c:pt>
                      <c:pt idx="3">
                        <c:v>20</c:v>
                      </c:pt>
                      <c:pt idx="4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46E-4905-9BDD-B63E99A56FC4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Tracker'!$E$6</c15:sqref>
                        </c15:formulaRef>
                      </c:ext>
                    </c:extLst>
                    <c:strCache>
                      <c:ptCount val="1"/>
                      <c:pt idx="0">
                        <c:v>Big basket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Tracker'!$E$7:$E$11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</c:v>
                      </c:pt>
                      <c:pt idx="1">
                        <c:v>115</c:v>
                      </c:pt>
                      <c:pt idx="2">
                        <c:v>0</c:v>
                      </c:pt>
                      <c:pt idx="3">
                        <c:v>25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46E-4905-9BDD-B63E99A56FC4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Tracker'!$F$6</c15:sqref>
                        </c15:formulaRef>
                      </c:ext>
                    </c:extLst>
                    <c:strCache>
                      <c:ptCount val="1"/>
                      <c:pt idx="0">
                        <c:v>Flipkart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Tracker'!$B$7:$B$11</c15:sqref>
                        </c15:formulaRef>
                      </c:ext>
                    </c:extLst>
                    <c:strCache>
                      <c:ptCount val="5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  <c:pt idx="3">
                        <c:v>D</c:v>
                      </c:pt>
                      <c:pt idx="4">
                        <c:v>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'Online Sales Tracker'!$F$7:$F$11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50</c:v>
                      </c:pt>
                      <c:pt idx="2">
                        <c:v>40</c:v>
                      </c:pt>
                      <c:pt idx="3">
                        <c:v>70</c:v>
                      </c:pt>
                      <c:pt idx="4">
                        <c:v>200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46E-4905-9BDD-B63E99A56FC4}"/>
                  </c:ext>
                </c:extLst>
              </c15:ser>
            </c15:filteredPieSeries>
          </c:ext>
        </c:extLst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303550604788001"/>
          <c:h val="0.59299175247809355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375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375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Sales Volume Against Each Sales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21159044164197E-2"/>
          <c:y val="0.15922467789745204"/>
          <c:w val="0.87761895070588491"/>
          <c:h val="0.6088347795659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Tracker'!$C$7:$G$7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E-415C-A9FA-5AC847CE3C4B}"/>
            </c:ext>
          </c:extLst>
        </c:ser>
        <c:ser>
          <c:idx val="1"/>
          <c:order val="1"/>
          <c:tx>
            <c:strRef>
              <c:f>'Online Sales Tracker'!$B$8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Tracker'!$C$8:$G$8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E-415C-A9FA-5AC847CE3C4B}"/>
            </c:ext>
          </c:extLst>
        </c:ser>
        <c:ser>
          <c:idx val="2"/>
          <c:order val="2"/>
          <c:tx>
            <c:strRef>
              <c:f>'Online Sales Tracker'!$B$9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Tracker'!$C$9:$G$9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E-415C-A9FA-5AC847CE3C4B}"/>
            </c:ext>
          </c:extLst>
        </c:ser>
        <c:ser>
          <c:idx val="3"/>
          <c:order val="3"/>
          <c:tx>
            <c:strRef>
              <c:f>'Online Sales Tracker'!$B$10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Tracker'!$C$10:$G$10</c:f>
              <c:numCache>
                <c:formatCode>General</c:formatCode>
                <c:ptCount val="5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0E-415C-A9FA-5AC847CE3C4B}"/>
            </c:ext>
          </c:extLst>
        </c:ser>
        <c:ser>
          <c:idx val="4"/>
          <c:order val="4"/>
          <c:tx>
            <c:strRef>
              <c:f>'Online Sales Tracker'!$B$11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Tracker'!$C$11:$G$11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0E-415C-A9FA-5AC847CE3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2832671"/>
        <c:axId val="32828831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'Online Sales Tracker'!$B$12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'Online Sales Tracker'!$C$6:$G$6</c15:sqref>
                        </c15:formulaRef>
                      </c:ext>
                    </c:extLst>
                    <c:strCache>
                      <c:ptCount val="5"/>
                      <c:pt idx="0">
                        <c:v>Website</c:v>
                      </c:pt>
                      <c:pt idx="1">
                        <c:v>Amazon</c:v>
                      </c:pt>
                      <c:pt idx="2">
                        <c:v>Big basket</c:v>
                      </c:pt>
                      <c:pt idx="3">
                        <c:v>Flipkart</c:v>
                      </c:pt>
                      <c:pt idx="4">
                        <c:v>Shopclues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'Online Sales Tracker'!$C$12:$G$12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145</c:v>
                      </c:pt>
                      <c:pt idx="1">
                        <c:v>205</c:v>
                      </c:pt>
                      <c:pt idx="2">
                        <c:v>180</c:v>
                      </c:pt>
                      <c:pt idx="3">
                        <c:v>360</c:v>
                      </c:pt>
                      <c:pt idx="4">
                        <c:v>225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EE0E-415C-A9FA-5AC847CE3C4B}"/>
                  </c:ext>
                </c:extLst>
              </c15:ser>
            </c15:filteredBarSeries>
          </c:ext>
        </c:extLst>
      </c:barChart>
      <c:catAx>
        <c:axId val="3283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8831"/>
        <c:crosses val="autoZero"/>
        <c:auto val="1"/>
        <c:lblAlgn val="ctr"/>
        <c:lblOffset val="100"/>
        <c:noMultiLvlLbl val="0"/>
      </c:catAx>
      <c:valAx>
        <c:axId val="32828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32671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255567825919942"/>
          <c:y val="0.92687654780696216"/>
          <c:w val="0.17488864348160113"/>
          <c:h val="7.31234521930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190501</xdr:rowOff>
    </xdr:from>
    <xdr:to>
      <xdr:col>8</xdr:col>
      <xdr:colOff>10886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7620</xdr:rowOff>
    </xdr:from>
    <xdr:to>
      <xdr:col>2</xdr:col>
      <xdr:colOff>1045020</xdr:colOff>
      <xdr:row>43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  <xdr:twoCellAnchor>
    <xdr:from>
      <xdr:col>2</xdr:col>
      <xdr:colOff>571500</xdr:colOff>
      <xdr:row>21</xdr:row>
      <xdr:rowOff>0</xdr:rowOff>
    </xdr:from>
    <xdr:to>
      <xdr:col>5</xdr:col>
      <xdr:colOff>819150</xdr:colOff>
      <xdr:row>23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F9C367-CEC6-4019-B5E0-7749C7568105}"/>
            </a:ext>
          </a:extLst>
        </xdr:cNvPr>
        <xdr:cNvSpPr txBox="1"/>
      </xdr:nvSpPr>
      <xdr:spPr>
        <a:xfrm>
          <a:off x="1824103" y="5440993"/>
          <a:ext cx="3379157" cy="391439"/>
        </a:xfrm>
        <a:prstGeom prst="rect">
          <a:avLst/>
        </a:prstGeom>
        <a:solidFill>
          <a:schemeClr val="accent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US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Volume Against Each Sales Channel</a:t>
          </a:r>
          <a:endParaRPr lang="en-US" sz="1400" b="1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266700</xdr:colOff>
      <xdr:row>35</xdr:row>
      <xdr:rowOff>123826</xdr:rowOff>
    </xdr:from>
    <xdr:to>
      <xdr:col>2</xdr:col>
      <xdr:colOff>1000125</xdr:colOff>
      <xdr:row>36</xdr:row>
      <xdr:rowOff>180976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DE083F9-C07C-45D3-96FF-60380FAF2409}"/>
            </a:ext>
          </a:extLst>
        </xdr:cNvPr>
        <xdr:cNvSpPr txBox="1"/>
      </xdr:nvSpPr>
      <xdr:spPr>
        <a:xfrm>
          <a:off x="1524000" y="8277226"/>
          <a:ext cx="7334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Websites</a:t>
          </a:r>
        </a:p>
      </xdr:txBody>
    </xdr:sp>
    <xdr:clientData/>
  </xdr:twoCellAnchor>
  <xdr:twoCellAnchor>
    <xdr:from>
      <xdr:col>1</xdr:col>
      <xdr:colOff>300103</xdr:colOff>
      <xdr:row>20</xdr:row>
      <xdr:rowOff>117431</xdr:rowOff>
    </xdr:from>
    <xdr:to>
      <xdr:col>7</xdr:col>
      <xdr:colOff>508870</xdr:colOff>
      <xdr:row>33</xdr:row>
      <xdr:rowOff>156576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16E5E03-1E62-674E-E4A9-B317F4EC6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0.58869</cdr:x>
      <cdr:y>0.03284</cdr:y>
    </cdr:from>
    <cdr:to>
      <cdr:x>0.97994</cdr:x>
      <cdr:y>0.20533</cdr:y>
    </cdr:to>
    <cdr:sp macro="" textlink="">
      <cdr:nvSpPr>
        <cdr:cNvPr id="3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197592" y="52171"/>
          <a:ext cx="795925" cy="27402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Amazon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0.57095</cdr:x>
      <cdr:y>0.03333</cdr:y>
    </cdr:from>
    <cdr:to>
      <cdr:x>0.97104</cdr:x>
      <cdr:y>0.20833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01064" y="52187"/>
          <a:ext cx="841645" cy="27401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Big Basket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0.6299</cdr:x>
      <cdr:y>0.03384</cdr:y>
    </cdr:from>
    <cdr:to>
      <cdr:x>0.97491</cdr:x>
      <cdr:y>0.20718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310221" y="52036"/>
          <a:ext cx="717637" cy="26654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Flipkart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0.59669</cdr:x>
      <cdr:y>0.03384</cdr:y>
    </cdr:from>
    <cdr:to>
      <cdr:x>0.97584</cdr:x>
      <cdr:y>0.19517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DE083F9-C07C-45D3-96FF-60380FAF2409}"/>
            </a:ext>
          </a:extLst>
        </cdr:cNvPr>
        <cdr:cNvSpPr txBox="1"/>
      </cdr:nvSpPr>
      <cdr:spPr>
        <a:xfrm xmlns:a="http://schemas.openxmlformats.org/drawingml/2006/main">
          <a:off x="1252602" y="52035"/>
          <a:ext cx="795925" cy="24806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Shopclues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topLeftCell="G19" zoomScaleNormal="100" workbookViewId="0">
      <selection activeCell="L8" sqref="L8"/>
    </sheetView>
  </sheetViews>
  <sheetFormatPr defaultRowHeight="15" x14ac:dyDescent="0.25"/>
  <cols>
    <col min="1" max="1" width="3.140625" style="3" customWidth="1"/>
    <col min="2" max="3" width="11.28515625" style="3" bestFit="1" customWidth="1"/>
    <col min="4" max="4" width="10.5703125" style="3" bestFit="1" customWidth="1"/>
    <col min="5" max="5" width="11.42578125" style="3" bestFit="1" customWidth="1"/>
    <col min="6" max="6" width="19.5703125" style="3" customWidth="1"/>
    <col min="7" max="7" width="13.7109375" style="3" bestFit="1" customWidth="1"/>
    <col min="8" max="8" width="12.5703125" style="3" bestFit="1" customWidth="1"/>
    <col min="9" max="9" width="13.140625" style="3" customWidth="1"/>
    <col min="10" max="10" width="10" style="3" bestFit="1" customWidth="1"/>
    <col min="11" max="11" width="14.85546875" style="3" bestFit="1" customWidth="1"/>
    <col min="12" max="12" width="11.7109375" style="3" customWidth="1"/>
    <col min="13" max="13" width="3.140625" style="3" customWidth="1"/>
    <col min="14" max="16" width="10.28515625" style="3" customWidth="1"/>
    <col min="17" max="17" width="12.28515625" style="3" bestFit="1" customWidth="1"/>
    <col min="18" max="18" width="10.5703125" style="3" bestFit="1" customWidth="1"/>
    <col min="19" max="19" width="12.140625" style="3" bestFit="1" customWidth="1"/>
    <col min="20" max="16384" width="9.140625" style="3"/>
  </cols>
  <sheetData>
    <row r="5" spans="1:14" ht="15.75" thickBot="1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5" thickBot="1" x14ac:dyDescent="0.3">
      <c r="A6" s="5"/>
      <c r="B6" s="33" t="s">
        <v>27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6"/>
    </row>
    <row r="7" spans="1:14" ht="19.5" thickBot="1" x14ac:dyDescent="0.3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5.75" thickBot="1" x14ac:dyDescent="0.3">
      <c r="A8" s="5"/>
      <c r="B8" s="26">
        <v>43009</v>
      </c>
      <c r="C8" s="27" t="str">
        <f>TEXT(B8,"dddd")</f>
        <v>Sunday</v>
      </c>
      <c r="D8" s="28" t="s">
        <v>1</v>
      </c>
      <c r="E8" s="28">
        <v>25</v>
      </c>
      <c r="F8" s="29" t="s">
        <v>10</v>
      </c>
      <c r="G8" s="30"/>
      <c r="H8" s="30">
        <v>15</v>
      </c>
      <c r="I8" s="30">
        <f>H8-G8</f>
        <v>15</v>
      </c>
      <c r="J8" s="31">
        <f>I8/H8</f>
        <v>1</v>
      </c>
      <c r="K8" s="30">
        <f>I8*E8</f>
        <v>375</v>
      </c>
      <c r="L8" s="30">
        <f>H8*E8</f>
        <v>375</v>
      </c>
      <c r="M8" s="4"/>
    </row>
    <row r="9" spans="1:14" ht="15.75" thickBot="1" x14ac:dyDescent="0.3">
      <c r="A9" s="5"/>
      <c r="B9" s="26">
        <v>43009</v>
      </c>
      <c r="C9" s="27" t="str">
        <f t="shared" ref="C9:C35" si="0">TEXT(B9,"dddd")</f>
        <v>Sunday</v>
      </c>
      <c r="D9" s="28" t="s">
        <v>1</v>
      </c>
      <c r="E9" s="28">
        <v>10</v>
      </c>
      <c r="F9" s="29" t="s">
        <v>9</v>
      </c>
      <c r="G9" s="30">
        <v>10</v>
      </c>
      <c r="H9" s="30">
        <v>15</v>
      </c>
      <c r="I9" s="30">
        <f t="shared" ref="I9:I35" si="1">H9-G9</f>
        <v>5</v>
      </c>
      <c r="J9" s="31">
        <f t="shared" ref="J9:J35" si="2">I9/H9</f>
        <v>0.33333333333333331</v>
      </c>
      <c r="K9" s="30">
        <f t="shared" ref="K9:K35" si="3">I9*E9</f>
        <v>50</v>
      </c>
      <c r="L9" s="30">
        <f t="shared" ref="L9:L35" si="4">H9*E9</f>
        <v>150</v>
      </c>
      <c r="M9" s="4"/>
    </row>
    <row r="10" spans="1:14" ht="15.75" thickBot="1" x14ac:dyDescent="0.3">
      <c r="A10" s="5"/>
      <c r="B10" s="26">
        <v>43009</v>
      </c>
      <c r="C10" s="27" t="str">
        <f t="shared" si="0"/>
        <v>Sunday</v>
      </c>
      <c r="D10" s="28" t="s">
        <v>5</v>
      </c>
      <c r="E10" s="28">
        <v>50</v>
      </c>
      <c r="F10" s="29" t="s">
        <v>10</v>
      </c>
      <c r="G10" s="30">
        <v>8</v>
      </c>
      <c r="H10" s="30">
        <v>10</v>
      </c>
      <c r="I10" s="30">
        <f t="shared" si="1"/>
        <v>2</v>
      </c>
      <c r="J10" s="31">
        <f t="shared" si="2"/>
        <v>0.2</v>
      </c>
      <c r="K10" s="30">
        <f t="shared" si="3"/>
        <v>100</v>
      </c>
      <c r="L10" s="30">
        <f t="shared" si="4"/>
        <v>500</v>
      </c>
      <c r="M10" s="4"/>
    </row>
    <row r="11" spans="1:14" ht="15.75" thickBot="1" x14ac:dyDescent="0.3">
      <c r="A11" s="5"/>
      <c r="B11" s="26">
        <v>43010</v>
      </c>
      <c r="C11" s="27" t="str">
        <f t="shared" si="0"/>
        <v>Monday</v>
      </c>
      <c r="D11" s="28" t="s">
        <v>2</v>
      </c>
      <c r="E11" s="28">
        <v>25</v>
      </c>
      <c r="F11" s="29" t="s">
        <v>16</v>
      </c>
      <c r="G11" s="30">
        <v>5</v>
      </c>
      <c r="H11" s="30">
        <v>10</v>
      </c>
      <c r="I11" s="30">
        <f t="shared" si="1"/>
        <v>5</v>
      </c>
      <c r="J11" s="31">
        <f t="shared" si="2"/>
        <v>0.5</v>
      </c>
      <c r="K11" s="30">
        <f t="shared" si="3"/>
        <v>125</v>
      </c>
      <c r="L11" s="30">
        <f t="shared" si="4"/>
        <v>250</v>
      </c>
      <c r="M11" s="4"/>
    </row>
    <row r="12" spans="1:14" ht="15.75" thickBot="1" x14ac:dyDescent="0.3">
      <c r="A12" s="5"/>
      <c r="B12" s="26">
        <v>43010</v>
      </c>
      <c r="C12" s="27" t="str">
        <f t="shared" si="0"/>
        <v>Monday</v>
      </c>
      <c r="D12" s="28" t="s">
        <v>3</v>
      </c>
      <c r="E12" s="28">
        <v>25</v>
      </c>
      <c r="F12" s="29" t="s">
        <v>9</v>
      </c>
      <c r="G12" s="30">
        <v>12</v>
      </c>
      <c r="H12" s="30">
        <v>20</v>
      </c>
      <c r="I12" s="30">
        <f t="shared" si="1"/>
        <v>8</v>
      </c>
      <c r="J12" s="31">
        <f t="shared" si="2"/>
        <v>0.4</v>
      </c>
      <c r="K12" s="30">
        <f t="shared" si="3"/>
        <v>200</v>
      </c>
      <c r="L12" s="30">
        <f t="shared" si="4"/>
        <v>500</v>
      </c>
      <c r="M12" s="4"/>
    </row>
    <row r="13" spans="1:14" ht="15.75" thickBot="1" x14ac:dyDescent="0.3">
      <c r="A13" s="5"/>
      <c r="B13" s="26">
        <v>43012</v>
      </c>
      <c r="C13" s="27" t="str">
        <f t="shared" si="0"/>
        <v>Wednesday</v>
      </c>
      <c r="D13" s="28" t="s">
        <v>5</v>
      </c>
      <c r="E13" s="28">
        <v>10</v>
      </c>
      <c r="F13" s="29" t="s">
        <v>10</v>
      </c>
      <c r="G13" s="30">
        <v>8</v>
      </c>
      <c r="H13" s="30">
        <v>10</v>
      </c>
      <c r="I13" s="30">
        <f t="shared" si="1"/>
        <v>2</v>
      </c>
      <c r="J13" s="31">
        <f t="shared" si="2"/>
        <v>0.2</v>
      </c>
      <c r="K13" s="30">
        <f t="shared" si="3"/>
        <v>20</v>
      </c>
      <c r="L13" s="30">
        <f t="shared" si="4"/>
        <v>100</v>
      </c>
      <c r="M13" s="4"/>
    </row>
    <row r="14" spans="1:14" ht="15.75" thickBot="1" x14ac:dyDescent="0.3">
      <c r="A14" s="5"/>
      <c r="B14" s="26">
        <v>43012</v>
      </c>
      <c r="C14" s="27" t="str">
        <f t="shared" si="0"/>
        <v>Wednesday</v>
      </c>
      <c r="D14" s="28" t="s">
        <v>4</v>
      </c>
      <c r="E14" s="28">
        <v>20</v>
      </c>
      <c r="F14" s="29" t="s">
        <v>11</v>
      </c>
      <c r="G14" s="30">
        <v>20</v>
      </c>
      <c r="H14" s="30">
        <v>30</v>
      </c>
      <c r="I14" s="30">
        <f t="shared" si="1"/>
        <v>10</v>
      </c>
      <c r="J14" s="31">
        <f t="shared" si="2"/>
        <v>0.33333333333333331</v>
      </c>
      <c r="K14" s="30">
        <f t="shared" si="3"/>
        <v>200</v>
      </c>
      <c r="L14" s="30">
        <f t="shared" si="4"/>
        <v>600</v>
      </c>
      <c r="M14" s="4"/>
    </row>
    <row r="15" spans="1:14" ht="15.75" thickBot="1" x14ac:dyDescent="0.3">
      <c r="A15" s="5"/>
      <c r="B15" s="26">
        <v>43013</v>
      </c>
      <c r="C15" s="27" t="str">
        <f t="shared" si="0"/>
        <v>Thursday</v>
      </c>
      <c r="D15" s="28" t="s">
        <v>3</v>
      </c>
      <c r="E15" s="28">
        <v>40</v>
      </c>
      <c r="F15" s="29" t="s">
        <v>10</v>
      </c>
      <c r="G15" s="30">
        <v>12</v>
      </c>
      <c r="H15" s="30">
        <v>20</v>
      </c>
      <c r="I15" s="30">
        <f t="shared" si="1"/>
        <v>8</v>
      </c>
      <c r="J15" s="31">
        <f t="shared" si="2"/>
        <v>0.4</v>
      </c>
      <c r="K15" s="30">
        <f t="shared" si="3"/>
        <v>320</v>
      </c>
      <c r="L15" s="30">
        <f t="shared" si="4"/>
        <v>800</v>
      </c>
      <c r="M15" s="4"/>
      <c r="N15" s="7"/>
    </row>
    <row r="16" spans="1:14" ht="15.75" thickBot="1" x14ac:dyDescent="0.3">
      <c r="A16" s="5"/>
      <c r="B16" s="26">
        <v>43013</v>
      </c>
      <c r="C16" s="27" t="str">
        <f t="shared" si="0"/>
        <v>Thursday</v>
      </c>
      <c r="D16" s="28" t="s">
        <v>4</v>
      </c>
      <c r="E16" s="28">
        <v>50</v>
      </c>
      <c r="F16" s="29" t="s">
        <v>11</v>
      </c>
      <c r="G16" s="30">
        <v>20</v>
      </c>
      <c r="H16" s="30">
        <v>30</v>
      </c>
      <c r="I16" s="30">
        <f t="shared" si="1"/>
        <v>10</v>
      </c>
      <c r="J16" s="31">
        <f t="shared" si="2"/>
        <v>0.33333333333333331</v>
      </c>
      <c r="K16" s="30">
        <f t="shared" si="3"/>
        <v>500</v>
      </c>
      <c r="L16" s="30">
        <f t="shared" si="4"/>
        <v>1500</v>
      </c>
      <c r="M16" s="4"/>
    </row>
    <row r="17" spans="1:13" ht="15.75" thickBot="1" x14ac:dyDescent="0.3">
      <c r="A17" s="5"/>
      <c r="B17" s="26">
        <v>43014</v>
      </c>
      <c r="C17" s="27" t="str">
        <f t="shared" si="0"/>
        <v>Friday</v>
      </c>
      <c r="D17" s="28" t="s">
        <v>5</v>
      </c>
      <c r="E17" s="28">
        <v>100</v>
      </c>
      <c r="F17" s="29" t="s">
        <v>11</v>
      </c>
      <c r="G17" s="30">
        <v>8</v>
      </c>
      <c r="H17" s="30">
        <v>10</v>
      </c>
      <c r="I17" s="30">
        <f t="shared" si="1"/>
        <v>2</v>
      </c>
      <c r="J17" s="31">
        <f t="shared" si="2"/>
        <v>0.2</v>
      </c>
      <c r="K17" s="30">
        <f t="shared" si="3"/>
        <v>200</v>
      </c>
      <c r="L17" s="30">
        <f t="shared" si="4"/>
        <v>1000</v>
      </c>
      <c r="M17" s="4"/>
    </row>
    <row r="18" spans="1:13" ht="15.75" thickBot="1" x14ac:dyDescent="0.3">
      <c r="A18" s="5"/>
      <c r="B18" s="26">
        <v>43015</v>
      </c>
      <c r="C18" s="27" t="str">
        <f t="shared" si="0"/>
        <v>Saturday</v>
      </c>
      <c r="D18" s="28" t="s">
        <v>4</v>
      </c>
      <c r="E18" s="28">
        <v>25</v>
      </c>
      <c r="F18" s="29" t="s">
        <v>16</v>
      </c>
      <c r="G18" s="30">
        <v>20</v>
      </c>
      <c r="H18" s="30">
        <v>30</v>
      </c>
      <c r="I18" s="30">
        <f t="shared" si="1"/>
        <v>10</v>
      </c>
      <c r="J18" s="31">
        <f t="shared" si="2"/>
        <v>0.33333333333333331</v>
      </c>
      <c r="K18" s="30">
        <f t="shared" si="3"/>
        <v>250</v>
      </c>
      <c r="L18" s="30">
        <f t="shared" si="4"/>
        <v>750</v>
      </c>
      <c r="M18" s="4"/>
    </row>
    <row r="19" spans="1:13" ht="15.75" thickBot="1" x14ac:dyDescent="0.3">
      <c r="A19" s="5"/>
      <c r="B19" s="26">
        <v>43016</v>
      </c>
      <c r="C19" s="27" t="str">
        <f t="shared" si="0"/>
        <v>Sunday</v>
      </c>
      <c r="D19" s="28" t="s">
        <v>1</v>
      </c>
      <c r="E19" s="28">
        <v>40</v>
      </c>
      <c r="F19" s="29" t="s">
        <v>16</v>
      </c>
      <c r="G19" s="30">
        <v>10</v>
      </c>
      <c r="H19" s="30">
        <v>15</v>
      </c>
      <c r="I19" s="30">
        <f t="shared" si="1"/>
        <v>5</v>
      </c>
      <c r="J19" s="31">
        <f t="shared" si="2"/>
        <v>0.33333333333333331</v>
      </c>
      <c r="K19" s="30">
        <f t="shared" si="3"/>
        <v>200</v>
      </c>
      <c r="L19" s="30">
        <f t="shared" si="4"/>
        <v>600</v>
      </c>
      <c r="M19" s="4"/>
    </row>
    <row r="20" spans="1:13" ht="15.75" thickBot="1" x14ac:dyDescent="0.3">
      <c r="A20" s="5"/>
      <c r="B20" s="26">
        <v>43018</v>
      </c>
      <c r="C20" s="27" t="str">
        <f t="shared" si="0"/>
        <v>Tuesday</v>
      </c>
      <c r="D20" s="28" t="s">
        <v>2</v>
      </c>
      <c r="E20" s="28">
        <v>20</v>
      </c>
      <c r="F20" s="29" t="s">
        <v>9</v>
      </c>
      <c r="G20" s="30">
        <v>5</v>
      </c>
      <c r="H20" s="30">
        <v>10</v>
      </c>
      <c r="I20" s="30">
        <f t="shared" si="1"/>
        <v>5</v>
      </c>
      <c r="J20" s="31">
        <f t="shared" si="2"/>
        <v>0.5</v>
      </c>
      <c r="K20" s="30">
        <f t="shared" si="3"/>
        <v>100</v>
      </c>
      <c r="L20" s="30">
        <f t="shared" si="4"/>
        <v>200</v>
      </c>
      <c r="M20" s="4"/>
    </row>
    <row r="21" spans="1:13" ht="15.75" thickBot="1" x14ac:dyDescent="0.3">
      <c r="A21" s="5"/>
      <c r="B21" s="26">
        <v>43018</v>
      </c>
      <c r="C21" s="27" t="str">
        <f t="shared" si="0"/>
        <v>Tuesday</v>
      </c>
      <c r="D21" s="28" t="s">
        <v>3</v>
      </c>
      <c r="E21" s="28">
        <v>100</v>
      </c>
      <c r="F21" s="29" t="s">
        <v>12</v>
      </c>
      <c r="G21" s="30">
        <v>12</v>
      </c>
      <c r="H21" s="30">
        <v>20</v>
      </c>
      <c r="I21" s="30">
        <f t="shared" si="1"/>
        <v>8</v>
      </c>
      <c r="J21" s="31">
        <f t="shared" si="2"/>
        <v>0.4</v>
      </c>
      <c r="K21" s="30">
        <f t="shared" si="3"/>
        <v>800</v>
      </c>
      <c r="L21" s="30">
        <f t="shared" si="4"/>
        <v>2000</v>
      </c>
      <c r="M21" s="4"/>
    </row>
    <row r="22" spans="1:13" ht="15.75" thickBot="1" x14ac:dyDescent="0.3">
      <c r="A22" s="5"/>
      <c r="B22" s="26">
        <v>43019</v>
      </c>
      <c r="C22" s="27" t="str">
        <f t="shared" si="0"/>
        <v>Wednesday</v>
      </c>
      <c r="D22" s="28" t="s">
        <v>3</v>
      </c>
      <c r="E22" s="28">
        <v>25</v>
      </c>
      <c r="F22" s="29" t="s">
        <v>9</v>
      </c>
      <c r="G22" s="30">
        <v>12</v>
      </c>
      <c r="H22" s="30">
        <v>20</v>
      </c>
      <c r="I22" s="30">
        <f t="shared" si="1"/>
        <v>8</v>
      </c>
      <c r="J22" s="31">
        <f t="shared" si="2"/>
        <v>0.4</v>
      </c>
      <c r="K22" s="30">
        <f t="shared" si="3"/>
        <v>200</v>
      </c>
      <c r="L22" s="30">
        <f t="shared" si="4"/>
        <v>500</v>
      </c>
      <c r="M22" s="4"/>
    </row>
    <row r="23" spans="1:13" ht="15.75" thickBot="1" x14ac:dyDescent="0.3">
      <c r="A23" s="5"/>
      <c r="B23" s="26">
        <v>43021</v>
      </c>
      <c r="C23" s="27" t="str">
        <f t="shared" si="0"/>
        <v>Friday</v>
      </c>
      <c r="D23" s="28" t="s">
        <v>2</v>
      </c>
      <c r="E23" s="28">
        <v>40</v>
      </c>
      <c r="F23" s="29" t="s">
        <v>16</v>
      </c>
      <c r="G23" s="30">
        <v>5</v>
      </c>
      <c r="H23" s="30">
        <v>10</v>
      </c>
      <c r="I23" s="30">
        <f t="shared" si="1"/>
        <v>5</v>
      </c>
      <c r="J23" s="31">
        <f t="shared" si="2"/>
        <v>0.5</v>
      </c>
      <c r="K23" s="30">
        <f t="shared" si="3"/>
        <v>200</v>
      </c>
      <c r="L23" s="30">
        <f t="shared" si="4"/>
        <v>400</v>
      </c>
      <c r="M23" s="4"/>
    </row>
    <row r="24" spans="1:13" ht="15.75" thickBot="1" x14ac:dyDescent="0.3">
      <c r="A24" s="5"/>
      <c r="B24" s="26">
        <v>43022</v>
      </c>
      <c r="C24" s="27" t="str">
        <f t="shared" si="0"/>
        <v>Saturday</v>
      </c>
      <c r="D24" s="28" t="s">
        <v>4</v>
      </c>
      <c r="E24" s="28">
        <v>25</v>
      </c>
      <c r="F24" s="29" t="s">
        <v>9</v>
      </c>
      <c r="G24" s="30">
        <v>20</v>
      </c>
      <c r="H24" s="30">
        <v>30</v>
      </c>
      <c r="I24" s="30">
        <f t="shared" si="1"/>
        <v>10</v>
      </c>
      <c r="J24" s="31">
        <f t="shared" si="2"/>
        <v>0.33333333333333331</v>
      </c>
      <c r="K24" s="30">
        <f t="shared" si="3"/>
        <v>250</v>
      </c>
      <c r="L24" s="30">
        <f t="shared" si="4"/>
        <v>750</v>
      </c>
      <c r="M24" s="4"/>
    </row>
    <row r="25" spans="1:13" ht="15.75" thickBot="1" x14ac:dyDescent="0.3">
      <c r="A25" s="5"/>
      <c r="B25" s="26">
        <v>43024</v>
      </c>
      <c r="C25" s="27" t="str">
        <f t="shared" si="0"/>
        <v>Monday</v>
      </c>
      <c r="D25" s="28" t="s">
        <v>2</v>
      </c>
      <c r="E25" s="28">
        <v>50</v>
      </c>
      <c r="F25" s="29" t="s">
        <v>11</v>
      </c>
      <c r="G25" s="30">
        <v>5</v>
      </c>
      <c r="H25" s="30">
        <v>10</v>
      </c>
      <c r="I25" s="30">
        <f t="shared" si="1"/>
        <v>5</v>
      </c>
      <c r="J25" s="31">
        <f t="shared" si="2"/>
        <v>0.5</v>
      </c>
      <c r="K25" s="30">
        <f t="shared" si="3"/>
        <v>250</v>
      </c>
      <c r="L25" s="30">
        <f t="shared" si="4"/>
        <v>500</v>
      </c>
      <c r="M25" s="4"/>
    </row>
    <row r="26" spans="1:13" ht="15.75" thickBot="1" x14ac:dyDescent="0.3">
      <c r="A26" s="5"/>
      <c r="B26" s="26">
        <v>43024</v>
      </c>
      <c r="C26" s="27" t="str">
        <f t="shared" si="0"/>
        <v>Monday</v>
      </c>
      <c r="D26" s="28" t="s">
        <v>3</v>
      </c>
      <c r="E26" s="28">
        <v>30</v>
      </c>
      <c r="F26" s="29" t="s">
        <v>9</v>
      </c>
      <c r="G26" s="30">
        <v>12</v>
      </c>
      <c r="H26" s="30">
        <v>20</v>
      </c>
      <c r="I26" s="30">
        <f t="shared" si="1"/>
        <v>8</v>
      </c>
      <c r="J26" s="31">
        <f t="shared" si="2"/>
        <v>0.4</v>
      </c>
      <c r="K26" s="30">
        <f t="shared" si="3"/>
        <v>240</v>
      </c>
      <c r="L26" s="30">
        <f t="shared" si="4"/>
        <v>600</v>
      </c>
      <c r="M26" s="4"/>
    </row>
    <row r="27" spans="1:13" ht="15.75" thickBot="1" x14ac:dyDescent="0.3">
      <c r="A27" s="5"/>
      <c r="B27" s="26">
        <v>43025</v>
      </c>
      <c r="C27" s="27" t="str">
        <f t="shared" si="0"/>
        <v>Tuesday</v>
      </c>
      <c r="D27" s="28" t="s">
        <v>4</v>
      </c>
      <c r="E27" s="28">
        <v>25</v>
      </c>
      <c r="F27" s="29" t="s">
        <v>12</v>
      </c>
      <c r="G27" s="30">
        <v>20</v>
      </c>
      <c r="H27" s="30">
        <v>30</v>
      </c>
      <c r="I27" s="30">
        <f t="shared" si="1"/>
        <v>10</v>
      </c>
      <c r="J27" s="31">
        <f t="shared" si="2"/>
        <v>0.33333333333333331</v>
      </c>
      <c r="K27" s="30">
        <f t="shared" si="3"/>
        <v>250</v>
      </c>
      <c r="L27" s="30">
        <f t="shared" si="4"/>
        <v>750</v>
      </c>
      <c r="M27" s="4"/>
    </row>
    <row r="28" spans="1:13" ht="15.75" thickBot="1" x14ac:dyDescent="0.3">
      <c r="A28" s="5"/>
      <c r="B28" s="26">
        <v>43029</v>
      </c>
      <c r="C28" s="27" t="str">
        <f t="shared" si="0"/>
        <v>Saturday</v>
      </c>
      <c r="D28" s="28" t="s">
        <v>2</v>
      </c>
      <c r="E28" s="28">
        <v>60</v>
      </c>
      <c r="F28" s="29" t="s">
        <v>10</v>
      </c>
      <c r="G28" s="30">
        <v>5</v>
      </c>
      <c r="H28" s="30">
        <v>10</v>
      </c>
      <c r="I28" s="30">
        <f t="shared" si="1"/>
        <v>5</v>
      </c>
      <c r="J28" s="31">
        <f t="shared" si="2"/>
        <v>0.5</v>
      </c>
      <c r="K28" s="30">
        <f t="shared" si="3"/>
        <v>300</v>
      </c>
      <c r="L28" s="30">
        <f t="shared" si="4"/>
        <v>600</v>
      </c>
      <c r="M28" s="4"/>
    </row>
    <row r="29" spans="1:13" ht="15.75" thickBot="1" x14ac:dyDescent="0.3">
      <c r="A29" s="5"/>
      <c r="B29" s="26">
        <v>43030</v>
      </c>
      <c r="C29" s="27" t="str">
        <f t="shared" si="0"/>
        <v>Sunday</v>
      </c>
      <c r="D29" s="28" t="s">
        <v>5</v>
      </c>
      <c r="E29" s="28">
        <v>100</v>
      </c>
      <c r="F29" s="29" t="s">
        <v>11</v>
      </c>
      <c r="G29" s="30">
        <v>8</v>
      </c>
      <c r="H29" s="30">
        <v>10</v>
      </c>
      <c r="I29" s="30">
        <f t="shared" si="1"/>
        <v>2</v>
      </c>
      <c r="J29" s="31">
        <f t="shared" si="2"/>
        <v>0.2</v>
      </c>
      <c r="K29" s="30">
        <f t="shared" si="3"/>
        <v>200</v>
      </c>
      <c r="L29" s="30">
        <f t="shared" si="4"/>
        <v>1000</v>
      </c>
      <c r="M29" s="4"/>
    </row>
    <row r="30" spans="1:13" ht="15.75" thickBot="1" x14ac:dyDescent="0.3">
      <c r="A30" s="5"/>
      <c r="B30" s="26">
        <v>43032</v>
      </c>
      <c r="C30" s="27" t="str">
        <f t="shared" si="0"/>
        <v>Tuesday</v>
      </c>
      <c r="D30" s="28" t="s">
        <v>4</v>
      </c>
      <c r="E30" s="28">
        <v>20</v>
      </c>
      <c r="F30" s="29" t="s">
        <v>9</v>
      </c>
      <c r="G30" s="30">
        <v>20</v>
      </c>
      <c r="H30" s="30">
        <v>30</v>
      </c>
      <c r="I30" s="30">
        <f t="shared" si="1"/>
        <v>10</v>
      </c>
      <c r="J30" s="31">
        <f t="shared" si="2"/>
        <v>0.33333333333333331</v>
      </c>
      <c r="K30" s="30">
        <f t="shared" si="3"/>
        <v>200</v>
      </c>
      <c r="L30" s="30">
        <f t="shared" si="4"/>
        <v>600</v>
      </c>
      <c r="M30" s="4"/>
    </row>
    <row r="31" spans="1:13" ht="15.75" thickBot="1" x14ac:dyDescent="0.3">
      <c r="A31" s="5"/>
      <c r="B31" s="26">
        <v>43032</v>
      </c>
      <c r="C31" s="27" t="str">
        <f t="shared" si="0"/>
        <v>Tuesday</v>
      </c>
      <c r="D31" s="28" t="s">
        <v>3</v>
      </c>
      <c r="E31" s="28">
        <v>40</v>
      </c>
      <c r="F31" s="29" t="s">
        <v>11</v>
      </c>
      <c r="G31" s="30">
        <v>12</v>
      </c>
      <c r="H31" s="30">
        <v>20</v>
      </c>
      <c r="I31" s="30">
        <f t="shared" si="1"/>
        <v>8</v>
      </c>
      <c r="J31" s="31">
        <f t="shared" si="2"/>
        <v>0.4</v>
      </c>
      <c r="K31" s="30">
        <f t="shared" si="3"/>
        <v>320</v>
      </c>
      <c r="L31" s="30">
        <f t="shared" si="4"/>
        <v>800</v>
      </c>
      <c r="M31" s="4"/>
    </row>
    <row r="32" spans="1:13" ht="15.75" thickBot="1" x14ac:dyDescent="0.3">
      <c r="A32" s="5"/>
      <c r="B32" s="26">
        <v>43035</v>
      </c>
      <c r="C32" s="27" t="str">
        <f t="shared" si="0"/>
        <v>Friday</v>
      </c>
      <c r="D32" s="28" t="s">
        <v>2</v>
      </c>
      <c r="E32" s="28">
        <v>50</v>
      </c>
      <c r="F32" s="29" t="s">
        <v>12</v>
      </c>
      <c r="G32" s="30">
        <v>5</v>
      </c>
      <c r="H32" s="30">
        <v>10</v>
      </c>
      <c r="I32" s="30">
        <f t="shared" si="1"/>
        <v>5</v>
      </c>
      <c r="J32" s="31">
        <f t="shared" si="2"/>
        <v>0.5</v>
      </c>
      <c r="K32" s="30">
        <f t="shared" si="3"/>
        <v>250</v>
      </c>
      <c r="L32" s="30">
        <f t="shared" si="4"/>
        <v>500</v>
      </c>
      <c r="M32" s="4"/>
    </row>
    <row r="33" spans="1:13" ht="15.75" thickBot="1" x14ac:dyDescent="0.3">
      <c r="A33" s="5"/>
      <c r="B33" s="26">
        <v>43036</v>
      </c>
      <c r="C33" s="27" t="str">
        <f t="shared" si="0"/>
        <v>Saturday</v>
      </c>
      <c r="D33" s="28" t="s">
        <v>2</v>
      </c>
      <c r="E33" s="28">
        <v>50</v>
      </c>
      <c r="F33" s="29" t="s">
        <v>16</v>
      </c>
      <c r="G33" s="30">
        <v>5</v>
      </c>
      <c r="H33" s="30">
        <v>10</v>
      </c>
      <c r="I33" s="30">
        <f t="shared" si="1"/>
        <v>5</v>
      </c>
      <c r="J33" s="31">
        <f t="shared" si="2"/>
        <v>0.5</v>
      </c>
      <c r="K33" s="30">
        <f t="shared" si="3"/>
        <v>250</v>
      </c>
      <c r="L33" s="30">
        <f t="shared" si="4"/>
        <v>500</v>
      </c>
      <c r="M33" s="4"/>
    </row>
    <row r="34" spans="1:13" ht="15.75" thickBot="1" x14ac:dyDescent="0.3">
      <c r="A34" s="5"/>
      <c r="B34" s="26">
        <v>43038</v>
      </c>
      <c r="C34" s="27" t="str">
        <f t="shared" si="0"/>
        <v>Monday</v>
      </c>
      <c r="D34" s="28" t="s">
        <v>1</v>
      </c>
      <c r="E34" s="28">
        <v>50</v>
      </c>
      <c r="F34" s="29" t="s">
        <v>12</v>
      </c>
      <c r="G34" s="30">
        <v>10</v>
      </c>
      <c r="H34" s="30">
        <v>15</v>
      </c>
      <c r="I34" s="30">
        <f t="shared" si="1"/>
        <v>5</v>
      </c>
      <c r="J34" s="31">
        <f t="shared" si="2"/>
        <v>0.33333333333333331</v>
      </c>
      <c r="K34" s="30">
        <f t="shared" si="3"/>
        <v>250</v>
      </c>
      <c r="L34" s="30">
        <f t="shared" si="4"/>
        <v>750</v>
      </c>
      <c r="M34" s="4"/>
    </row>
    <row r="35" spans="1:13" ht="15.75" thickBot="1" x14ac:dyDescent="0.3">
      <c r="A35" s="5"/>
      <c r="B35" s="26">
        <v>43038</v>
      </c>
      <c r="C35" s="27" t="str">
        <f t="shared" si="0"/>
        <v>Monday</v>
      </c>
      <c r="D35" s="28" t="s">
        <v>4</v>
      </c>
      <c r="E35" s="28">
        <v>20</v>
      </c>
      <c r="F35" s="29" t="s">
        <v>10</v>
      </c>
      <c r="G35" s="30">
        <v>20</v>
      </c>
      <c r="H35" s="30">
        <v>30</v>
      </c>
      <c r="I35" s="30">
        <f t="shared" si="1"/>
        <v>10</v>
      </c>
      <c r="J35" s="31">
        <f t="shared" si="2"/>
        <v>0.33333333333333331</v>
      </c>
      <c r="K35" s="30">
        <f t="shared" si="3"/>
        <v>200</v>
      </c>
      <c r="L35" s="30">
        <f t="shared" si="4"/>
        <v>600</v>
      </c>
      <c r="M35" s="4"/>
    </row>
    <row r="36" spans="1:13" x14ac:dyDescent="0.2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Database!#REF!</xm:f>
          </x14:formula1>
          <xm:sqref>C7:C34 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abSelected="1" topLeftCell="A70" zoomScale="73" zoomScaleNormal="73" workbookViewId="0">
      <selection activeCell="Q2" sqref="Q2"/>
    </sheetView>
  </sheetViews>
  <sheetFormatPr defaultRowHeight="15" x14ac:dyDescent="0.25"/>
  <cols>
    <col min="1" max="1" width="3.140625" style="2" customWidth="1"/>
    <col min="2" max="8" width="15.7109375" style="2" customWidth="1"/>
    <col min="9" max="9" width="3.140625" style="2" customWidth="1"/>
    <col min="10" max="13" width="15.7109375" style="2" customWidth="1"/>
    <col min="14" max="16384" width="9.140625" style="2"/>
  </cols>
  <sheetData>
    <row r="1" spans="1:11" ht="15.75" thickBo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">
      <c r="A2" s="1"/>
      <c r="B2" s="38"/>
      <c r="C2" s="38"/>
      <c r="D2" s="38"/>
      <c r="E2" s="38"/>
      <c r="F2" s="38"/>
      <c r="G2" s="38"/>
      <c r="H2" s="40"/>
      <c r="I2" s="1"/>
    </row>
    <row r="3" spans="1:11" ht="32.25" customHeight="1" thickBot="1" x14ac:dyDescent="0.3">
      <c r="A3" s="1"/>
      <c r="B3" s="39" t="s">
        <v>24</v>
      </c>
      <c r="C3" s="39"/>
      <c r="D3" s="39"/>
      <c r="E3" s="39"/>
      <c r="F3" s="39"/>
      <c r="G3" s="39"/>
      <c r="H3" s="40"/>
      <c r="I3" s="1"/>
      <c r="K3" s="32" t="s">
        <v>29</v>
      </c>
    </row>
    <row r="4" spans="1:11" ht="32.25" customHeight="1" thickBot="1" x14ac:dyDescent="0.3">
      <c r="A4" s="1"/>
      <c r="B4" s="41" t="s">
        <v>23</v>
      </c>
      <c r="C4" s="42"/>
      <c r="D4" s="42"/>
      <c r="E4" s="42"/>
      <c r="F4" s="42"/>
      <c r="G4" s="42"/>
      <c r="H4" s="43"/>
      <c r="I4" s="1"/>
    </row>
    <row r="5" spans="1:11" ht="26.25" thickBot="1" x14ac:dyDescent="0.3">
      <c r="A5" s="1"/>
      <c r="B5" s="34" t="s">
        <v>25</v>
      </c>
      <c r="C5" s="35"/>
      <c r="D5" s="35"/>
      <c r="E5" s="35"/>
      <c r="F5" s="35"/>
      <c r="G5" s="35"/>
      <c r="H5" s="36"/>
      <c r="I5" s="1"/>
    </row>
    <row r="6" spans="1:11" ht="20.25" thickBot="1" x14ac:dyDescent="0.3">
      <c r="A6" s="1"/>
      <c r="B6" s="24" t="s">
        <v>0</v>
      </c>
      <c r="C6" s="24" t="s">
        <v>9</v>
      </c>
      <c r="D6" s="24" t="s">
        <v>10</v>
      </c>
      <c r="E6" s="24" t="s">
        <v>16</v>
      </c>
      <c r="F6" s="24" t="s">
        <v>11</v>
      </c>
      <c r="G6" s="24" t="s">
        <v>12</v>
      </c>
      <c r="H6" s="25" t="s">
        <v>14</v>
      </c>
      <c r="I6" s="1"/>
    </row>
    <row r="7" spans="1:11" ht="15.75" thickBot="1" x14ac:dyDescent="0.3">
      <c r="A7" s="1"/>
      <c r="B7" s="8" t="s">
        <v>1</v>
      </c>
      <c r="C7" s="8" cm="1">
        <f t="array" ref="C7">SUMIFS('Sales report'!$E$8:E$35,'Sales report'!$D$8:$D$35,A,'Sales report'!$F$8:$F$35,"Amazon")</f>
        <v>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SUM(C7:G7)</f>
        <v>115</v>
      </c>
      <c r="I7" s="1"/>
    </row>
    <row r="8" spans="1:11" ht="15.75" thickBot="1" x14ac:dyDescent="0.3">
      <c r="A8" s="1"/>
      <c r="B8" s="8" t="s">
        <v>2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1" si="0">SUM(C8:G8)</f>
        <v>295</v>
      </c>
      <c r="I8" s="1"/>
    </row>
    <row r="9" spans="1:11" ht="15.75" thickBot="1" x14ac:dyDescent="0.3">
      <c r="A9" s="1"/>
      <c r="B9" s="8" t="s">
        <v>3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.75" thickBot="1" x14ac:dyDescent="0.3">
      <c r="A10" s="1"/>
      <c r="B10" s="8" t="s">
        <v>4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.75" thickBot="1" x14ac:dyDescent="0.3">
      <c r="A11" s="1"/>
      <c r="B11" s="8" t="s">
        <v>5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9.5" thickBot="1" x14ac:dyDescent="0.3">
      <c r="A12" s="1"/>
      <c r="B12" s="22" t="s">
        <v>18</v>
      </c>
      <c r="C12" s="22">
        <f t="shared" ref="C12:G12" si="1">SUM(C7:C11)</f>
        <v>145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23">
        <f>SUM(H7:H11)</f>
        <v>1115</v>
      </c>
      <c r="I12" s="1"/>
    </row>
    <row r="13" spans="1:11" ht="26.25" thickBot="1" x14ac:dyDescent="0.3">
      <c r="A13" s="1"/>
      <c r="B13" s="37" t="s">
        <v>26</v>
      </c>
      <c r="C13" s="37"/>
      <c r="D13" s="37"/>
      <c r="E13" s="37"/>
      <c r="F13" s="37"/>
      <c r="G13" s="37"/>
      <c r="H13" s="37"/>
      <c r="I13" s="1"/>
    </row>
    <row r="14" spans="1:11" ht="20.25" thickBot="1" x14ac:dyDescent="0.3">
      <c r="A14" s="1"/>
      <c r="B14" s="24" t="s">
        <v>0</v>
      </c>
      <c r="C14" s="24" t="s">
        <v>9</v>
      </c>
      <c r="D14" s="24" t="s">
        <v>10</v>
      </c>
      <c r="E14" s="24" t="s">
        <v>19</v>
      </c>
      <c r="F14" s="24" t="s">
        <v>11</v>
      </c>
      <c r="G14" s="24" t="s">
        <v>12</v>
      </c>
      <c r="H14" s="25" t="s">
        <v>6</v>
      </c>
      <c r="I14" s="1"/>
    </row>
    <row r="15" spans="1:11" ht="15.75" thickBot="1" x14ac:dyDescent="0.3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375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875</v>
      </c>
      <c r="I15" s="1"/>
    </row>
    <row r="16" spans="1:11" ht="15.75" thickBot="1" x14ac:dyDescent="0.3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.75" thickBot="1" x14ac:dyDescent="0.3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.75" thickBot="1" x14ac:dyDescent="0.3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.75" thickBot="1" x14ac:dyDescent="0.3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.75" thickBot="1" x14ac:dyDescent="0.3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25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25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25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25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25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25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25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25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25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25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25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25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25">
      <c r="A33" s="10"/>
      <c r="B33" s="17"/>
      <c r="C33" s="5"/>
      <c r="D33" s="5"/>
      <c r="E33" s="5"/>
      <c r="F33" s="5"/>
      <c r="G33" s="5"/>
      <c r="H33" s="18"/>
      <c r="I33" s="1"/>
    </row>
    <row r="34" spans="1:30" ht="15.75" thickBot="1" x14ac:dyDescent="0.3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25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25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25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25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25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25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25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25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25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25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25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25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25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25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25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25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25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25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25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25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25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25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25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25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25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25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25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25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25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25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25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25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25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25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25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25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25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25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25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25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25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25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25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25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25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25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25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25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25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25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25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25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25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Priyanka Patil</cp:lastModifiedBy>
  <dcterms:created xsi:type="dcterms:W3CDTF">2015-06-05T18:17:20Z</dcterms:created>
  <dcterms:modified xsi:type="dcterms:W3CDTF">2025-09-15T11:18:29Z</dcterms:modified>
</cp:coreProperties>
</file>